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EstaPastaDeTrabalho" hidePivotFieldList="1"/>
  <xr:revisionPtr revIDLastSave="0" documentId="13_ncr:1_{510B05B7-89F0-407A-8A1A-E45130138F2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17" r:id="rId1"/>
    <sheet name="2020-2022" sheetId="16" r:id="rId2"/>
    <sheet name="Valores" sheetId="18" r:id="rId3"/>
    <sheet name="Tabela 1" sheetId="20" r:id="rId4"/>
    <sheet name="Tabela 2" sheetId="22" r:id="rId5"/>
    <sheet name="Tabela 3" sheetId="19" r:id="rId6"/>
    <sheet name="Tabela 4" sheetId="23" r:id="rId7"/>
    <sheet name="Tabela 5" sheetId="24" r:id="rId8"/>
    <sheet name="2020" sheetId="10" state="hidden" r:id="rId9"/>
    <sheet name="2021" sheetId="11" state="hidden" r:id="rId10"/>
    <sheet name="2022" sheetId="12" state="hidden" r:id="rId11"/>
  </sheets>
  <definedNames>
    <definedName name="_xlnm._FilterDatabase" localSheetId="8" hidden="1">'2020'!$A$1:$I$693</definedName>
    <definedName name="_xlnm._FilterDatabase" localSheetId="9" hidden="1">'2021'!$A$1:$I$1199</definedName>
    <definedName name="_xlnm._FilterDatabase" localSheetId="10" hidden="1">'2022'!$A$1:$I$1171</definedName>
    <definedName name="DadosExternos_4" localSheetId="1" hidden="1">'2020-2022'!$A$1:$L$3061</definedName>
    <definedName name="Imagem">'Tabela 5'!$F$10</definedName>
    <definedName name="PrimeiroItem">INDEX('Tabela 5'!XFA1:XFA24,MATCH('Tabela 5'!XEZ1048571,'Tabela 5'!XEZ1:XEZ24,0))</definedName>
    <definedName name="SegmentaçãodeDados_Ano">#N/A</definedName>
    <definedName name="SegmentaçãodeDados_Gênero">#N/A</definedName>
  </definedNames>
  <calcPr calcId="191029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4" l="1"/>
  <c r="E10" i="24" s="1" a="1"/>
  <c r="E10" i="24" s="1"/>
  <c r="D12" i="24"/>
  <c r="E12" i="24" s="1" a="1"/>
  <c r="E12" i="24" s="1"/>
  <c r="D11" i="24"/>
  <c r="E11" i="24" s="1" a="1"/>
  <c r="E11" i="24" s="1"/>
  <c r="M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D3" i="20"/>
  <c r="D4" i="20"/>
  <c r="D5" i="20"/>
  <c r="D6" i="20"/>
  <c r="D7" i="20"/>
  <c r="D8" i="20"/>
  <c r="D9" i="20"/>
  <c r="D10" i="20"/>
  <c r="D11" i="20"/>
  <c r="D12" i="20"/>
  <c r="D13" i="20"/>
  <c r="D2" i="20"/>
  <c r="D3" i="22"/>
  <c r="D4" i="22"/>
  <c r="D5" i="22"/>
  <c r="D2" i="22"/>
  <c r="F10" i="24"/>
  <c r="F11" i="24" l="1" a="1"/>
  <c r="F11" i="24" s="1"/>
  <c r="F12" i="24" a="1"/>
  <c r="F12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B6ED65-0D39-4EC7-BA4C-968F191912A8}" keepAlive="1" name="Consulta - 2020" description="Conexão com a consulta '2020' na pasta de trabalho." type="5" refreshedVersion="0" background="1">
    <dbPr connection="Provider=Microsoft.Mashup.OleDb.1;Data Source=$Workbook$;Location=2020;Extended Properties=&quot;&quot;" command="SELECT * FROM [2020]"/>
  </connection>
  <connection id="2" xr16:uid="{B2D6E6CC-ECA0-4487-AD9B-B392899C168B}" keepAlive="1" name="Consulta - 2020-2022" description="Conexão com a consulta '2020-2022' na pasta de trabalho." type="5" refreshedVersion="8" background="1" saveData="1">
    <dbPr connection="Provider=Microsoft.Mashup.OleDb.1;Data Source=$Workbook$;Location=2020-2022;Extended Properties=&quot;&quot;" command="SELECT * FROM [2020-2022]"/>
  </connection>
  <connection id="3" xr16:uid="{DBFC98D4-24F6-4982-A66C-ABE2C747D488}" keepAlive="1" name="Consulta - 2021" description="Conexão com a consulta '2021' na pasta de trabalho." type="5" refreshedVersion="8" background="1" saveData="1">
    <dbPr connection="Provider=Microsoft.Mashup.OleDb.1;Data Source=$Workbook$;Location=2021;Extended Properties=&quot;&quot;" command="SELECT * FROM [2021]"/>
  </connection>
  <connection id="4" xr16:uid="{DFC1E8BE-53AC-483A-9CA4-2879C75D7317}" keepAlive="1" name="Consulta - 2022" description="Conexão com a consulta '2022' na pasta de trabalho." type="5" refreshedVersion="8" background="1" saveData="1">
    <dbPr connection="Provider=Microsoft.Mashup.OleDb.1;Data Source=$Workbook$;Location=2022;Extended Properties=&quot;&quot;" command="SELECT * FROM [202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</futureMetadata>
  <cellMetadata count="1">
    <bk>
      <rc t="1" v="0"/>
    </bk>
  </cellMetadata>
  <valueMetadata count="24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</valueMetadata>
</metadata>
</file>

<file path=xl/sharedStrings.xml><?xml version="1.0" encoding="utf-8"?>
<sst xmlns="http://schemas.openxmlformats.org/spreadsheetml/2006/main" count="33805" uniqueCount="1452">
  <si>
    <t>Loja</t>
  </si>
  <si>
    <t>Data da Venda</t>
  </si>
  <si>
    <t>Quantidade Vendida</t>
  </si>
  <si>
    <t>Produto</t>
  </si>
  <si>
    <t>Preco Unitario</t>
  </si>
  <si>
    <t>Apple Watch - Preto</t>
  </si>
  <si>
    <t>Smart Watch MI - Amarelo</t>
  </si>
  <si>
    <t>iPad 32GB Wifi - Prata</t>
  </si>
  <si>
    <t>Dell G7 - Vermelho</t>
  </si>
  <si>
    <t>Moto Z - Vermelho</t>
  </si>
  <si>
    <t>Smart Watch Galaxy - Azul</t>
  </si>
  <si>
    <t>Galaxy S10 - Cinza</t>
  </si>
  <si>
    <t>iPhone XS - Preto</t>
  </si>
  <si>
    <t>Inspiron 15 - Prata</t>
  </si>
  <si>
    <t>Smart TV LED Full HD 55' - Preto</t>
  </si>
  <si>
    <t>iPhone 6S - Rosa</t>
  </si>
  <si>
    <t>TV LED 32' - Preto</t>
  </si>
  <si>
    <t>Câmera Coolpix L340 - Cinza</t>
  </si>
  <si>
    <t>Galaxy S8 - Verde</t>
  </si>
  <si>
    <t>Câmera Digital Sony Cyber - Azul</t>
  </si>
  <si>
    <t>Smart TV 50' 4K - Preto</t>
  </si>
  <si>
    <t>Aspire 5 - Cinza</t>
  </si>
  <si>
    <t>Smart TV 75' 4K - Preto</t>
  </si>
  <si>
    <t>Samsung Dual Core - Preto</t>
  </si>
  <si>
    <t>Tablet M10 Android - Preto</t>
  </si>
  <si>
    <t>iPhone 7 - Dourado</t>
  </si>
  <si>
    <t>Galaxy J8 - Roxo</t>
  </si>
  <si>
    <t>Câmera Digital Rebel T6 - Preto</t>
  </si>
  <si>
    <t>Moto G7 - Vermelho</t>
  </si>
  <si>
    <t>R. Luíz Faccini, 212 - Centro, Guarulhos - SP, 07110-000</t>
  </si>
  <si>
    <t>R. Visc. de Pirajá, 136 - Ipanema, Rio de Janeiro - RJ, 22410-000</t>
  </si>
  <si>
    <t>Rua Quinze de Novembro, 8 - Loja 301a Loja 301b - Centro, Niterói - RJ, 24020-125</t>
  </si>
  <si>
    <t>R. Brasílio Itiberê, 3279 - Água Verde, Curitiba - PR, 80250-160</t>
  </si>
  <si>
    <t>R. Teodoro Sampaio, 954 - Pinheiros, São Paulo - SP, 05406-050</t>
  </si>
  <si>
    <t>Av. Barão Homem de Melo, 1389 - Nova Granada, Belo Horizonte - MG, 30431-425</t>
  </si>
  <si>
    <t>Shopping Barra - Av. Centenário, 2992 - Barra, Salvador - BA, 40155-150</t>
  </si>
  <si>
    <t>Rua Antônio Lumack do Monte, 203 - 1 - Boa Viagem, Recife - PE, 51020-350</t>
  </si>
  <si>
    <t>Av. Mal. Floriano Peixoto, 2248-2258 - Centro, Nova Iguaçu - RJ, 26210-000</t>
  </si>
  <si>
    <t>Av. Dom Luís, 500 - Aldeota, Fortaleza - CE, 60160-230</t>
  </si>
  <si>
    <t>R. Dr. Antônio Castro Prado, 422 - Vila Rossi e Borchi, Campinas - SP, 13076-130</t>
  </si>
  <si>
    <t>Av. Goiás Norte, 3.592 - quadra 2.1 - St. Mal. Rondon, Goiânia - GO, 74063-010</t>
  </si>
  <si>
    <t>Av. Borges de Medeiros, 3120 - Praia de Belas, Porto Alegre - RS, 90110-150</t>
  </si>
  <si>
    <t>GABRIEL</t>
  </si>
  <si>
    <t>THONI</t>
  </si>
  <si>
    <t>M</t>
  </si>
  <si>
    <t>RENAN</t>
  </si>
  <si>
    <t>NASCIMENTO</t>
  </si>
  <si>
    <t>CAMILA</t>
  </si>
  <si>
    <t>SOBRAL</t>
  </si>
  <si>
    <t>F</t>
  </si>
  <si>
    <t>CLARA</t>
  </si>
  <si>
    <t>BRUNO</t>
  </si>
  <si>
    <t>EDUARDO</t>
  </si>
  <si>
    <t>PACHECO</t>
  </si>
  <si>
    <t>SARAH</t>
  </si>
  <si>
    <t>SOUZA</t>
  </si>
  <si>
    <t>ALEXANDRE</t>
  </si>
  <si>
    <t>RODRIGUEZ</t>
  </si>
  <si>
    <t>THAYS</t>
  </si>
  <si>
    <t>CASTRO</t>
  </si>
  <si>
    <t>JESSICA</t>
  </si>
  <si>
    <t>CORDOVIL</t>
  </si>
  <si>
    <t>CAMILLE</t>
  </si>
  <si>
    <t>SILVA</t>
  </si>
  <si>
    <t>ALON</t>
  </si>
  <si>
    <t>PALMEIRA</t>
  </si>
  <si>
    <t>RAFAEL</t>
  </si>
  <si>
    <t>ROCHA</t>
  </si>
  <si>
    <t>CAMILLA</t>
  </si>
  <si>
    <t>GUIMARÃES</t>
  </si>
  <si>
    <t>DANIEL</t>
  </si>
  <si>
    <t>MONTEIRO</t>
  </si>
  <si>
    <t>YLANA</t>
  </si>
  <si>
    <t>TERAOKA</t>
  </si>
  <si>
    <t>CAIO</t>
  </si>
  <si>
    <t>FERREIRA</t>
  </si>
  <si>
    <t>MARIANA</t>
  </si>
  <si>
    <t>FREIRE</t>
  </si>
  <si>
    <t>CAROLINA</t>
  </si>
  <si>
    <t>ALFRADIQUE</t>
  </si>
  <si>
    <t>LEANDRO</t>
  </si>
  <si>
    <t>RODRIGUES</t>
  </si>
  <si>
    <t>ELAINE</t>
  </si>
  <si>
    <t>SANTOS</t>
  </si>
  <si>
    <t>HENRIQUE</t>
  </si>
  <si>
    <t>KATHARINA</t>
  </si>
  <si>
    <t>BARROS</t>
  </si>
  <si>
    <t>LUCAS</t>
  </si>
  <si>
    <t>FILLIPE</t>
  </si>
  <si>
    <t>ALMEIDA</t>
  </si>
  <si>
    <t>CARLA</t>
  </si>
  <si>
    <t>ZAKHM</t>
  </si>
  <si>
    <t>DANILO</t>
  </si>
  <si>
    <t>RUBIM</t>
  </si>
  <si>
    <t>BIANCA</t>
  </si>
  <si>
    <t>TATSCH</t>
  </si>
  <si>
    <t>BERNARD</t>
  </si>
  <si>
    <t>PEDROSA</t>
  </si>
  <si>
    <t>PEDRO</t>
  </si>
  <si>
    <t>OLIVEIRA</t>
  </si>
  <si>
    <t>PUNTEL</t>
  </si>
  <si>
    <t>CLARISSA</t>
  </si>
  <si>
    <t>NATHAN</t>
  </si>
  <si>
    <t>MORELLI</t>
  </si>
  <si>
    <t>RUBENS</t>
  </si>
  <si>
    <t>NETTO</t>
  </si>
  <si>
    <t>GUIDO</t>
  </si>
  <si>
    <t>BEATRIZ</t>
  </si>
  <si>
    <t>LI</t>
  </si>
  <si>
    <t>JOÃO</t>
  </si>
  <si>
    <t>AIRES</t>
  </si>
  <si>
    <t>RODRIGO</t>
  </si>
  <si>
    <t>JÚLIO</t>
  </si>
  <si>
    <t>ALVES</t>
  </si>
  <si>
    <t>PALOMA</t>
  </si>
  <si>
    <t>SPERANDEI</t>
  </si>
  <si>
    <t>LENON</t>
  </si>
  <si>
    <t>FERNANDES</t>
  </si>
  <si>
    <t>LARISSA</t>
  </si>
  <si>
    <t>CRUZ</t>
  </si>
  <si>
    <t>GUILHERME</t>
  </si>
  <si>
    <t>MEROTTO</t>
  </si>
  <si>
    <t>MYLLENA</t>
  </si>
  <si>
    <t>CARNEIRO</t>
  </si>
  <si>
    <t>BRENO</t>
  </si>
  <si>
    <t>FARIAS</t>
  </si>
  <si>
    <t>VIVIANNE</t>
  </si>
  <si>
    <t>ULISSES</t>
  </si>
  <si>
    <t>ARRUDA</t>
  </si>
  <si>
    <t>LORENA</t>
  </si>
  <si>
    <t>KOHN</t>
  </si>
  <si>
    <t>RAPHAEL</t>
  </si>
  <si>
    <t>GUEDES</t>
  </si>
  <si>
    <t>LEMOS</t>
  </si>
  <si>
    <t>JULIANA</t>
  </si>
  <si>
    <t>GOES</t>
  </si>
  <si>
    <t>KIM</t>
  </si>
  <si>
    <t>ANA</t>
  </si>
  <si>
    <t>DANTAS</t>
  </si>
  <si>
    <t>CONCEIÇÃO</t>
  </si>
  <si>
    <t>MARINA</t>
  </si>
  <si>
    <t>MESQUITA</t>
  </si>
  <si>
    <t>SANDY</t>
  </si>
  <si>
    <t>RIBEIRO</t>
  </si>
  <si>
    <t>ADRIELLE</t>
  </si>
  <si>
    <t>VIEIRA</t>
  </si>
  <si>
    <t>JACKSON</t>
  </si>
  <si>
    <t>DEROSSI</t>
  </si>
  <si>
    <t>ISABELA</t>
  </si>
  <si>
    <t>TEIXEIRA</t>
  </si>
  <si>
    <t>WILLIAN</t>
  </si>
  <si>
    <t>ALBINO</t>
  </si>
  <si>
    <t>COSTA</t>
  </si>
  <si>
    <t>BERNARDO</t>
  </si>
  <si>
    <t>BOTELHO</t>
  </si>
  <si>
    <t>CARLOS</t>
  </si>
  <si>
    <t>MELO</t>
  </si>
  <si>
    <t>FIGUEIREDO</t>
  </si>
  <si>
    <t>RAISSA</t>
  </si>
  <si>
    <t>NEGRELLI</t>
  </si>
  <si>
    <t>MACHADO</t>
  </si>
  <si>
    <t>JÉSSICA</t>
  </si>
  <si>
    <t>RESINENTE</t>
  </si>
  <si>
    <t>STEPHANIE</t>
  </si>
  <si>
    <t>GONÇALVES</t>
  </si>
  <si>
    <t>CAROLINE</t>
  </si>
  <si>
    <t>AQUINO</t>
  </si>
  <si>
    <t>MARCELO</t>
  </si>
  <si>
    <t>GUADAGNINO</t>
  </si>
  <si>
    <t>VIANNA</t>
  </si>
  <si>
    <t>THIAGO</t>
  </si>
  <si>
    <t>LIMA</t>
  </si>
  <si>
    <t>JUNIOR</t>
  </si>
  <si>
    <t>VICTOR</t>
  </si>
  <si>
    <t>GOMES</t>
  </si>
  <si>
    <t>DEYSIANE</t>
  </si>
  <si>
    <t>MEDRONHO</t>
  </si>
  <si>
    <t>LIVIA</t>
  </si>
  <si>
    <t>CODECEIRA</t>
  </si>
  <si>
    <t>THALES</t>
  </si>
  <si>
    <t>FANARA</t>
  </si>
  <si>
    <t>LIRA</t>
  </si>
  <si>
    <t>ABRAÇADO</t>
  </si>
  <si>
    <t>VICTORIA</t>
  </si>
  <si>
    <t>TAVARES</t>
  </si>
  <si>
    <t>JONATAS</t>
  </si>
  <si>
    <t>ESSABER</t>
  </si>
  <si>
    <t>LUÍZA</t>
  </si>
  <si>
    <t>GOULART</t>
  </si>
  <si>
    <t>FILHO</t>
  </si>
  <si>
    <t>MATHEUS</t>
  </si>
  <si>
    <t>CAPUTO</t>
  </si>
  <si>
    <t>ALINE</t>
  </si>
  <si>
    <t>ANDRADE</t>
  </si>
  <si>
    <t>FONTOURA</t>
  </si>
  <si>
    <t>ARAGÃO</t>
  </si>
  <si>
    <t>RAUL</t>
  </si>
  <si>
    <t>JUNQUEIRA</t>
  </si>
  <si>
    <t>SOARES</t>
  </si>
  <si>
    <t>ISABEL</t>
  </si>
  <si>
    <t>LEITE</t>
  </si>
  <si>
    <t>BARROZO</t>
  </si>
  <si>
    <t>RAÍZA</t>
  </si>
  <si>
    <t>LOPES</t>
  </si>
  <si>
    <t>DÉBORA</t>
  </si>
  <si>
    <t>CAVALCANTI</t>
  </si>
  <si>
    <t>MAURÍCIO</t>
  </si>
  <si>
    <t>DIAS</t>
  </si>
  <si>
    <t>ALLAN</t>
  </si>
  <si>
    <t>CANDIDO</t>
  </si>
  <si>
    <t>FEREZIN</t>
  </si>
  <si>
    <t>ROBERTA</t>
  </si>
  <si>
    <t>PIMENTA</t>
  </si>
  <si>
    <t>CARDOSO</t>
  </si>
  <si>
    <t>PAOLA</t>
  </si>
  <si>
    <t>ABREU</t>
  </si>
  <si>
    <t>GUSTAVO</t>
  </si>
  <si>
    <t>WILSON</t>
  </si>
  <si>
    <t>MEIRELLES</t>
  </si>
  <si>
    <t>LAURA</t>
  </si>
  <si>
    <t>ARAUJO</t>
  </si>
  <si>
    <t>DAVID</t>
  </si>
  <si>
    <t>ASSUMPÇÃO</t>
  </si>
  <si>
    <t>MICHETTI</t>
  </si>
  <si>
    <t>BÁRBARA</t>
  </si>
  <si>
    <t>DIEGO</t>
  </si>
  <si>
    <t>MARCHESI</t>
  </si>
  <si>
    <t>URSULINO</t>
  </si>
  <si>
    <t>RILSON</t>
  </si>
  <si>
    <t>BARBOSA</t>
  </si>
  <si>
    <t>PORTELA</t>
  </si>
  <si>
    <t>NOGUEIRA</t>
  </si>
  <si>
    <t>NUNES</t>
  </si>
  <si>
    <t>FERNANDA</t>
  </si>
  <si>
    <t>JUAN</t>
  </si>
  <si>
    <t>THOMÁZ</t>
  </si>
  <si>
    <t>BÔAS</t>
  </si>
  <si>
    <t>ANDREZA</t>
  </si>
  <si>
    <t>RAMOS</t>
  </si>
  <si>
    <t>GABRIELLE</t>
  </si>
  <si>
    <t>PORTO</t>
  </si>
  <si>
    <t>KIMBERLY</t>
  </si>
  <si>
    <t>SAD</t>
  </si>
  <si>
    <t>CAPITULO</t>
  </si>
  <si>
    <t>MARINS</t>
  </si>
  <si>
    <t>MORAIS</t>
  </si>
  <si>
    <t>DELGADO</t>
  </si>
  <si>
    <t>STHEFESON</t>
  </si>
  <si>
    <t>BARROSO</t>
  </si>
  <si>
    <t>THAIS</t>
  </si>
  <si>
    <t>PHILIPE</t>
  </si>
  <si>
    <t>MORETE</t>
  </si>
  <si>
    <t>RAVENA</t>
  </si>
  <si>
    <t>BHERING</t>
  </si>
  <si>
    <t>PATRÍCIA</t>
  </si>
  <si>
    <t>AMARAL</t>
  </si>
  <si>
    <t>FELIPE</t>
  </si>
  <si>
    <t>JORGE</t>
  </si>
  <si>
    <t>RAFAELA</t>
  </si>
  <si>
    <t>BRUNA</t>
  </si>
  <si>
    <t>GABRIELLA</t>
  </si>
  <si>
    <t>SAGRILLO</t>
  </si>
  <si>
    <t>MENDONÇA</t>
  </si>
  <si>
    <t>SENA</t>
  </si>
  <si>
    <t>LUIZA</t>
  </si>
  <si>
    <t>SAMARA</t>
  </si>
  <si>
    <t>PINTO</t>
  </si>
  <si>
    <t>ARTHUR</t>
  </si>
  <si>
    <t>PLATINI</t>
  </si>
  <si>
    <t>HEIMLICH</t>
  </si>
  <si>
    <t>DYKSON</t>
  </si>
  <si>
    <t>CATARINA</t>
  </si>
  <si>
    <t>PRISCILA</t>
  </si>
  <si>
    <t>CARVALHO</t>
  </si>
  <si>
    <t>AZEVEDO</t>
  </si>
  <si>
    <t>DANIELA</t>
  </si>
  <si>
    <t>ROSA</t>
  </si>
  <si>
    <t>ISABELLE</t>
  </si>
  <si>
    <t>FIRMINO</t>
  </si>
  <si>
    <t>ROBERTO</t>
  </si>
  <si>
    <t>TIRADENTES</t>
  </si>
  <si>
    <t>GAMA</t>
  </si>
  <si>
    <t>GIOVANA</t>
  </si>
  <si>
    <t>VILELA</t>
  </si>
  <si>
    <t>ADRIANA</t>
  </si>
  <si>
    <t>PAZ</t>
  </si>
  <si>
    <t>MONTE</t>
  </si>
  <si>
    <t>JÚNIOR</t>
  </si>
  <si>
    <t>MICHELLE</t>
  </si>
  <si>
    <t>BRENNO</t>
  </si>
  <si>
    <t>VANESSA</t>
  </si>
  <si>
    <t>BACH</t>
  </si>
  <si>
    <t>MELLO</t>
  </si>
  <si>
    <t>LUIS</t>
  </si>
  <si>
    <t>VASCONCELOS</t>
  </si>
  <si>
    <t>MARCELA</t>
  </si>
  <si>
    <t>MEDEIROS</t>
  </si>
  <si>
    <t>MIRANDA</t>
  </si>
  <si>
    <t>ERIC</t>
  </si>
  <si>
    <t>KHAIO</t>
  </si>
  <si>
    <t>BRITO</t>
  </si>
  <si>
    <t>AMANDA</t>
  </si>
  <si>
    <t>ISABELLA</t>
  </si>
  <si>
    <t>SCALABRIN</t>
  </si>
  <si>
    <t>DIOGO</t>
  </si>
  <si>
    <t>RESSURREIÇÃO</t>
  </si>
  <si>
    <t>MÔNICA</t>
  </si>
  <si>
    <t>ROTOLO</t>
  </si>
  <si>
    <t>PEREIRA</t>
  </si>
  <si>
    <t>FERMAN</t>
  </si>
  <si>
    <t>CORREA</t>
  </si>
  <si>
    <t>PASSOS</t>
  </si>
  <si>
    <t>ANNA</t>
  </si>
  <si>
    <t>MORAES</t>
  </si>
  <si>
    <t>VINÍCIUS</t>
  </si>
  <si>
    <t>ANTUNES</t>
  </si>
  <si>
    <t>GIUSEPPE</t>
  </si>
  <si>
    <t>BORGES</t>
  </si>
  <si>
    <t>JOSÉ</t>
  </si>
  <si>
    <t>NAUENBERG</t>
  </si>
  <si>
    <t>BASTAZINI</t>
  </si>
  <si>
    <t>VIVIANE</t>
  </si>
  <si>
    <t>RESENDE</t>
  </si>
  <si>
    <t>MENEZES</t>
  </si>
  <si>
    <t>CAVALCANTE</t>
  </si>
  <si>
    <t>VEIGA</t>
  </si>
  <si>
    <t>BRANDÃO</t>
  </si>
  <si>
    <t>LACERDA</t>
  </si>
  <si>
    <t>JULIA</t>
  </si>
  <si>
    <t>MATTOS</t>
  </si>
  <si>
    <t>SALES</t>
  </si>
  <si>
    <t>TIAGO</t>
  </si>
  <si>
    <t>VASCONCELLOS</t>
  </si>
  <si>
    <t>ANTONIO</t>
  </si>
  <si>
    <t>BERNHARDT</t>
  </si>
  <si>
    <t>LUANA</t>
  </si>
  <si>
    <t>LEONARDO</t>
  </si>
  <si>
    <t>PEÇANHA</t>
  </si>
  <si>
    <t>TAYLA</t>
  </si>
  <si>
    <t>PATRICK</t>
  </si>
  <si>
    <t>BIASE</t>
  </si>
  <si>
    <t>GISELIA</t>
  </si>
  <si>
    <t>THIELE</t>
  </si>
  <si>
    <t>NATALIA</t>
  </si>
  <si>
    <t>HANNA</t>
  </si>
  <si>
    <t>FONSECA</t>
  </si>
  <si>
    <t>SILVEIRA</t>
  </si>
  <si>
    <t>ANDRESSA</t>
  </si>
  <si>
    <t>ROTSZTEJN</t>
  </si>
  <si>
    <t>LYRA</t>
  </si>
  <si>
    <t>CÉZAR</t>
  </si>
  <si>
    <t>BARREIRA</t>
  </si>
  <si>
    <t>BARCESSAT</t>
  </si>
  <si>
    <t>CABRAL</t>
  </si>
  <si>
    <t>MORGANA</t>
  </si>
  <si>
    <t>IURI</t>
  </si>
  <si>
    <t>WENDELA</t>
  </si>
  <si>
    <t>MARIZ</t>
  </si>
  <si>
    <t>BAPTISTA</t>
  </si>
  <si>
    <t>FRANCO</t>
  </si>
  <si>
    <t>FELIPPE</t>
  </si>
  <si>
    <t>IZABEL</t>
  </si>
  <si>
    <t>MIURA</t>
  </si>
  <si>
    <t>WILLIAM</t>
  </si>
  <si>
    <t>MATEUS</t>
  </si>
  <si>
    <t>LETÍCIA</t>
  </si>
  <si>
    <t>LEAL</t>
  </si>
  <si>
    <t>RACHEL</t>
  </si>
  <si>
    <t>TADEU</t>
  </si>
  <si>
    <t>SOUSA</t>
  </si>
  <si>
    <t>AFFONSO</t>
  </si>
  <si>
    <t>NORMAN</t>
  </si>
  <si>
    <t>JIMBO</t>
  </si>
  <si>
    <t>LAÍS</t>
  </si>
  <si>
    <t>RAÍSA</t>
  </si>
  <si>
    <t>ELENA</t>
  </si>
  <si>
    <t>BARRETO</t>
  </si>
  <si>
    <t>MILENA</t>
  </si>
  <si>
    <t>ALCOFORADO</t>
  </si>
  <si>
    <t>ANDERSON</t>
  </si>
  <si>
    <t>MARTINS</t>
  </si>
  <si>
    <t>ADRIANE</t>
  </si>
  <si>
    <t>CHAGAS</t>
  </si>
  <si>
    <t>PORTILLO</t>
  </si>
  <si>
    <t>PERDOMO</t>
  </si>
  <si>
    <t>ANDRE</t>
  </si>
  <si>
    <t>NÓBREGA</t>
  </si>
  <si>
    <t>CUNHA</t>
  </si>
  <si>
    <t>HÉRCULES</t>
  </si>
  <si>
    <t>MOREIRA</t>
  </si>
  <si>
    <t>IVES</t>
  </si>
  <si>
    <t>JESUS</t>
  </si>
  <si>
    <t>REBECA</t>
  </si>
  <si>
    <t>TAYLOR</t>
  </si>
  <si>
    <t>LÍVIA</t>
  </si>
  <si>
    <t>MARQUES</t>
  </si>
  <si>
    <t>THAINÁ</t>
  </si>
  <si>
    <t>BINELLO</t>
  </si>
  <si>
    <t>STEFAN</t>
  </si>
  <si>
    <t>VITOR</t>
  </si>
  <si>
    <t>CAMPOS</t>
  </si>
  <si>
    <t>MARIA</t>
  </si>
  <si>
    <t>GABRIELA</t>
  </si>
  <si>
    <t>LARA</t>
  </si>
  <si>
    <t>VALIM</t>
  </si>
  <si>
    <t>FABIO</t>
  </si>
  <si>
    <t>SEPÚLVEDA</t>
  </si>
  <si>
    <t>ALLEVATO</t>
  </si>
  <si>
    <t>JOYCE</t>
  </si>
  <si>
    <t>MEDINA</t>
  </si>
  <si>
    <t>VALENTE</t>
  </si>
  <si>
    <t>MAIA</t>
  </si>
  <si>
    <t>MOTA</t>
  </si>
  <si>
    <t>BERNARDES</t>
  </si>
  <si>
    <t>ROGÉRIO</t>
  </si>
  <si>
    <t>GENTILE</t>
  </si>
  <si>
    <t>ALIANI</t>
  </si>
  <si>
    <t>COELHO</t>
  </si>
  <si>
    <t>GASPERI</t>
  </si>
  <si>
    <t>HYGOR</t>
  </si>
  <si>
    <t>MARCOS</t>
  </si>
  <si>
    <t>NUCCI</t>
  </si>
  <si>
    <t>ALVARO</t>
  </si>
  <si>
    <t>KRANZ</t>
  </si>
  <si>
    <t>RESTUM</t>
  </si>
  <si>
    <t>CARDEMAN</t>
  </si>
  <si>
    <t>JULIE</t>
  </si>
  <si>
    <t>LUÃ</t>
  </si>
  <si>
    <t>SÁ</t>
  </si>
  <si>
    <t>BRUM</t>
  </si>
  <si>
    <t>LEIG</t>
  </si>
  <si>
    <t>NATALI</t>
  </si>
  <si>
    <t>RANGEL</t>
  </si>
  <si>
    <t>DOUGLAS</t>
  </si>
  <si>
    <t>NEVES</t>
  </si>
  <si>
    <t>JOHNSON</t>
  </si>
  <si>
    <t>KURTZ</t>
  </si>
  <si>
    <t>RUAN</t>
  </si>
  <si>
    <t>PAULA</t>
  </si>
  <si>
    <t>LUIZ</t>
  </si>
  <si>
    <t>CASTILHO</t>
  </si>
  <si>
    <t>PAULO</t>
  </si>
  <si>
    <t>ACCARDO</t>
  </si>
  <si>
    <t>MOTTA</t>
  </si>
  <si>
    <t>THAYANE</t>
  </si>
  <si>
    <t>ROJANE</t>
  </si>
  <si>
    <t>JONAS</t>
  </si>
  <si>
    <t>SOLEDADE</t>
  </si>
  <si>
    <t>MARINHO</t>
  </si>
  <si>
    <t>PROCACI</t>
  </si>
  <si>
    <t>ASSUNÇÃO</t>
  </si>
  <si>
    <t>BOCCALETTI</t>
  </si>
  <si>
    <t>YASSER</t>
  </si>
  <si>
    <t>CALBUCCI</t>
  </si>
  <si>
    <t>NETO</t>
  </si>
  <si>
    <t>DEBORA</t>
  </si>
  <si>
    <t>MAYARA</t>
  </si>
  <si>
    <t>DANDARA</t>
  </si>
  <si>
    <t>REIS</t>
  </si>
  <si>
    <t>ASSIS</t>
  </si>
  <si>
    <t>THAÍS</t>
  </si>
  <si>
    <t>GIOVANNA</t>
  </si>
  <si>
    <t>MANUELA</t>
  </si>
  <si>
    <t>VELOSO</t>
  </si>
  <si>
    <t>YASMIM</t>
  </si>
  <si>
    <t>VERLY</t>
  </si>
  <si>
    <t>THAYNA</t>
  </si>
  <si>
    <t>CAMPELO</t>
  </si>
  <si>
    <t>FREITAS</t>
  </si>
  <si>
    <t>HELVIO</t>
  </si>
  <si>
    <t>WEN</t>
  </si>
  <si>
    <t>CHEIN</t>
  </si>
  <si>
    <t>MANHÃES</t>
  </si>
  <si>
    <t>PENTEADO</t>
  </si>
  <si>
    <t>MAGALHÃES</t>
  </si>
  <si>
    <t>TOSTES</t>
  </si>
  <si>
    <t>NICOLAS</t>
  </si>
  <si>
    <t>ANANDA</t>
  </si>
  <si>
    <t>BRAGA</t>
  </si>
  <si>
    <t>MARIANE</t>
  </si>
  <si>
    <t>CORRÊA</t>
  </si>
  <si>
    <t>BITTENCOURT</t>
  </si>
  <si>
    <t>VANNIER</t>
  </si>
  <si>
    <t>COUTINHO</t>
  </si>
  <si>
    <t>CAMPISTA</t>
  </si>
  <si>
    <t>THOME</t>
  </si>
  <si>
    <t>JOAO</t>
  </si>
  <si>
    <t>PINHEIRO</t>
  </si>
  <si>
    <t>LUZ</t>
  </si>
  <si>
    <t>RAÍSSA</t>
  </si>
  <si>
    <t>OROS</t>
  </si>
  <si>
    <t>POLASTRI</t>
  </si>
  <si>
    <t>ANTÔNIO</t>
  </si>
  <si>
    <t>JORDAO</t>
  </si>
  <si>
    <t>KARINE</t>
  </si>
  <si>
    <t>GARCIA</t>
  </si>
  <si>
    <t>GONZAGA</t>
  </si>
  <si>
    <t>WELLINGTON</t>
  </si>
  <si>
    <t>DUARTE</t>
  </si>
  <si>
    <t>ORTIZ</t>
  </si>
  <si>
    <t>REZENDE</t>
  </si>
  <si>
    <t>WANDERLEY</t>
  </si>
  <si>
    <t>ERTHAL</t>
  </si>
  <si>
    <t>FIORETTI</t>
  </si>
  <si>
    <t>SIQUEIRA</t>
  </si>
  <si>
    <t>IGOR</t>
  </si>
  <si>
    <t>DESIRÉE</t>
  </si>
  <si>
    <t>FEIO</t>
  </si>
  <si>
    <t>MACCKIONE</t>
  </si>
  <si>
    <t>BRITTO</t>
  </si>
  <si>
    <t>LUNNA</t>
  </si>
  <si>
    <t>BITENCOURT</t>
  </si>
  <si>
    <t>ERICK</t>
  </si>
  <si>
    <t>PEIXOTO</t>
  </si>
  <si>
    <t>ITAI</t>
  </si>
  <si>
    <t>VELUCCI</t>
  </si>
  <si>
    <t>NOVAK</t>
  </si>
  <si>
    <t>NIMER</t>
  </si>
  <si>
    <t>ANÍZIO</t>
  </si>
  <si>
    <t>ACCIOLY</t>
  </si>
  <si>
    <t>GODOY</t>
  </si>
  <si>
    <t>TAINAH</t>
  </si>
  <si>
    <t>JEFERSON</t>
  </si>
  <si>
    <t>GONTIJO</t>
  </si>
  <si>
    <t>TEMPORAL</t>
  </si>
  <si>
    <t>ANDRÉ</t>
  </si>
  <si>
    <t>TANAKA</t>
  </si>
  <si>
    <t>LAIS</t>
  </si>
  <si>
    <t>LUÍSA</t>
  </si>
  <si>
    <t>XAVIER</t>
  </si>
  <si>
    <t>SANTANA</t>
  </si>
  <si>
    <t>CASSIO</t>
  </si>
  <si>
    <t>FARIA</t>
  </si>
  <si>
    <t>HELENA</t>
  </si>
  <si>
    <t>CHAFIN</t>
  </si>
  <si>
    <t>IAN</t>
  </si>
  <si>
    <t>PIERO</t>
  </si>
  <si>
    <t>SUZANO</t>
  </si>
  <si>
    <t>STEFANELLI</t>
  </si>
  <si>
    <t>BURACO</t>
  </si>
  <si>
    <t>THOMAZ</t>
  </si>
  <si>
    <t>SONE</t>
  </si>
  <si>
    <t>ALEX</t>
  </si>
  <si>
    <t>COZENDEY</t>
  </si>
  <si>
    <t>CÍCERO</t>
  </si>
  <si>
    <t>SAPIR</t>
  </si>
  <si>
    <t>CAROLL</t>
  </si>
  <si>
    <t>CHAN</t>
  </si>
  <si>
    <t>GIULIA</t>
  </si>
  <si>
    <t>RACHIDE</t>
  </si>
  <si>
    <t>CHOU</t>
  </si>
  <si>
    <t>JÔNATAS</t>
  </si>
  <si>
    <t>KARINA</t>
  </si>
  <si>
    <t>CAMARA</t>
  </si>
  <si>
    <t>ISBELLE</t>
  </si>
  <si>
    <t>HUON</t>
  </si>
  <si>
    <t>SILVIO</t>
  </si>
  <si>
    <t>PROVENZANO</t>
  </si>
  <si>
    <t>MOITA</t>
  </si>
  <si>
    <t>PESSANHA</t>
  </si>
  <si>
    <t>AYRES</t>
  </si>
  <si>
    <t>VIRÍSSIMO</t>
  </si>
  <si>
    <t>JÚLIA</t>
  </si>
  <si>
    <t>AUDIR</t>
  </si>
  <si>
    <t>MELISSA</t>
  </si>
  <si>
    <t>SAMPAIO</t>
  </si>
  <si>
    <t>MONTANHOLI</t>
  </si>
  <si>
    <t>TABET</t>
  </si>
  <si>
    <t>CÉLIO</t>
  </si>
  <si>
    <t>MEREGE</t>
  </si>
  <si>
    <t>STELA</t>
  </si>
  <si>
    <t>NINA</t>
  </si>
  <si>
    <t>WAJNSZTOK</t>
  </si>
  <si>
    <t>GALVÃO</t>
  </si>
  <si>
    <t>QUINTO</t>
  </si>
  <si>
    <t>MAZZA</t>
  </si>
  <si>
    <t>BRANDAO</t>
  </si>
  <si>
    <t>SYLVIO</t>
  </si>
  <si>
    <t>SEIXAS</t>
  </si>
  <si>
    <t>BARBARA</t>
  </si>
  <si>
    <t>PELUZO</t>
  </si>
  <si>
    <t>TERRA</t>
  </si>
  <si>
    <t>NATÁLIA</t>
  </si>
  <si>
    <t>APPEL</t>
  </si>
  <si>
    <t>LONDERO</t>
  </si>
  <si>
    <t>ROGER</t>
  </si>
  <si>
    <t>VILLANOVA</t>
  </si>
  <si>
    <t>LETICIA</t>
  </si>
  <si>
    <t>ARAÚJO</t>
  </si>
  <si>
    <t>LÁZARO</t>
  </si>
  <si>
    <t>CORMACK</t>
  </si>
  <si>
    <t>FRAGA</t>
  </si>
  <si>
    <t>RACY</t>
  </si>
  <si>
    <t>PEDRAZZA</t>
  </si>
  <si>
    <t>PESTANA</t>
  </si>
  <si>
    <t>GLENDA</t>
  </si>
  <si>
    <t>SALOMÃO</t>
  </si>
  <si>
    <t>FORTE</t>
  </si>
  <si>
    <t>CLÁUDIO</t>
  </si>
  <si>
    <t>GOUVÊA</t>
  </si>
  <si>
    <t>DESTRI</t>
  </si>
  <si>
    <t>MIGUEL</t>
  </si>
  <si>
    <t>LIMP</t>
  </si>
  <si>
    <t>RAFAELLA</t>
  </si>
  <si>
    <t>HOLLANDER</t>
  </si>
  <si>
    <t>ALESSANDRA</t>
  </si>
  <si>
    <t>MOURA</t>
  </si>
  <si>
    <t>VARELLA</t>
  </si>
  <si>
    <t>DALFORNE</t>
  </si>
  <si>
    <t>MARIANNA</t>
  </si>
  <si>
    <t>RAMON</t>
  </si>
  <si>
    <t>VENTURA</t>
  </si>
  <si>
    <t>ABRAHÃO</t>
  </si>
  <si>
    <t>RONFINI</t>
  </si>
  <si>
    <t>MENDES</t>
  </si>
  <si>
    <t>MONIQUE</t>
  </si>
  <si>
    <t>VITTORIO</t>
  </si>
  <si>
    <t>NAKAYAMA</t>
  </si>
  <si>
    <t>NATHALIA</t>
  </si>
  <si>
    <t>FERRARI</t>
  </si>
  <si>
    <t>VOGEL</t>
  </si>
  <si>
    <t>CALDAS</t>
  </si>
  <si>
    <t>FAHRNHOLZ</t>
  </si>
  <si>
    <t>FEIJO</t>
  </si>
  <si>
    <t>ISAAC</t>
  </si>
  <si>
    <t>DUQUE</t>
  </si>
  <si>
    <t>ADRIANO</t>
  </si>
  <si>
    <t>MAIKE</t>
  </si>
  <si>
    <t>ROTAVA</t>
  </si>
  <si>
    <t>ALBERTO</t>
  </si>
  <si>
    <t>JOANA</t>
  </si>
  <si>
    <t>CALMON</t>
  </si>
  <si>
    <t>Nome Cliente</t>
  </si>
  <si>
    <t>Sobrenome</t>
  </si>
  <si>
    <t>Gênero</t>
  </si>
  <si>
    <t>Nascimento</t>
  </si>
  <si>
    <t>Estado</t>
  </si>
  <si>
    <t>Nome Completo</t>
  </si>
  <si>
    <t>Idade</t>
  </si>
  <si>
    <t>Faixa Etária</t>
  </si>
  <si>
    <t>Valor Total</t>
  </si>
  <si>
    <t>SP</t>
  </si>
  <si>
    <t>LUIZ XAVIER</t>
  </si>
  <si>
    <t>Masculino</t>
  </si>
  <si>
    <t>Entre 30 e 50 anos</t>
  </si>
  <si>
    <t>RJ</t>
  </si>
  <si>
    <t>STEFAN NUNES</t>
  </si>
  <si>
    <t>Maior que 50 anos</t>
  </si>
  <si>
    <t>CE</t>
  </si>
  <si>
    <t>IZABEL LOPES</t>
  </si>
  <si>
    <t>Feminino</t>
  </si>
  <si>
    <t>Menor que 30 anos</t>
  </si>
  <si>
    <t>PR</t>
  </si>
  <si>
    <t>ROGÉRIO PEREIRA</t>
  </si>
  <si>
    <t>BIANCA PAZ</t>
  </si>
  <si>
    <t>GABRIEL BRITO</t>
  </si>
  <si>
    <t>DIEGO BARROS</t>
  </si>
  <si>
    <t>GO</t>
  </si>
  <si>
    <t>MATHEUS RAMOS</t>
  </si>
  <si>
    <t>GUSTAVO ACCARDO</t>
  </si>
  <si>
    <t>IURI NETO</t>
  </si>
  <si>
    <t>JULIANA BARREIRA</t>
  </si>
  <si>
    <t>MARCELA GASPERI</t>
  </si>
  <si>
    <t>MYLLENA CARNEIRO</t>
  </si>
  <si>
    <t>LUÍZA GARCIA</t>
  </si>
  <si>
    <t>AMANDA PROCACI</t>
  </si>
  <si>
    <t>BA</t>
  </si>
  <si>
    <t>TIAGO PEREIRA</t>
  </si>
  <si>
    <t>STEPHANIE NOVAK</t>
  </si>
  <si>
    <t>LIVIA CODECEIRA</t>
  </si>
  <si>
    <t>JOSÉ MARQUES</t>
  </si>
  <si>
    <t>MATHEUS GOMES</t>
  </si>
  <si>
    <t>TADEU SOUSA</t>
  </si>
  <si>
    <t>ISABELA TEIXEIRA</t>
  </si>
  <si>
    <t>EDUARDO SOARES</t>
  </si>
  <si>
    <t>LÁZARO VILLANOVA</t>
  </si>
  <si>
    <t>STELA MENDONÇA</t>
  </si>
  <si>
    <t>PE</t>
  </si>
  <si>
    <t>JOYCE SOUZA</t>
  </si>
  <si>
    <t>MG</t>
  </si>
  <si>
    <t>IGOR LIMA</t>
  </si>
  <si>
    <t>RS</t>
  </si>
  <si>
    <t>TAINAH NOGUEIRA</t>
  </si>
  <si>
    <t>ROBERTO MATTOS</t>
  </si>
  <si>
    <t>IAN ALMEIDA</t>
  </si>
  <si>
    <t>MATHEUS SANTOS</t>
  </si>
  <si>
    <t>ALEXANDRE DANTAS</t>
  </si>
  <si>
    <t>RENAN MELO</t>
  </si>
  <si>
    <t>DANILO RUBIM</t>
  </si>
  <si>
    <t>ANDRE NÓBREGA</t>
  </si>
  <si>
    <t>BARBARA PROCACI</t>
  </si>
  <si>
    <t>LUANA SANTOS</t>
  </si>
  <si>
    <t>MARCELO PEREIRA</t>
  </si>
  <si>
    <t>HENRIQUE SILVA</t>
  </si>
  <si>
    <t>JOÃO TABET</t>
  </si>
  <si>
    <t>CAMILLE SILVA</t>
  </si>
  <si>
    <t>LUCAS FONTOURA</t>
  </si>
  <si>
    <t>JULIANA SILVA</t>
  </si>
  <si>
    <t>ALINE MORAIS</t>
  </si>
  <si>
    <t>LARISSA JESUS</t>
  </si>
  <si>
    <t>CAROLINE DELGADO</t>
  </si>
  <si>
    <t>LENON FERNANDES</t>
  </si>
  <si>
    <t>JÔNATAS SOARES</t>
  </si>
  <si>
    <t>CAIO CALDAS</t>
  </si>
  <si>
    <t>JACKSON DEROSSI</t>
  </si>
  <si>
    <t>CAROLINA ALFRADIQUE</t>
  </si>
  <si>
    <t>RAFAELLA MELLO</t>
  </si>
  <si>
    <t>BRUNO TEMPORAL</t>
  </si>
  <si>
    <t>BRUNA RAMOS</t>
  </si>
  <si>
    <t>ISABEL LACERDA</t>
  </si>
  <si>
    <t>LUIZ MENDONÇA</t>
  </si>
  <si>
    <t>MICHELLE PEREIRA</t>
  </si>
  <si>
    <t>MARIANNA PESTANA</t>
  </si>
  <si>
    <t>DANIEL ORTIZ</t>
  </si>
  <si>
    <t>ISABEL LEITE</t>
  </si>
  <si>
    <t>ROGER ROSA</t>
  </si>
  <si>
    <t>WEN SANTOS</t>
  </si>
  <si>
    <t>CÉLIO XAVIER</t>
  </si>
  <si>
    <t>CHAN SANTOS</t>
  </si>
  <si>
    <t>DANILO ALVES</t>
  </si>
  <si>
    <t>MARIANA MIRANDA</t>
  </si>
  <si>
    <t>RAISSA MAIA</t>
  </si>
  <si>
    <t>RODRIGO BRUNO</t>
  </si>
  <si>
    <t>CAIO FERREIRA</t>
  </si>
  <si>
    <t>HENRIQUE OLIVEIRA</t>
  </si>
  <si>
    <t>GABRIELLA SAGRILLO</t>
  </si>
  <si>
    <t>VICTOR FIRMINO</t>
  </si>
  <si>
    <t>GUILHERME MARCHESI</t>
  </si>
  <si>
    <t>JORGE CARVALHO</t>
  </si>
  <si>
    <t>BEATRIZ NOGUEIRA</t>
  </si>
  <si>
    <t>CARLOS MESQUITA</t>
  </si>
  <si>
    <t>CASSIO FARIA</t>
  </si>
  <si>
    <t>DÉBORA LOPES</t>
  </si>
  <si>
    <t>RAFAEL CARNEIRO</t>
  </si>
  <si>
    <t>CAIO SILVA</t>
  </si>
  <si>
    <t>PAULO CAMPOS</t>
  </si>
  <si>
    <t>RENAN NASCIMENTO</t>
  </si>
  <si>
    <t>MARIA COSTA</t>
  </si>
  <si>
    <t>JULIANA SOUZA</t>
  </si>
  <si>
    <t>ANDREZA RAMOS</t>
  </si>
  <si>
    <t>LEANDRO RODRIGUES</t>
  </si>
  <si>
    <t>MARIANA ROTAVA</t>
  </si>
  <si>
    <t>RUAN LOPES</t>
  </si>
  <si>
    <t>MAIKE PEREIRA</t>
  </si>
  <si>
    <t>WILSON MEIRELLES</t>
  </si>
  <si>
    <t>ANA GOMES</t>
  </si>
  <si>
    <t>VICTOR FERREIRA</t>
  </si>
  <si>
    <t>GABRIELLA LOPES</t>
  </si>
  <si>
    <t>HYGOR ESSABER</t>
  </si>
  <si>
    <t>LUIS VILLANOVA</t>
  </si>
  <si>
    <t>YLANA TERAOKA</t>
  </si>
  <si>
    <t>MARIA MELLO</t>
  </si>
  <si>
    <t>GABRIELA CAVALCANTI</t>
  </si>
  <si>
    <t>CAMILLA GUIMARÃES</t>
  </si>
  <si>
    <t>FELIPE PAULO</t>
  </si>
  <si>
    <t>LUCAS ARAÚJO</t>
  </si>
  <si>
    <t>IGOR AZEVEDO</t>
  </si>
  <si>
    <t>EDUARDO NUNES</t>
  </si>
  <si>
    <t>RILSON GUEDES</t>
  </si>
  <si>
    <t>ANTÔNIO OLIVEIRA</t>
  </si>
  <si>
    <t>STHEFESON BARROSO</t>
  </si>
  <si>
    <t>MARCOS NUCCI</t>
  </si>
  <si>
    <t>MANUELA FERREIRA</t>
  </si>
  <si>
    <t>CARLOS GALVÃO</t>
  </si>
  <si>
    <t>RAPHAEL COELHO</t>
  </si>
  <si>
    <t>NATALIA ANDRADE</t>
  </si>
  <si>
    <t>CAROLINA SILVA</t>
  </si>
  <si>
    <t>CÍCERO RAMOS</t>
  </si>
  <si>
    <t>VICTOR MAGALHÃES</t>
  </si>
  <si>
    <t>THALES SANTOS</t>
  </si>
  <si>
    <t>RODRIGO SILVA</t>
  </si>
  <si>
    <t>RUBENS NETTO</t>
  </si>
  <si>
    <t>PEDRO SENA</t>
  </si>
  <si>
    <t>WILLIAN ALBINO</t>
  </si>
  <si>
    <t>YASSER CALBUCCI</t>
  </si>
  <si>
    <t>JÚLIO FREIRE</t>
  </si>
  <si>
    <t>JOÃO MATHEUS</t>
  </si>
  <si>
    <t>THIAGO LIMA</t>
  </si>
  <si>
    <t>ANA LEITE</t>
  </si>
  <si>
    <t>AMANDA FELIPPE</t>
  </si>
  <si>
    <t>MARINA ARAGÃO</t>
  </si>
  <si>
    <t>DANIEL COSTA</t>
  </si>
  <si>
    <t>STEFAN SANTOS</t>
  </si>
  <si>
    <t>NINA MAGALHÃES</t>
  </si>
  <si>
    <t>REBECA TAYLOR</t>
  </si>
  <si>
    <t>PEDRO RODRIGUES</t>
  </si>
  <si>
    <t>DANIEL NAUENBERG</t>
  </si>
  <si>
    <t>MARINA GAMA</t>
  </si>
  <si>
    <t>LUCAS MACHADO</t>
  </si>
  <si>
    <t>ANDRESSA CHOU</t>
  </si>
  <si>
    <t>BEATRIZ LI</t>
  </si>
  <si>
    <t>THIAGO COSTA</t>
  </si>
  <si>
    <t>JOÃO RIBEIRO</t>
  </si>
  <si>
    <t>RAFAEL ROCHA</t>
  </si>
  <si>
    <t>LUANA SANTANA</t>
  </si>
  <si>
    <t>LUCAS FREIRE</t>
  </si>
  <si>
    <t>CAIO VIANNA</t>
  </si>
  <si>
    <t>JONAS GOMES</t>
  </si>
  <si>
    <t>CAMILLA VIEIRA</t>
  </si>
  <si>
    <t>ISABELLA MONTANHOLI</t>
  </si>
  <si>
    <t>ANA JÚNIOR</t>
  </si>
  <si>
    <t>BRUNA LONDERO</t>
  </si>
  <si>
    <t>TAYLA LIMA</t>
  </si>
  <si>
    <t>SANDY FIGUEIREDO</t>
  </si>
  <si>
    <t>FELIPE MENDONÇA</t>
  </si>
  <si>
    <t>DEYSIANE MEDRONHO</t>
  </si>
  <si>
    <t>LAÍS OLIVEIRA</t>
  </si>
  <si>
    <t>GABRIEL ALMEIDA</t>
  </si>
  <si>
    <t>CLARA BRUNO</t>
  </si>
  <si>
    <t>PEDRO COSTA</t>
  </si>
  <si>
    <t>LUCAS COELHO</t>
  </si>
  <si>
    <t>THAÍS PEREIRA</t>
  </si>
  <si>
    <t>RAPHAEL FERMAN</t>
  </si>
  <si>
    <t>HANNA FONSECA</t>
  </si>
  <si>
    <t>LUÍZA MELO</t>
  </si>
  <si>
    <t>JOÃO RODRIGUES</t>
  </si>
  <si>
    <t>DIEGO MARCHESI</t>
  </si>
  <si>
    <t>LUIZ FREIRE</t>
  </si>
  <si>
    <t>BRENNO SANTOS</t>
  </si>
  <si>
    <t>LUCAS NETO</t>
  </si>
  <si>
    <t>RACHEL RESTUM</t>
  </si>
  <si>
    <t>RODRIGO MENDES</t>
  </si>
  <si>
    <t>PEDRO FERRARI</t>
  </si>
  <si>
    <t>CÉZAR SANTOS</t>
  </si>
  <si>
    <t>PEDRO OLIVEIRA</t>
  </si>
  <si>
    <t>JOAO PEREIRA</t>
  </si>
  <si>
    <t>THOMÁZ RODRIGUEZ</t>
  </si>
  <si>
    <t>WENDELA MARIZ</t>
  </si>
  <si>
    <t>FERNANDA COUTINHO</t>
  </si>
  <si>
    <t>LAIS CANDIDO</t>
  </si>
  <si>
    <t>JOAO SILVA</t>
  </si>
  <si>
    <t>PEDRO LYRA</t>
  </si>
  <si>
    <t>IURI BARBOSA</t>
  </si>
  <si>
    <t>LUIZ ALMEIDA</t>
  </si>
  <si>
    <t>GUILHERME CASTILHO</t>
  </si>
  <si>
    <t>THAYS CASTRO</t>
  </si>
  <si>
    <t>ANA SILVA</t>
  </si>
  <si>
    <t>KARINA CAMARA</t>
  </si>
  <si>
    <t>GUILHERME LIMA</t>
  </si>
  <si>
    <t>CAIO MOURA</t>
  </si>
  <si>
    <t>LAURA ARAUJO</t>
  </si>
  <si>
    <t>THAYNA MARTINS</t>
  </si>
  <si>
    <t>BERNARD PEDROSA</t>
  </si>
  <si>
    <t>KIM FERREIRA</t>
  </si>
  <si>
    <t>LUNNA VANNIER</t>
  </si>
  <si>
    <t>GUSTAVO ERTHAL</t>
  </si>
  <si>
    <t>PEDRO MACCKIONE</t>
  </si>
  <si>
    <t>BRUNO MOTA</t>
  </si>
  <si>
    <t>NATALI RANGEL</t>
  </si>
  <si>
    <t>IVES BARBOSA</t>
  </si>
  <si>
    <t>BIANCA PIERO</t>
  </si>
  <si>
    <t>CAROLINA SANTOS</t>
  </si>
  <si>
    <t>GIULIA PESSANHA</t>
  </si>
  <si>
    <t>JOÃO ABRAÇADO</t>
  </si>
  <si>
    <t>EDUARDO FERREIRA</t>
  </si>
  <si>
    <t>EDUARDO PELUZO</t>
  </si>
  <si>
    <t>RUBENS VALENTE</t>
  </si>
  <si>
    <t>THOMAZ FERREIRA</t>
  </si>
  <si>
    <t>CAROLINA ROCHA</t>
  </si>
  <si>
    <t>MARINA CORREA</t>
  </si>
  <si>
    <t>ARTHUR PEREIRA</t>
  </si>
  <si>
    <t>MARIANA BAPTISTA</t>
  </si>
  <si>
    <t>CLARISSA SANTOS</t>
  </si>
  <si>
    <t>LUCAS ALMEIDA</t>
  </si>
  <si>
    <t>CAROLINA MOTTA</t>
  </si>
  <si>
    <t>ISABELA RESENDE</t>
  </si>
  <si>
    <t>JOÃO ARAUJO</t>
  </si>
  <si>
    <t>MARCELO GUADAGNINO</t>
  </si>
  <si>
    <t>THALES PORTILLO</t>
  </si>
  <si>
    <t>PRISCILA GARCIA</t>
  </si>
  <si>
    <t>JUAN FERNANDES</t>
  </si>
  <si>
    <t>CAMILLA CARDEMAN</t>
  </si>
  <si>
    <t>ADRIELLE VIEIRA</t>
  </si>
  <si>
    <t>PEDRO CARDOSO</t>
  </si>
  <si>
    <t>RAPHAEL MATTOS</t>
  </si>
  <si>
    <t>WILSON MIRANDA</t>
  </si>
  <si>
    <t>GIOVANNA SANTOS</t>
  </si>
  <si>
    <t>LUCAS ROCHA</t>
  </si>
  <si>
    <t>GABRIELLE VIRÍSSIMO</t>
  </si>
  <si>
    <t>ADRIANE GOMES</t>
  </si>
  <si>
    <t>GABRIEL ASSIS</t>
  </si>
  <si>
    <t>GABRIEL RUBIM</t>
  </si>
  <si>
    <t>LUCAS JUNIOR</t>
  </si>
  <si>
    <t>LUCAS VILLANOVA</t>
  </si>
  <si>
    <t>GABRIELA MELLO</t>
  </si>
  <si>
    <t>LUCAS MONTE</t>
  </si>
  <si>
    <t>GLENDA SANTOS</t>
  </si>
  <si>
    <t>RACHEL SILVA</t>
  </si>
  <si>
    <t>LORENA KOHN</t>
  </si>
  <si>
    <t>JORGE FONSECA</t>
  </si>
  <si>
    <t>ANDERSON BARRETO</t>
  </si>
  <si>
    <t>ANDRESSA NÓBREGA</t>
  </si>
  <si>
    <t>FERNANDA FIGUEIREDO</t>
  </si>
  <si>
    <t>ANNA SILVA</t>
  </si>
  <si>
    <t>MATHEUS SILVA</t>
  </si>
  <si>
    <t>ULISSES QUINTO</t>
  </si>
  <si>
    <t>VICTOR GOMES</t>
  </si>
  <si>
    <t>JOÃO COSTA</t>
  </si>
  <si>
    <t>LUCAS DESTRI</t>
  </si>
  <si>
    <t>JULIANA CORREA</t>
  </si>
  <si>
    <t>LUIZA CABRAL</t>
  </si>
  <si>
    <t>GABRIEL SOARES</t>
  </si>
  <si>
    <t>JÉSSICA NETTO</t>
  </si>
  <si>
    <t>MARCELO BORGES</t>
  </si>
  <si>
    <t>DIEGO RODRIGUES</t>
  </si>
  <si>
    <t>RAFAEL RAMOS</t>
  </si>
  <si>
    <t>JULIANA HOLLANDER</t>
  </si>
  <si>
    <t>AMANDA DELGADO</t>
  </si>
  <si>
    <t>ANDERSON CAVALCANTI</t>
  </si>
  <si>
    <t>RAFAELA GONÇALVES</t>
  </si>
  <si>
    <t>JULIA PENTEADO</t>
  </si>
  <si>
    <t>PRISCILA CARVALHO</t>
  </si>
  <si>
    <t>CAROLINA ABRAHÃO</t>
  </si>
  <si>
    <t>LUIS SILVA</t>
  </si>
  <si>
    <t>THALES ANDRADE</t>
  </si>
  <si>
    <t>NATHAN MORELLI</t>
  </si>
  <si>
    <t>PATRICK SILVA</t>
  </si>
  <si>
    <t>MIGUEL CARNEIRO</t>
  </si>
  <si>
    <t>ELENA BARRETO</t>
  </si>
  <si>
    <t>RAUL JUNQUEIRA</t>
  </si>
  <si>
    <t>RAFAELA FERREIRA</t>
  </si>
  <si>
    <t>LUCAS LIMA</t>
  </si>
  <si>
    <t>LÍVIA MARQUES</t>
  </si>
  <si>
    <t>BRUNA ROSA</t>
  </si>
  <si>
    <t>MATEUS POLASTRI</t>
  </si>
  <si>
    <t>MATHEUS MORAES</t>
  </si>
  <si>
    <t>DANIEL TERRA</t>
  </si>
  <si>
    <t>LETÍCIA ARAUJO</t>
  </si>
  <si>
    <t>JÚLIA ALMEIDA</t>
  </si>
  <si>
    <t>LÁZARO NASCIMENTO</t>
  </si>
  <si>
    <t>FILLIPE ALMEIDA</t>
  </si>
  <si>
    <t>ANNA MAIA</t>
  </si>
  <si>
    <t>BRUNO BARCESSAT</t>
  </si>
  <si>
    <t>FERNANDA RUBIM</t>
  </si>
  <si>
    <t>JONATAS ESSABER</t>
  </si>
  <si>
    <t>DAVID VASCONCELOS</t>
  </si>
  <si>
    <t>VICTOR FRANCO</t>
  </si>
  <si>
    <t>FERNANDA SILVA</t>
  </si>
  <si>
    <t>GABRIEL AZEVEDO</t>
  </si>
  <si>
    <t>DEYSIANE BACH</t>
  </si>
  <si>
    <t>BEATRIZ SILVA</t>
  </si>
  <si>
    <t>SANDY MOREIRA</t>
  </si>
  <si>
    <t>JOSÉ JESUS</t>
  </si>
  <si>
    <t>ANA FELIPPE</t>
  </si>
  <si>
    <t>RAFAEL WAJNSZTOK</t>
  </si>
  <si>
    <t>ALEX FERNANDES</t>
  </si>
  <si>
    <t>RAFAELA RODRIGUES</t>
  </si>
  <si>
    <t>STEPHANIE OLIVEIRA</t>
  </si>
  <si>
    <t>RAFAEL GUIMARÃES</t>
  </si>
  <si>
    <t>MARIA CORREA</t>
  </si>
  <si>
    <t>LÍVIA TANAKA</t>
  </si>
  <si>
    <t>PATRÍCIA FERNANDES</t>
  </si>
  <si>
    <t>CÍCERO LIMA</t>
  </si>
  <si>
    <t>JOÃO BACH</t>
  </si>
  <si>
    <t>DANILO MENDONÇA</t>
  </si>
  <si>
    <t>JOSÉ FONSECA</t>
  </si>
  <si>
    <t>CAROLINE PINTO</t>
  </si>
  <si>
    <t>VICTOR LIRA</t>
  </si>
  <si>
    <t>CAROLINE AQUINO</t>
  </si>
  <si>
    <t>LETICIA MESQUITA</t>
  </si>
  <si>
    <t>MYLLENA CORRÊA</t>
  </si>
  <si>
    <t>JULIA TEIXEIRA</t>
  </si>
  <si>
    <t>LUIZ CONCEIÇÃO</t>
  </si>
  <si>
    <t>CARLOS SILVA</t>
  </si>
  <si>
    <t>RAFAELA GOMES</t>
  </si>
  <si>
    <t>THOMÁZ VANNIER</t>
  </si>
  <si>
    <t>JOÃO MONTEIRO</t>
  </si>
  <si>
    <t>DYKSON SILVA</t>
  </si>
  <si>
    <t>MANUELA MEREGE</t>
  </si>
  <si>
    <t>JULIE FERREIRA</t>
  </si>
  <si>
    <t>LUCAS COSTA</t>
  </si>
  <si>
    <t>CARLOS BARBOSA</t>
  </si>
  <si>
    <t>GABRIEL THOME</t>
  </si>
  <si>
    <t>HÉRCULES MOREIRA</t>
  </si>
  <si>
    <t>WILSON VIANNA</t>
  </si>
  <si>
    <t>ISABELLE FIRMINO</t>
  </si>
  <si>
    <t>ALON PALMEIRA</t>
  </si>
  <si>
    <t>VIVIANNE RODRIGUES</t>
  </si>
  <si>
    <t>FERNANDA JUNIOR</t>
  </si>
  <si>
    <t>GABRIELLE WANDERLEY</t>
  </si>
  <si>
    <t>SYLVIO BERNHARDT</t>
  </si>
  <si>
    <t>LUCAS BAPTISTA</t>
  </si>
  <si>
    <t>DAVID CAMPELO</t>
  </si>
  <si>
    <t>GABRIEL THONI</t>
  </si>
  <si>
    <t>CAROLINE CAVALCANTI</t>
  </si>
  <si>
    <t>GABRIEL PEREIRA</t>
  </si>
  <si>
    <t>GIOVANA VILELA</t>
  </si>
  <si>
    <t>WENDELA VELOSO</t>
  </si>
  <si>
    <t>MARINA PERDOMO</t>
  </si>
  <si>
    <t>EDUARDO PACHECO</t>
  </si>
  <si>
    <t>THAIS RODRIGUES</t>
  </si>
  <si>
    <t>GUILHERME MONTEIRO</t>
  </si>
  <si>
    <t>GUILHERME SEIXAS</t>
  </si>
  <si>
    <t>JOÃO LUZ</t>
  </si>
  <si>
    <t>JEFERSON SONE</t>
  </si>
  <si>
    <t>GUILHERME VIANNA</t>
  </si>
  <si>
    <t>REBECA REIS</t>
  </si>
  <si>
    <t>ERICK SOARES</t>
  </si>
  <si>
    <t>RAÍSA RODRIGUES</t>
  </si>
  <si>
    <t>ULISSES FILHO</t>
  </si>
  <si>
    <t>BIANCA ALLEVATO</t>
  </si>
  <si>
    <t>LUCAS RODRIGUES</t>
  </si>
  <si>
    <t>KIMBERLY SAD</t>
  </si>
  <si>
    <t>LUIZA CAVALCANTI</t>
  </si>
  <si>
    <t>WILLIAM MENDONÇA</t>
  </si>
  <si>
    <t>CAROLINA FIGUEIREDO</t>
  </si>
  <si>
    <t>JOANA CALMON</t>
  </si>
  <si>
    <t>RAISSA PINHEIRO</t>
  </si>
  <si>
    <t>IVES PINHEIRO</t>
  </si>
  <si>
    <t>MARINA MESQUITA</t>
  </si>
  <si>
    <t>ARTHUR SOUZA</t>
  </si>
  <si>
    <t>LUIZA MARQUES</t>
  </si>
  <si>
    <t>ELAINE SANTOS</t>
  </si>
  <si>
    <t>LEANDRO FERREIRA</t>
  </si>
  <si>
    <t>GIUSEPPE BHERING</t>
  </si>
  <si>
    <t>PEDRO RONFINI</t>
  </si>
  <si>
    <t>RAISSA SALES</t>
  </si>
  <si>
    <t>MATHEUS MIRANDA</t>
  </si>
  <si>
    <t>GABRIELLE SILVA</t>
  </si>
  <si>
    <t>PLATINI HEIMLICH</t>
  </si>
  <si>
    <t>GABRIELLE PORTO</t>
  </si>
  <si>
    <t>IVES TEIXEIRA</t>
  </si>
  <si>
    <t>ANA CARVALHO</t>
  </si>
  <si>
    <t>GABRIELLE VASCONCELOS</t>
  </si>
  <si>
    <t>BRUNO OLIVEIRA</t>
  </si>
  <si>
    <t>ANA SOLEDADE</t>
  </si>
  <si>
    <t>BRUNO SALOMÃO</t>
  </si>
  <si>
    <t>JOÃO FONSECA</t>
  </si>
  <si>
    <t>LORENA CARVALHO</t>
  </si>
  <si>
    <t>THIAGO VELOSO</t>
  </si>
  <si>
    <t>FERNANDA BHERING</t>
  </si>
  <si>
    <t>MATHEUS DELGADO</t>
  </si>
  <si>
    <t>JÉSSICA TEIXEIRA</t>
  </si>
  <si>
    <t>BEATRIZ RODRIGUES</t>
  </si>
  <si>
    <t>JOÃO GUADAGNINO</t>
  </si>
  <si>
    <t>FELIPE MELLO</t>
  </si>
  <si>
    <t>GABRIELLE FIGUEIREDO</t>
  </si>
  <si>
    <t>JULIA LEITE</t>
  </si>
  <si>
    <t>SILVIO PROVENZANO</t>
  </si>
  <si>
    <t>MATHEUS SAPIR</t>
  </si>
  <si>
    <t>GABRIELA FERNANDES</t>
  </si>
  <si>
    <t>FABIO SEPÚLVEDA</t>
  </si>
  <si>
    <t>IZABEL MIURA</t>
  </si>
  <si>
    <t>RAÍZA LOPES</t>
  </si>
  <si>
    <t>CAROLINA RACHIDE</t>
  </si>
  <si>
    <t>NATALIA ACCIOLY</t>
  </si>
  <si>
    <t>JEFERSON COSTA</t>
  </si>
  <si>
    <t>REBECA MANHÃES</t>
  </si>
  <si>
    <t>DIEGO MELLO</t>
  </si>
  <si>
    <t>CAROLINA COSTA</t>
  </si>
  <si>
    <t>VINÍCIUS ANTUNES</t>
  </si>
  <si>
    <t>CARLOS ARAUJO</t>
  </si>
  <si>
    <t>PAOLA ABREU</t>
  </si>
  <si>
    <t>LEANDRO MELO</t>
  </si>
  <si>
    <t>WEN BRAGA</t>
  </si>
  <si>
    <t>DANIELA ROSA</t>
  </si>
  <si>
    <t>CAMILA BASTAZINI</t>
  </si>
  <si>
    <t>PAULA ISBELLE</t>
  </si>
  <si>
    <t>GIULIA LOPES</t>
  </si>
  <si>
    <t>JOÃO JÚNIOR</t>
  </si>
  <si>
    <t>LUIZ CAMPISTA</t>
  </si>
  <si>
    <t>BERNARDO NAUENBERG</t>
  </si>
  <si>
    <t>MARIA CARDOSO</t>
  </si>
  <si>
    <t>NATHALIA VENTURA</t>
  </si>
  <si>
    <t>FABIO BOCCALETTI</t>
  </si>
  <si>
    <t>AMANDA BRAGA</t>
  </si>
  <si>
    <t>JUAN BARBOSA</t>
  </si>
  <si>
    <t>LETÍCIA LEAL</t>
  </si>
  <si>
    <t>LETÍCIA RODRIGUES</t>
  </si>
  <si>
    <t>CARLOS SOUZA</t>
  </si>
  <si>
    <t>BRENO QUINTO</t>
  </si>
  <si>
    <t>ROBERTO NOGUEIRA</t>
  </si>
  <si>
    <t>GUILHERME RACHIDE</t>
  </si>
  <si>
    <t>GABRIEL ROCHA</t>
  </si>
  <si>
    <t>JÔNATAS TANAKA</t>
  </si>
  <si>
    <t>VICTOR OLIVEIRA</t>
  </si>
  <si>
    <t>CAROLINA VASCONCELOS</t>
  </si>
  <si>
    <t>VITOR ARRUDA</t>
  </si>
  <si>
    <t>CAROLINA SIQUEIRA</t>
  </si>
  <si>
    <t>LUCAS WANDERLEY</t>
  </si>
  <si>
    <t>CAROLINA BERNARDES</t>
  </si>
  <si>
    <t>PEDRO BURACO</t>
  </si>
  <si>
    <t>JULIANA GOES</t>
  </si>
  <si>
    <t>BRUNA CHEIN</t>
  </si>
  <si>
    <t>TADEU NAKAYAMA</t>
  </si>
  <si>
    <t>DANIEL CARDOSO</t>
  </si>
  <si>
    <t>EDUARDO SILVA</t>
  </si>
  <si>
    <t>HÉRCULES JÚNIOR</t>
  </si>
  <si>
    <t>BRENO FARIAS</t>
  </si>
  <si>
    <t>CAIO MORAES</t>
  </si>
  <si>
    <t>JOSÉ CARVALHO</t>
  </si>
  <si>
    <t>JULIA ALIANI</t>
  </si>
  <si>
    <t>FELIPE JORGE</t>
  </si>
  <si>
    <t>BEATRIZ PERDOMO</t>
  </si>
  <si>
    <t>STEPHANIE GONÇALVES</t>
  </si>
  <si>
    <t>GUILHERME SANTOS</t>
  </si>
  <si>
    <t>GABRIEL PUNTEL</t>
  </si>
  <si>
    <t>JONATAS PASSOS</t>
  </si>
  <si>
    <t>MILENA ALMEIDA</t>
  </si>
  <si>
    <t>ISABELLA SANTOS</t>
  </si>
  <si>
    <t>CARLA ZAKHM</t>
  </si>
  <si>
    <t>JOÃO CAPITULO</t>
  </si>
  <si>
    <t>LUIZ LIMP</t>
  </si>
  <si>
    <t>CAMILA SOBRAL</t>
  </si>
  <si>
    <t>VICTOR CORRÊA</t>
  </si>
  <si>
    <t>JULIA LEIG</t>
  </si>
  <si>
    <t>RAPHAEL GUEDES</t>
  </si>
  <si>
    <t>BEATRIZ ROCHA</t>
  </si>
  <si>
    <t>ALON FAHRNHOLZ</t>
  </si>
  <si>
    <t>NICOLAS MONTEIRO</t>
  </si>
  <si>
    <t>ARTHUR PORTELA</t>
  </si>
  <si>
    <t>JOÃO SILVA</t>
  </si>
  <si>
    <t>GISELIA THIELE</t>
  </si>
  <si>
    <t>ERIC CARVALHO</t>
  </si>
  <si>
    <t>CARLOS PORTELA</t>
  </si>
  <si>
    <t>PATRÍCIA AMARAL</t>
  </si>
  <si>
    <t>LUCAS CAVALCANTI</t>
  </si>
  <si>
    <t>ANA BÔAS</t>
  </si>
  <si>
    <t>RAPHAEL REZENDE</t>
  </si>
  <si>
    <t>LUIZ MARINHO</t>
  </si>
  <si>
    <t>ROBERTA PIMENTA</t>
  </si>
  <si>
    <t>BRUNA RANGEL</t>
  </si>
  <si>
    <t>CAIO CARDOSO</t>
  </si>
  <si>
    <t>SAMARA PINTO</t>
  </si>
  <si>
    <t>ALLAN GUEDES</t>
  </si>
  <si>
    <t>HENRIQUE VILLANOVA</t>
  </si>
  <si>
    <t>DOUGLAS RODRIGUES</t>
  </si>
  <si>
    <t>MONIQUE VASCONCELOS</t>
  </si>
  <si>
    <t>JOÃO ALVES</t>
  </si>
  <si>
    <t>BERNARDO SOARES</t>
  </si>
  <si>
    <t>ISAAC SANTOS</t>
  </si>
  <si>
    <t>MARINA MARINS</t>
  </si>
  <si>
    <t>MATEUS DUQUE</t>
  </si>
  <si>
    <t>PEDRO SANTANA</t>
  </si>
  <si>
    <t>MILENA ALCOFORADO</t>
  </si>
  <si>
    <t>RAFAELA FEIO</t>
  </si>
  <si>
    <t>JOSÉ VIEIRA</t>
  </si>
  <si>
    <t>BRUNO SILVA</t>
  </si>
  <si>
    <t>ROBERTO TIRADENTES</t>
  </si>
  <si>
    <t>LUÍSA FONSECA</t>
  </si>
  <si>
    <t>THAÍS RIBEIRO</t>
  </si>
  <si>
    <t>BERNARDO BOTELHO</t>
  </si>
  <si>
    <t>BRENO BRITTO</t>
  </si>
  <si>
    <t>LUCAS LEMOS</t>
  </si>
  <si>
    <t>PEDRO AYRES</t>
  </si>
  <si>
    <t>JULIA SILVA</t>
  </si>
  <si>
    <t>MARIANA FREIRE</t>
  </si>
  <si>
    <t>BRUNO FREITAS</t>
  </si>
  <si>
    <t>MATHEUS TOSTES</t>
  </si>
  <si>
    <t>JÚLIO FRAGA</t>
  </si>
  <si>
    <t>BRENO GODOY</t>
  </si>
  <si>
    <t>BRUNA GOMES</t>
  </si>
  <si>
    <t>ANA MIURA</t>
  </si>
  <si>
    <t>DEBORA SILVA</t>
  </si>
  <si>
    <t>ISABELA CHAGAS</t>
  </si>
  <si>
    <t>LUIS GARCIA</t>
  </si>
  <si>
    <t>ARTHUR FERNANDES</t>
  </si>
  <si>
    <t>ALBERTO SILVEIRA</t>
  </si>
  <si>
    <t>BRUNA FRANCO</t>
  </si>
  <si>
    <t>VITOR BOCCALETTI</t>
  </si>
  <si>
    <t>NATHAN CUNHA</t>
  </si>
  <si>
    <t>THIAGO NÓBREGA</t>
  </si>
  <si>
    <t>LARISSA NAUENBERG</t>
  </si>
  <si>
    <t>MORGANA CORREA</t>
  </si>
  <si>
    <t>BRUNO URSULINO</t>
  </si>
  <si>
    <t>RENAN FREIRE</t>
  </si>
  <si>
    <t>JESSICA CORDOVIL</t>
  </si>
  <si>
    <t>VICTOR SOARES</t>
  </si>
  <si>
    <t>BRENO CAPUTO</t>
  </si>
  <si>
    <t>MARIANE FERREIRA</t>
  </si>
  <si>
    <t>BEATRIZ BIASE</t>
  </si>
  <si>
    <t>VICTORIA MAZZA</t>
  </si>
  <si>
    <t>JOÃO PEÇANHA</t>
  </si>
  <si>
    <t>AMANDA ROBERTO</t>
  </si>
  <si>
    <t>BIANCA TATSCH</t>
  </si>
  <si>
    <t>PAULA CALBUCCI</t>
  </si>
  <si>
    <t>DIOGO PEIXOTO</t>
  </si>
  <si>
    <t>MELISSA NUCCI</t>
  </si>
  <si>
    <t>LARISSA CRUZ</t>
  </si>
  <si>
    <t>BRENO COSTA</t>
  </si>
  <si>
    <t>PEDRO XAVIER</t>
  </si>
  <si>
    <t>GUSTAVO JUNIOR</t>
  </si>
  <si>
    <t>BRENNO MIRANDA</t>
  </si>
  <si>
    <t>MARCELA JOHNSON</t>
  </si>
  <si>
    <t>NORMAN JIMBO</t>
  </si>
  <si>
    <t>RAVENA BHERING</t>
  </si>
  <si>
    <t>BRENO VARELLA</t>
  </si>
  <si>
    <t>MARIA MOTTA</t>
  </si>
  <si>
    <t>CARLOS MELO</t>
  </si>
  <si>
    <t>JULIANA MESQUITA</t>
  </si>
  <si>
    <t>AUDIR FRANCO</t>
  </si>
  <si>
    <t>VANESSA NEVES</t>
  </si>
  <si>
    <t>MILENA PEREIRA</t>
  </si>
  <si>
    <t>PAULA CAVALCANTI</t>
  </si>
  <si>
    <t>LUIS SOUZA</t>
  </si>
  <si>
    <t>RILSON DIAS</t>
  </si>
  <si>
    <t>BRUNO FERREIRA</t>
  </si>
  <si>
    <t>CARLOS AZEVEDO</t>
  </si>
  <si>
    <t>KATHARINA BARROS</t>
  </si>
  <si>
    <t>LUCAS ASSUNÇÃO</t>
  </si>
  <si>
    <t>VIVIANE SOUZA</t>
  </si>
  <si>
    <t>JOÃO SIQUEIRA</t>
  </si>
  <si>
    <t>CAROLINA CARNEIRO</t>
  </si>
  <si>
    <t>ERIC JÚNIOR</t>
  </si>
  <si>
    <t>JÔNATAS CASTRO</t>
  </si>
  <si>
    <t>LUCAS VALIM</t>
  </si>
  <si>
    <t>THALES GOUVÊA</t>
  </si>
  <si>
    <t>JOÃO MENEZES</t>
  </si>
  <si>
    <t>LUCAS ARAGÃO</t>
  </si>
  <si>
    <t>RENAN VENTURA</t>
  </si>
  <si>
    <t>ADRIANA PASSOS</t>
  </si>
  <si>
    <t>PRISCILA SUZANO</t>
  </si>
  <si>
    <t>ROBERTA NOGUEIRA</t>
  </si>
  <si>
    <t>RODRIGO FEIJO</t>
  </si>
  <si>
    <t>BÁRBARA LIMA</t>
  </si>
  <si>
    <t>GUILHERME MEROTTO</t>
  </si>
  <si>
    <t>ALVARO KRANZ</t>
  </si>
  <si>
    <t>ALINE ANDRADE</t>
  </si>
  <si>
    <t>RAÍSSA NIMER</t>
  </si>
  <si>
    <t>JOÃO PEDRAZZA</t>
  </si>
  <si>
    <t>ANA CAMPOS</t>
  </si>
  <si>
    <t>ANDRESSA ROTSZTEJN</t>
  </si>
  <si>
    <t>BRUNO VELUCCI</t>
  </si>
  <si>
    <t>LUÃ SÁ</t>
  </si>
  <si>
    <t>ANANDA DIAS</t>
  </si>
  <si>
    <t>HELENA CHAFIN</t>
  </si>
  <si>
    <t>ERIC NEVES</t>
  </si>
  <si>
    <t>CLARA SILVEIRA</t>
  </si>
  <si>
    <t>PEDRO JORGE</t>
  </si>
  <si>
    <t>MARCELO MAGALHÃES</t>
  </si>
  <si>
    <t>LUCAS FREITAS</t>
  </si>
  <si>
    <t>PEDRO DALFORNE</t>
  </si>
  <si>
    <t>RODRIGO RAMOS</t>
  </si>
  <si>
    <t>CARLOS ASSIS</t>
  </si>
  <si>
    <t>MARIA MOITA</t>
  </si>
  <si>
    <t>LUCAS REIS</t>
  </si>
  <si>
    <t>ANDERSON MARTINS</t>
  </si>
  <si>
    <t>ROJANE LIMA</t>
  </si>
  <si>
    <t>GABRIEL RIBEIRO</t>
  </si>
  <si>
    <t>GIUSEPPE BORGES</t>
  </si>
  <si>
    <t>RAPHAEL KURTZ</t>
  </si>
  <si>
    <t>MARIANA BARROZO</t>
  </si>
  <si>
    <t>ANTONIO BERNHARDT</t>
  </si>
  <si>
    <t>ANA ALMEIDA</t>
  </si>
  <si>
    <t>ANTÔNIO SOARES</t>
  </si>
  <si>
    <t>ITAI PUNTEL</t>
  </si>
  <si>
    <t>MARIANE RACY</t>
  </si>
  <si>
    <t>JOÃO JUNIOR</t>
  </si>
  <si>
    <t>RAÍSSA OROS</t>
  </si>
  <si>
    <t>MARINA CORMACK</t>
  </si>
  <si>
    <t>MICHELLE MIURA</t>
  </si>
  <si>
    <t>ALLAN CANDIDO</t>
  </si>
  <si>
    <t>ALESSANDRA MARTINS</t>
  </si>
  <si>
    <t>LUIZA FARIAS</t>
  </si>
  <si>
    <t>GUSTAVO THOME</t>
  </si>
  <si>
    <t>YASMIM VERLY</t>
  </si>
  <si>
    <t>MARIA JUNIOR</t>
  </si>
  <si>
    <t>LUIZA PROCACI</t>
  </si>
  <si>
    <t>FELIPE JÚNIOR</t>
  </si>
  <si>
    <t>STHEFESON PEREIRA</t>
  </si>
  <si>
    <t>LIVIA CORRÊA</t>
  </si>
  <si>
    <t>THAYANE RESENDE</t>
  </si>
  <si>
    <t>NATALIA MARINHO</t>
  </si>
  <si>
    <t>NATÁLIA APPEL</t>
  </si>
  <si>
    <t>RAMON ARAUJO</t>
  </si>
  <si>
    <t>LUIZA RIBEIRO</t>
  </si>
  <si>
    <t>BIANCA FEREZIN</t>
  </si>
  <si>
    <t>LUIZA JOHNSON</t>
  </si>
  <si>
    <t>DAVID ASSUMPÇÃO</t>
  </si>
  <si>
    <t>HELVIO PEDROSA</t>
  </si>
  <si>
    <t>RAISSA NEGRELLI</t>
  </si>
  <si>
    <t>FELIPE FREITAS</t>
  </si>
  <si>
    <t>ROGÉRIO GENTILE</t>
  </si>
  <si>
    <t>JOSÉ SEIXAS</t>
  </si>
  <si>
    <t>GABRIELLE COSTA</t>
  </si>
  <si>
    <t>ALON PESTANA</t>
  </si>
  <si>
    <t>GUSTAVO GUIMARÃES</t>
  </si>
  <si>
    <t>JOYCE MEDINA</t>
  </si>
  <si>
    <t>LARA MOREIRA</t>
  </si>
  <si>
    <t>EDUARDO LOPES</t>
  </si>
  <si>
    <t>JÉSSICA RESINENTE</t>
  </si>
  <si>
    <t>MARINA MIRANDA</t>
  </si>
  <si>
    <t>WILSON BRANDÃO</t>
  </si>
  <si>
    <t>MARCELO ROSA</t>
  </si>
  <si>
    <t>MATHEUS FIGUEIREDO</t>
  </si>
  <si>
    <t>CAIO AFFONSO</t>
  </si>
  <si>
    <t>VANESSA BACH</t>
  </si>
  <si>
    <t>AMANDA MACHADO</t>
  </si>
  <si>
    <t>CAROLL JOHNSON</t>
  </si>
  <si>
    <t>MATHEUS SOUZA</t>
  </si>
  <si>
    <t>BEATRIZ ALMEIDA</t>
  </si>
  <si>
    <t>LUCAS LACERDA</t>
  </si>
  <si>
    <t>RAPHAEL FILHO</t>
  </si>
  <si>
    <t>BEATRIZ CAVALCANTI</t>
  </si>
  <si>
    <t>MAURÍCIO DIAS</t>
  </si>
  <si>
    <t>LEONARDO FERREIRA</t>
  </si>
  <si>
    <t>DIOGO RESSURREIÇÃO</t>
  </si>
  <si>
    <t>PEDRO BITENCOURT</t>
  </si>
  <si>
    <t>CLÁUDIO ARAGÃO</t>
  </si>
  <si>
    <t>ANA MICHETTI</t>
  </si>
  <si>
    <t>ADRIELLE GABRIEL</t>
  </si>
  <si>
    <t>JULIANA HUON</t>
  </si>
  <si>
    <t>RENAN FIRMINO</t>
  </si>
  <si>
    <t>BRUNA SILVEIRA</t>
  </si>
  <si>
    <t>THALES FANARA</t>
  </si>
  <si>
    <t>PAULA CARNEIRO</t>
  </si>
  <si>
    <t>THAÍS MOURA</t>
  </si>
  <si>
    <t>JULIANA GUIMARÃES</t>
  </si>
  <si>
    <t>LIVIA COZENDEY</t>
  </si>
  <si>
    <t>ADRIANE CHAGAS</t>
  </si>
  <si>
    <t>BÁRBARA CAVALCANTE</t>
  </si>
  <si>
    <t>JÉSSICA STEFANELLI</t>
  </si>
  <si>
    <t>BRUNA BRANDAO</t>
  </si>
  <si>
    <t>JULIA FIGUEIREDO</t>
  </si>
  <si>
    <t>THAINÁ BINELLO</t>
  </si>
  <si>
    <t>RODRIGO ALVES</t>
  </si>
  <si>
    <t>RAFAEL PORTELA</t>
  </si>
  <si>
    <t>AMANDA GONTIJO</t>
  </si>
  <si>
    <t>GABRIEL SILVA</t>
  </si>
  <si>
    <t>DANIEL FELIPPE</t>
  </si>
  <si>
    <t>DANIEL VALENTE</t>
  </si>
  <si>
    <t>VITOR CAMPOS</t>
  </si>
  <si>
    <t>BIANCA PROCACI</t>
  </si>
  <si>
    <t>GUILHERME ASSIS</t>
  </si>
  <si>
    <t>GUIDO MONTEIRO</t>
  </si>
  <si>
    <t>WELLINGTON DUARTE</t>
  </si>
  <si>
    <t>ALEXANDRE RODRIGUEZ</t>
  </si>
  <si>
    <t>BRUNA SOARES</t>
  </si>
  <si>
    <t>ARTHUR ROCHA</t>
  </si>
  <si>
    <t>FELIPE CAVALCANTI</t>
  </si>
  <si>
    <t>GABRIEL GARCIA</t>
  </si>
  <si>
    <t>SILVIO FAHRNHOLZ</t>
  </si>
  <si>
    <t>DANDARA REIS</t>
  </si>
  <si>
    <t>ISABELLE GONÇALVES</t>
  </si>
  <si>
    <t>THIAGO MIURA</t>
  </si>
  <si>
    <t>ADRIANO SILVA</t>
  </si>
  <si>
    <t>CARLOS CARDOSO</t>
  </si>
  <si>
    <t>ANDRE SAMPAIO</t>
  </si>
  <si>
    <t>STHEFESON KOHN</t>
  </si>
  <si>
    <t>GUSTAVO GOMES</t>
  </si>
  <si>
    <t>SANDY RIBEIRO</t>
  </si>
  <si>
    <t>KARINE BARROS</t>
  </si>
  <si>
    <t>THIAGO VEIGA</t>
  </si>
  <si>
    <t>ADRIANA CARNEIRO</t>
  </si>
  <si>
    <t>VIVIANE CUNHA</t>
  </si>
  <si>
    <t>DANIEL SOUSA</t>
  </si>
  <si>
    <t>RAÍSSA OLIVEIRA</t>
  </si>
  <si>
    <t>GUSTAVO AZEVEDO</t>
  </si>
  <si>
    <t>PRISCILA VOGEL</t>
  </si>
  <si>
    <t>ALINE MELLO</t>
  </si>
  <si>
    <t>PEDRO CONCEIÇÃO</t>
  </si>
  <si>
    <t>LARISSA VASCONCELLOS</t>
  </si>
  <si>
    <t>DANIEL ALCOFORADO</t>
  </si>
  <si>
    <t>ANA MONTE</t>
  </si>
  <si>
    <t>WILSON FARIAS</t>
  </si>
  <si>
    <t>JESSICA FERREIRA</t>
  </si>
  <si>
    <t>DANIEL MONTEIRO</t>
  </si>
  <si>
    <t>NATALIA GUEDES</t>
  </si>
  <si>
    <t>PALOMA SPERANDEI</t>
  </si>
  <si>
    <t>CATARINA TEIXEIRA</t>
  </si>
  <si>
    <t>MARIA GASPERI</t>
  </si>
  <si>
    <t>ANA FIORETTI</t>
  </si>
  <si>
    <t>MARCELA MEDEIROS</t>
  </si>
  <si>
    <t>RAUL SILVEIRA</t>
  </si>
  <si>
    <t>ANDRÉ ALVES</t>
  </si>
  <si>
    <t>MARIA ASSUMPÇÃO</t>
  </si>
  <si>
    <t>GUILHERME JORDAO</t>
  </si>
  <si>
    <t>ANA GONZAGA</t>
  </si>
  <si>
    <t>ROBERTA TEIXEIRA</t>
  </si>
  <si>
    <t>CAROLINA BRUM</t>
  </si>
  <si>
    <t>MATEUS FRANCO</t>
  </si>
  <si>
    <t>CAIO FERNANDES</t>
  </si>
  <si>
    <t>EDUARDO VEIGA</t>
  </si>
  <si>
    <t>RAPHAEL MACHADO</t>
  </si>
  <si>
    <t>ANTONIO MANHÃES</t>
  </si>
  <si>
    <t>LUÍZA GOULART</t>
  </si>
  <si>
    <t>VICTOR ZAKHM</t>
  </si>
  <si>
    <t>GUILHERME BARBOSA</t>
  </si>
  <si>
    <t>DANIELA PEREIRA</t>
  </si>
  <si>
    <t>DANIEL ARAUJO</t>
  </si>
  <si>
    <t>FABIO RAMOS</t>
  </si>
  <si>
    <t>KHAIO MESQUITA</t>
  </si>
  <si>
    <t>GABRIELA ALIANI</t>
  </si>
  <si>
    <t>YASMIM BITTENCOURT</t>
  </si>
  <si>
    <t>VITTORIO FREITAS</t>
  </si>
  <si>
    <t>BERNARDO BORGES</t>
  </si>
  <si>
    <t>MAYARA SOARES</t>
  </si>
  <si>
    <t>MÔNICA ROTOLO</t>
  </si>
  <si>
    <t>PHILIPE MORETE</t>
  </si>
  <si>
    <t>RENAN CUNHA</t>
  </si>
  <si>
    <t>ISABELLA SCALABRIN</t>
  </si>
  <si>
    <t>PEDRO PEREIRA</t>
  </si>
  <si>
    <t>ANNA FIGUEIREDO</t>
  </si>
  <si>
    <t>MARIANA SOUSA</t>
  </si>
  <si>
    <t>MICHELLE FIGUEIREDO</t>
  </si>
  <si>
    <t>ADRIELLE FORTE</t>
  </si>
  <si>
    <t>PEDRO MARTINS</t>
  </si>
  <si>
    <t>PEDRO SANTOS</t>
  </si>
  <si>
    <t>GUSTAVO ARAGÃO</t>
  </si>
  <si>
    <t>VANESSA RODRIGUES</t>
  </si>
  <si>
    <t>VICTORIA TAVARES</t>
  </si>
  <si>
    <t>BRUNO SOUZA</t>
  </si>
  <si>
    <t>JULIANA PACHECO</t>
  </si>
  <si>
    <t>PEDRO DELGADO</t>
  </si>
  <si>
    <t>LUIS OLIVEIRA</t>
  </si>
  <si>
    <t>BRUNA SILVA</t>
  </si>
  <si>
    <t>AMANDA AMARAL</t>
  </si>
  <si>
    <t>BERNARDO RIBEIRO</t>
  </si>
  <si>
    <t>SARAH SOUZA</t>
  </si>
  <si>
    <t>ISABELA RODRIGUES</t>
  </si>
  <si>
    <t>MARINA DELGADO</t>
  </si>
  <si>
    <t>ANÍZIO CARVALHO</t>
  </si>
  <si>
    <t>DESIRÉE HEIMLICH</t>
  </si>
  <si>
    <t>ULISSES ARRUDA</t>
  </si>
  <si>
    <t>JOÃO AIRES</t>
  </si>
  <si>
    <t>JOÃO CASTILHO</t>
  </si>
  <si>
    <t>BEATRIZ SANTOS</t>
  </si>
  <si>
    <t>Preço Unitário</t>
  </si>
  <si>
    <t>Mês da Venda</t>
  </si>
  <si>
    <t>Soma de Valor Total</t>
  </si>
  <si>
    <t>Soma de Quantidade Vendida</t>
  </si>
  <si>
    <t>Ano</t>
  </si>
  <si>
    <t>Rótulos de Linha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</si>
  <si>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</si>
  <si>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</si>
  <si>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</si>
  <si>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</si>
  <si>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</si>
  <si>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</si>
  <si>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</si>
  <si>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</si>
  <si>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</si>
  <si>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</si>
  <si>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</si>
  <si>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</si>
  <si>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Geral</t>
  </si>
  <si>
    <t>IPhone 7 - Dourado</t>
  </si>
  <si>
    <t>IPad 32GB Wifi - Prata</t>
  </si>
  <si>
    <t>IPhone XS - Preto</t>
  </si>
  <si>
    <t>IPhone 6S - Rosa</t>
  </si>
  <si>
    <t>Câmera Digital - Azul</t>
  </si>
  <si>
    <t>Smart Watch - Azul</t>
  </si>
  <si>
    <t>Smart Watch - Amarelo</t>
  </si>
  <si>
    <t>Câmera Coolpix - Cinza</t>
  </si>
  <si>
    <t>Câmera Digital T6 - Preto</t>
  </si>
  <si>
    <t>Samsung S24 FE - Preto</t>
  </si>
  <si>
    <t>Corresp</t>
  </si>
  <si>
    <t>Índice</t>
  </si>
  <si>
    <t>Índice + Corresp</t>
  </si>
  <si>
    <t>Lista de produtos</t>
  </si>
  <si>
    <t>Lista de ícones</t>
  </si>
  <si>
    <t>Tabela Dinâmica dos Produtos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</si>
</sst>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"/>
    <numFmt numFmtId="165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3" borderId="6" xfId="0" applyFill="1" applyBorder="1"/>
    <xf numFmtId="0" fontId="0" fillId="0" borderId="6" xfId="0" applyBorder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3" borderId="7" xfId="0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0" borderId="0" xfId="0" applyNumberFormat="1"/>
    <xf numFmtId="0" fontId="0" fillId="0" borderId="0" xfId="0" applyBorder="1"/>
  </cellXfs>
  <cellStyles count="1">
    <cellStyle name="Normal" xfId="0" builtinId="0"/>
  </cellStyles>
  <dxfs count="39"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2060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Segmentação de Dados 1" pivot="0" table="0" count="1" xr9:uid="{BF9AF46B-3EFE-4A26-B4FE-D52E9B28EA46}">
      <tableStyleElement type="wholeTable" dxfId="38"/>
    </tableStyle>
    <tableStyle name="Estilo de Segmentação de Dados 2" pivot="0" table="0" count="9" xr9:uid="{FBE67D00-9CED-4447-A6BA-7BD5BA8AF76B}">
      <tableStyleElement type="wholeTable" dxfId="37"/>
    </tableStyle>
  </tableStyles>
  <colors>
    <mruColors>
      <color rgb="FFFF33CC"/>
      <color rgb="FF8D8C72"/>
      <color rgb="FF777777"/>
    </mruColors>
  </colors>
  <extLst>
    <ext xmlns:x14="http://schemas.microsoft.com/office/spreadsheetml/2009/9/main" uri="{46F421CA-312F-682f-3DD2-61675219B42D}">
      <x14:dxfs count="8">
        <dxf>
          <fill>
            <patternFill patternType="none">
              <bgColor auto="1"/>
            </patternFill>
          </fill>
        </dxf>
        <dxf>
          <fill>
            <patternFill patternType="none">
              <bgColor auto="1"/>
            </patternFill>
          </fill>
        </dxf>
        <dxf>
          <fill>
            <patternFill>
              <bgColor theme="0" tint="-0.499984740745262"/>
            </patternFill>
          </fill>
        </dxf>
        <dxf>
          <fill>
            <patternFill>
              <bgColor theme="4" tint="0.39994506668294322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 tint="-0.499984740745262"/>
            </patternFill>
          </fill>
        </dxf>
        <dxf>
          <fill>
            <patternFill patternType="none">
              <bgColor auto="1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1!Tabela dinâmica3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E0C402D-4B34-4786-AC3B-46D3F5044FB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92970C-39EF-4E0E-BB5A-11BA2240024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347AA7E-4DCD-4286-9EC5-A6182EE6556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8AA6425-4622-413F-AD16-2A0497648CC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4237AC4-519C-485F-82AD-496BBBC9D6B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A872C6B-FB1D-48EC-BE56-7B5CE1A1ABFB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F2B7179-D9DE-46B0-852B-9C93BF7E82A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38ED3FE-4DA2-4D35-B433-819E287A6BE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B1830A0-A0B3-49C4-986A-2245214D8C3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EA55E23-C7FD-4F94-A3F0-B58791BBD2DB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2E00AE9-1154-4D45-A60B-1635F6A87DD4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A365C8-7E3E-4119-B04F-8F76DF36A7A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E0C402D-4B34-4786-AC3B-46D3F5044FBC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92970C-39EF-4E0E-BB5A-11BA2240024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347AA7E-4DCD-4286-9EC5-A6182EE6556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8AA6425-4622-413F-AD16-2A0497648CC3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4237AC4-519C-485F-82AD-496BBBC9D6B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A872C6B-FB1D-48EC-BE56-7B5CE1A1ABFB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F2B7179-D9DE-46B0-852B-9C93BF7E82A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38ED3FE-4DA2-4D35-B433-819E287A6BE2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EB1830A0-A0B3-49C4-986A-2245214D8C3E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EA55E23-C7FD-4F94-A3F0-B58791BBD2DB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2E00AE9-1154-4D45-A60B-1635F6A87DD4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A365C8-7E3E-4119-B04F-8F76DF36A7A9}" type="CELLRANGE">
                  <a:rPr lang="en-US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F894DB9-B2A9-4C0F-B6E3-839B31600F7E}" type="CELLRANGE">
                  <a:rPr lang="en-US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565EE4D-3D62-46AD-94B0-30277C97A3E1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C073E68-9111-48B7-A4D8-9B527AB09F48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F6E6115-58E4-4981-93AA-DD57D3CEDF10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B2B8308-D421-419E-AB55-B9DF9B282EC8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F3E4C62-0BB0-42B1-B8D1-EC71E59B990C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24B8544-F89B-4989-8C45-257FC35CC11F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9597218-93A1-4964-9BDC-C29604BD3B83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7817E78-E0EE-4CB0-882D-39AB179809A9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3669411-6C12-4248-9F1E-528B4E725280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C545889-CD17-4124-9656-692EAC147F5A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FBEEA8A-2C9A-4F72-B5CC-D05AFC3DDA5D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6.0714473099365094E-3"/>
          <c:y val="7.0512856103803812E-2"/>
          <c:w val="0.99392855269006353"/>
          <c:h val="0.780780224500416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1'!$D$2:$D$13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E19-4118-8463-B0A3D7D361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19-4118-8463-B0A3D7D361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19-4118-8463-B0A3D7D361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19-4118-8463-B0A3D7D361A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E19-4118-8463-B0A3D7D361A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19-4118-8463-B0A3D7D361A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19-4118-8463-B0A3D7D361A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E19-4118-8463-B0A3D7D361A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E19-4118-8463-B0A3D7D361A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E19-4118-8463-B0A3D7D361A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E19-4118-8463-B0A3D7D361A4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E19-4118-8463-B0A3D7D361A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F894DB9-B2A9-4C0F-B6E3-839B31600F7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3E19-4118-8463-B0A3D7D361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65EE4D-3D62-46AD-94B0-30277C97A3E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19-4118-8463-B0A3D7D361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073E68-9111-48B7-A4D8-9B527AB09F4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19-4118-8463-B0A3D7D361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6E6115-58E4-4981-93AA-DD57D3CEDF1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19-4118-8463-B0A3D7D361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2B8308-D421-419E-AB55-B9DF9B282EC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19-4118-8463-B0A3D7D361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3E4C62-0BB0-42B1-B8D1-EC71E59B990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19-4118-8463-B0A3D7D361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4B8544-F89B-4989-8C45-257FC35CC11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19-4118-8463-B0A3D7D361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597218-93A1-4964-9BDC-C29604BD3B8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19-4118-8463-B0A3D7D361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817E78-E0EE-4CB0-882D-39AB179809A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19-4118-8463-B0A3D7D361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669411-6C12-4248-9F1E-528B4E72528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19-4118-8463-B0A3D7D361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545889-CD17-4124-9656-692EAC147F5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19-4118-8463-B0A3D7D361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BEEA8A-2C9A-4F72-B5CC-D05AFC3DDA5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19-4118-8463-B0A3D7D361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'Tabela 1'!$D$2:$D$13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1'!$D$2:$D$13</c:f>
              <c:numCache>
                <c:formatCode>"R$"\ #,##0</c:formatCode>
                <c:ptCount val="12"/>
                <c:pt idx="0">
                  <c:v>172300</c:v>
                </c:pt>
                <c:pt idx="1">
                  <c:v>191350</c:v>
                </c:pt>
                <c:pt idx="2">
                  <c:v>129750</c:v>
                </c:pt>
                <c:pt idx="3">
                  <c:v>125250</c:v>
                </c:pt>
                <c:pt idx="4">
                  <c:v>172800</c:v>
                </c:pt>
                <c:pt idx="5">
                  <c:v>295100</c:v>
                </c:pt>
                <c:pt idx="6">
                  <c:v>157350</c:v>
                </c:pt>
                <c:pt idx="7">
                  <c:v>219650</c:v>
                </c:pt>
                <c:pt idx="8">
                  <c:v>188650</c:v>
                </c:pt>
                <c:pt idx="9">
                  <c:v>170250</c:v>
                </c:pt>
                <c:pt idx="10">
                  <c:v>190050</c:v>
                </c:pt>
                <c:pt idx="11">
                  <c:v>155950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'Tabela 1'!$D$2:$D$13</c15:f>
                <c15:dlblRangeCache>
                  <c:ptCount val="12"/>
                  <c:pt idx="0">
                    <c:v>172 MIL</c:v>
                  </c:pt>
                  <c:pt idx="1">
                    <c:v>191 MIL</c:v>
                  </c:pt>
                  <c:pt idx="2">
                    <c:v>130 MIL</c:v>
                  </c:pt>
                  <c:pt idx="3">
                    <c:v>125 MIL</c:v>
                  </c:pt>
                  <c:pt idx="4">
                    <c:v>173 MIL</c:v>
                  </c:pt>
                  <c:pt idx="5">
                    <c:v>295 MIL</c:v>
                  </c:pt>
                  <c:pt idx="6">
                    <c:v>157 MIL</c:v>
                  </c:pt>
                  <c:pt idx="7">
                    <c:v>220 MIL</c:v>
                  </c:pt>
                  <c:pt idx="8">
                    <c:v>189 MIL</c:v>
                  </c:pt>
                  <c:pt idx="9">
                    <c:v>170 MIL</c:v>
                  </c:pt>
                  <c:pt idx="10">
                    <c:v>190 MIL</c:v>
                  </c:pt>
                  <c:pt idx="11">
                    <c:v>156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3E19-4118-8463-B0A3D7D361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115125456"/>
        <c:axId val="1115125816"/>
      </c:barChart>
      <c:catAx>
        <c:axId val="111512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5125816"/>
        <c:crosses val="autoZero"/>
        <c:auto val="1"/>
        <c:lblAlgn val="ctr"/>
        <c:lblOffset val="100"/>
        <c:noMultiLvlLbl val="0"/>
      </c:catAx>
      <c:valAx>
        <c:axId val="1115125816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1151254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2!Tabela dinâmica4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1D1F9D-E7B7-4693-B0AF-C380EBB97725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B05A2E2-0639-4330-B5E5-D1A77F7037FA}" type="CELLRANGE">
                  <a:rPr lang="en-US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327B102-78B9-4A34-B81C-6B825DB43EBE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C02D489-BE1B-43E3-8338-A95932B85942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F6B2A83-FF53-4D6E-BC88-AA68DE86AA40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30D4FB3-0FA9-4044-BF43-ADD92A06B1BA}" type="CELLRANGE">
                  <a:rPr lang="en-US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"/>
      </c:pivotFmt>
    </c:pivotFmts>
    <c:plotArea>
      <c:layout>
        <c:manualLayout>
          <c:layoutTarget val="inner"/>
          <c:xMode val="edge"/>
          <c:yMode val="edge"/>
          <c:x val="0.11260205201622525"/>
          <c:y val="6.9510268562401265E-2"/>
          <c:w val="0.8873979479837748"/>
          <c:h val="0.8609794628751974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2'!$D$2:$D$5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710-BB76-0C6D53250E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C3F-4710-BB76-0C6D53250EC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710-BB76-0C6D53250EC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C3F-4710-BB76-0C6D53250EC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B05A2E2-0639-4330-B5E5-D1A77F7037F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C3F-4710-BB76-0C6D53250E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1D1F9D-E7B7-4693-B0AF-C380EBB9772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3F-4710-BB76-0C6D53250E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27B102-78B9-4A34-B81C-6B825DB43EB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3F-4710-BB76-0C6D53250E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02D489-BE1B-43E3-8338-A95932B8594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3F-4710-BB76-0C6D53250E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'Tabela 2'!$D$2:$D$5</c:f>
              <c:strCache>
                <c:ptCount val="4"/>
                <c:pt idx="0">
                  <c:v>PE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 2'!$D$2:$D$5</c:f>
              <c:numCache>
                <c:formatCode>"R$"\ #,##0</c:formatCode>
                <c:ptCount val="4"/>
                <c:pt idx="0">
                  <c:v>179250</c:v>
                </c:pt>
                <c:pt idx="1">
                  <c:v>183450</c:v>
                </c:pt>
                <c:pt idx="2">
                  <c:v>507850</c:v>
                </c:pt>
                <c:pt idx="3">
                  <c:v>680350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'Tabela 2'!$D$2:$D$5</c15:f>
                <c15:dlblRangeCache>
                  <c:ptCount val="4"/>
                  <c:pt idx="0">
                    <c:v>179 MIL</c:v>
                  </c:pt>
                  <c:pt idx="1">
                    <c:v>183 MIL</c:v>
                  </c:pt>
                  <c:pt idx="2">
                    <c:v>508 MIL</c:v>
                  </c:pt>
                  <c:pt idx="3">
                    <c:v>680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C3F-4710-BB76-0C6D53250E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115126176"/>
        <c:axId val="1115126536"/>
      </c:barChart>
      <c:catAx>
        <c:axId val="111512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5126536"/>
        <c:crosses val="autoZero"/>
        <c:auto val="1"/>
        <c:lblAlgn val="ctr"/>
        <c:lblOffset val="100"/>
        <c:noMultiLvlLbl val="0"/>
      </c:catAx>
      <c:valAx>
        <c:axId val="1115126536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111512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0476190476190476"/>
          <c:w val="1"/>
          <c:h val="0.67430221222347209"/>
        </c:manualLayout>
      </c:layout>
      <c:areaChart>
        <c:grouping val="standard"/>
        <c:varyColors val="0"/>
        <c:ser>
          <c:idx val="0"/>
          <c:order val="0"/>
          <c:tx>
            <c:v>Meses</c:v>
          </c:tx>
          <c:spPr>
            <a:solidFill>
              <a:schemeClr val="accent1">
                <a:alpha val="44000"/>
              </a:schemeClr>
            </a:solidFill>
            <a:ln>
              <a:solidFill>
                <a:schemeClr val="accent5">
                  <a:lumMod val="50000"/>
                  <a:alpha val="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cat>
            <c:strRef>
              <c:f>'Tabela 3'!$A$2:$A$13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3'!$B$2:$B$13</c:f>
              <c:numCache>
                <c:formatCode>General</c:formatCode>
                <c:ptCount val="12"/>
                <c:pt idx="0">
                  <c:v>76</c:v>
                </c:pt>
                <c:pt idx="1">
                  <c:v>87</c:v>
                </c:pt>
                <c:pt idx="2">
                  <c:v>63</c:v>
                </c:pt>
                <c:pt idx="3">
                  <c:v>64</c:v>
                </c:pt>
                <c:pt idx="4">
                  <c:v>74</c:v>
                </c:pt>
                <c:pt idx="5">
                  <c:v>109</c:v>
                </c:pt>
                <c:pt idx="6">
                  <c:v>76</c:v>
                </c:pt>
                <c:pt idx="7">
                  <c:v>85</c:v>
                </c:pt>
                <c:pt idx="8">
                  <c:v>82</c:v>
                </c:pt>
                <c:pt idx="9">
                  <c:v>74</c:v>
                </c:pt>
                <c:pt idx="10">
                  <c:v>84</c:v>
                </c:pt>
                <c:pt idx="11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8-4F4C-8D81-2F41C5BDC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757728"/>
        <c:axId val="1235765648"/>
      </c:areaChart>
      <c:lineChart>
        <c:grouping val="standard"/>
        <c:varyColors val="0"/>
        <c:ser>
          <c:idx val="1"/>
          <c:order val="1"/>
          <c:tx>
            <c:strRef>
              <c:f>'Tabela 3'!$A$1</c:f>
              <c:strCache>
                <c:ptCount val="1"/>
                <c:pt idx="0">
                  <c:v>Rótulos de Linha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alpha val="7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'Tabela 3'!$B$2:$B$13</c:f>
              <c:numCache>
                <c:formatCode>General</c:formatCode>
                <c:ptCount val="12"/>
                <c:pt idx="0">
                  <c:v>76</c:v>
                </c:pt>
                <c:pt idx="1">
                  <c:v>87</c:v>
                </c:pt>
                <c:pt idx="2">
                  <c:v>63</c:v>
                </c:pt>
                <c:pt idx="3">
                  <c:v>64</c:v>
                </c:pt>
                <c:pt idx="4">
                  <c:v>74</c:v>
                </c:pt>
                <c:pt idx="5">
                  <c:v>109</c:v>
                </c:pt>
                <c:pt idx="6">
                  <c:v>76</c:v>
                </c:pt>
                <c:pt idx="7">
                  <c:v>85</c:v>
                </c:pt>
                <c:pt idx="8">
                  <c:v>82</c:v>
                </c:pt>
                <c:pt idx="9">
                  <c:v>74</c:v>
                </c:pt>
                <c:pt idx="10">
                  <c:v>84</c:v>
                </c:pt>
                <c:pt idx="11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F8-4F4C-8D81-2F41C5BDC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757728"/>
        <c:axId val="1235765648"/>
      </c:lineChart>
      <c:catAx>
        <c:axId val="123575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5765648"/>
        <c:crosses val="autoZero"/>
        <c:auto val="1"/>
        <c:lblAlgn val="ctr"/>
        <c:lblOffset val="100"/>
        <c:noMultiLvlLbl val="0"/>
      </c:catAx>
      <c:valAx>
        <c:axId val="1235765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57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4!Tabela dinâmica6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7"/>
        <c:spPr>
          <a:solidFill>
            <a:schemeClr val="accent4">
              <a:lumMod val="75000"/>
            </a:schemeClr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8"/>
        <c:spPr>
          <a:solidFill>
            <a:srgbClr val="0070C0"/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584630868509857"/>
          <c:y val="1.7537315148239325E-2"/>
          <c:w val="0.41823258934738422"/>
          <c:h val="0.69593317917116271"/>
        </c:manualLayout>
      </c:layout>
      <c:doughnutChart>
        <c:varyColors val="1"/>
        <c:ser>
          <c:idx val="0"/>
          <c:order val="0"/>
          <c:tx>
            <c:strRef>
              <c:f>'Tabela 4'!$B$1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4A-4053-87FE-6C5B58056E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4A-4053-87FE-6C5B58056E06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4A-4053-87FE-6C5B58056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4'!$A$2:$A$5</c:f>
              <c:strCache>
                <c:ptCount val="3"/>
                <c:pt idx="0">
                  <c:v>Entre 30 e 50 anos</c:v>
                </c:pt>
                <c:pt idx="1">
                  <c:v>Maior que 50 anos</c:v>
                </c:pt>
                <c:pt idx="2">
                  <c:v>Menor que 30 anos</c:v>
                </c:pt>
              </c:strCache>
            </c:strRef>
          </c:cat>
          <c:val>
            <c:numRef>
              <c:f>'Tabela 4'!$B$2:$B$5</c:f>
              <c:numCache>
                <c:formatCode>"R$"\ #,##0</c:formatCode>
                <c:ptCount val="3"/>
                <c:pt idx="0">
                  <c:v>954800</c:v>
                </c:pt>
                <c:pt idx="1">
                  <c:v>913900</c:v>
                </c:pt>
                <c:pt idx="2">
                  <c:v>299750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4A-4053-87FE-6C5B58056E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620394672888113E-2"/>
          <c:y val="0.74849730239848566"/>
          <c:w val="0.98537950841043842"/>
          <c:h val="0.25150269760151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1!Tabela dinâmica3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B59DE07-C048-4BEA-854F-2CB62ADC17CC}" type="CELLRANGE">
                  <a:rPr lang="en-US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455AC32-6CAC-4521-8B01-A0D305603BAD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0EA27BC-04D5-4564-A0BA-FC1B41FA9891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F02FA28-09F1-48D5-835D-F2C04F6C1D76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5ABA1D7-D930-448E-AC46-B1A155AAEA56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4F2284D-4CCC-4565-9E4B-F2CC099A7770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D50BED1-9A41-464A-B353-2B2EBBBCB156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15B51FE-98AE-4E39-AEB4-3128AD24522A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B6B8494-3267-41B5-B0CA-3D3BF2DE6738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4A377A5-9531-43FB-9299-35C30DD267DA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91A8D3A-068F-46D2-BDCA-70CF54A4CED2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631AD68-1AA1-459B-923A-C97B18C0EB56}" type="CELLRANGE">
                  <a:rPr lang="pt-BR"/>
                  <a:pPr>
                    <a:defRPr/>
                  </a:pPr>
                  <a:t>[INTERVALODACÉLULA]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6.1111111111111109E-2"/>
          <c:y val="3.7037037037037035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1'!$D$2:$D$13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E17-41BC-8B82-A0684504620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E17-41BC-8B82-A0684504620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BE17-41BC-8B82-A0684504620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E17-41BC-8B82-A0684504620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E17-41BC-8B82-A0684504620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E17-41BC-8B82-A0684504620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E17-41BC-8B82-A0684504620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E17-41BC-8B82-A0684504620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E17-41BC-8B82-A0684504620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E17-41BC-8B82-A0684504620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E17-41BC-8B82-A0684504620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BE17-41BC-8B82-A0684504620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B59DE07-C048-4BEA-854F-2CB62ADC17C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E17-41BC-8B82-A068450462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55AC32-6CAC-4521-8B01-A0D305603BA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17-41BC-8B82-A068450462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EA27BC-04D5-4564-A0BA-FC1B41FA989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17-41BC-8B82-A068450462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02FA28-09F1-48D5-835D-F2C04F6C1D7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17-41BC-8B82-A068450462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ABA1D7-D930-448E-AC46-B1A155AAEA5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17-41BC-8B82-A068450462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F2284D-4CCC-4565-9E4B-F2CC099A777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17-41BC-8B82-A068450462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50BED1-9A41-464A-B353-2B2EBBBCB15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17-41BC-8B82-A068450462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5B51FE-98AE-4E39-AEB4-3128AD24522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17-41BC-8B82-A068450462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6B8494-3267-41B5-B0CA-3D3BF2DE673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17-41BC-8B82-A068450462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A377A5-9531-43FB-9299-35C30DD267D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17-41BC-8B82-A068450462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1A8D3A-068F-46D2-BDCA-70CF54A4CED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17-41BC-8B82-A068450462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31AD68-1AA1-459B-923A-C97B18C0EB5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17-41BC-8B82-A068450462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'Tabela 1'!$D$2:$D$13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1'!$D$2:$D$13</c:f>
              <c:numCache>
                <c:formatCode>"R$"\ #,##0</c:formatCode>
                <c:ptCount val="12"/>
                <c:pt idx="0">
                  <c:v>172300</c:v>
                </c:pt>
                <c:pt idx="1">
                  <c:v>191350</c:v>
                </c:pt>
                <c:pt idx="2">
                  <c:v>129750</c:v>
                </c:pt>
                <c:pt idx="3">
                  <c:v>125250</c:v>
                </c:pt>
                <c:pt idx="4">
                  <c:v>172800</c:v>
                </c:pt>
                <c:pt idx="5">
                  <c:v>295100</c:v>
                </c:pt>
                <c:pt idx="6">
                  <c:v>157350</c:v>
                </c:pt>
                <c:pt idx="7">
                  <c:v>219650</c:v>
                </c:pt>
                <c:pt idx="8">
                  <c:v>188650</c:v>
                </c:pt>
                <c:pt idx="9">
                  <c:v>170250</c:v>
                </c:pt>
                <c:pt idx="10">
                  <c:v>190050</c:v>
                </c:pt>
                <c:pt idx="11">
                  <c:v>155950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'Tabela 1'!$D$2:$D$13</c15:f>
                <c15:dlblRangeCache>
                  <c:ptCount val="12"/>
                  <c:pt idx="0">
                    <c:v>172 MIL</c:v>
                  </c:pt>
                  <c:pt idx="1">
                    <c:v>191 MIL</c:v>
                  </c:pt>
                  <c:pt idx="2">
                    <c:v>130 MIL</c:v>
                  </c:pt>
                  <c:pt idx="3">
                    <c:v>125 MIL</c:v>
                  </c:pt>
                  <c:pt idx="4">
                    <c:v>173 MIL</c:v>
                  </c:pt>
                  <c:pt idx="5">
                    <c:v>295 MIL</c:v>
                  </c:pt>
                  <c:pt idx="6">
                    <c:v>157 MIL</c:v>
                  </c:pt>
                  <c:pt idx="7">
                    <c:v>220 MIL</c:v>
                  </c:pt>
                  <c:pt idx="8">
                    <c:v>189 MIL</c:v>
                  </c:pt>
                  <c:pt idx="9">
                    <c:v>170 MIL</c:v>
                  </c:pt>
                  <c:pt idx="10">
                    <c:v>190 MIL</c:v>
                  </c:pt>
                  <c:pt idx="11">
                    <c:v>156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E17-41BC-8B82-A068450462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5125456"/>
        <c:axId val="1115125816"/>
      </c:barChart>
      <c:catAx>
        <c:axId val="111512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5125816"/>
        <c:crosses val="autoZero"/>
        <c:auto val="1"/>
        <c:lblAlgn val="ctr"/>
        <c:lblOffset val="100"/>
        <c:noMultiLvlLbl val="0"/>
      </c:catAx>
      <c:valAx>
        <c:axId val="1115125816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1151254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2!Tabela dinâmica4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289370078740154E-2"/>
          <c:y val="0.10185185185185185"/>
          <c:w val="0.90171062992125983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2'!$B$1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2'!$A$2:$A$6</c:f>
              <c:strCache>
                <c:ptCount val="4"/>
                <c:pt idx="0">
                  <c:v>PE</c:v>
                </c:pt>
                <c:pt idx="1">
                  <c:v>PR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 2'!$B$2:$B$6</c:f>
              <c:numCache>
                <c:formatCode>"R$"\ #,##0</c:formatCode>
                <c:ptCount val="4"/>
                <c:pt idx="0">
                  <c:v>179250</c:v>
                </c:pt>
                <c:pt idx="1">
                  <c:v>183450</c:v>
                </c:pt>
                <c:pt idx="2">
                  <c:v>507850</c:v>
                </c:pt>
                <c:pt idx="3">
                  <c:v>680350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9-45A4-99EF-B33C81A35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126176"/>
        <c:axId val="1115126536"/>
      </c:barChart>
      <c:catAx>
        <c:axId val="111512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5126536"/>
        <c:crosses val="autoZero"/>
        <c:auto val="1"/>
        <c:lblAlgn val="ctr"/>
        <c:lblOffset val="100"/>
        <c:noMultiLvlLbl val="0"/>
      </c:catAx>
      <c:valAx>
        <c:axId val="1115126536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111512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Meses</c:v>
          </c:tx>
          <c:spPr>
            <a:solidFill>
              <a:schemeClr val="accent1">
                <a:alpha val="44000"/>
              </a:schemeClr>
            </a:solidFill>
            <a:ln>
              <a:solidFill>
                <a:schemeClr val="accent5">
                  <a:lumMod val="50000"/>
                  <a:alpha val="0"/>
                </a:schemeClr>
              </a:solidFill>
            </a:ln>
            <a:effectLst/>
          </c:spPr>
          <c:cat>
            <c:strRef>
              <c:f>'Tabela 3'!$A$2:$A$13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3'!$B$2:$B$13</c:f>
              <c:numCache>
                <c:formatCode>General</c:formatCode>
                <c:ptCount val="12"/>
                <c:pt idx="0">
                  <c:v>76</c:v>
                </c:pt>
                <c:pt idx="1">
                  <c:v>87</c:v>
                </c:pt>
                <c:pt idx="2">
                  <c:v>63</c:v>
                </c:pt>
                <c:pt idx="3">
                  <c:v>64</c:v>
                </c:pt>
                <c:pt idx="4">
                  <c:v>74</c:v>
                </c:pt>
                <c:pt idx="5">
                  <c:v>109</c:v>
                </c:pt>
                <c:pt idx="6">
                  <c:v>76</c:v>
                </c:pt>
                <c:pt idx="7">
                  <c:v>85</c:v>
                </c:pt>
                <c:pt idx="8">
                  <c:v>82</c:v>
                </c:pt>
                <c:pt idx="9">
                  <c:v>74</c:v>
                </c:pt>
                <c:pt idx="10">
                  <c:v>84</c:v>
                </c:pt>
                <c:pt idx="11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9-4806-90D8-86CD35FE6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757728"/>
        <c:axId val="1235765648"/>
      </c:areaChart>
      <c:lineChart>
        <c:grouping val="standard"/>
        <c:varyColors val="0"/>
        <c:ser>
          <c:idx val="1"/>
          <c:order val="1"/>
          <c:tx>
            <c:strRef>
              <c:f>'Tabela 3'!$A$1</c:f>
              <c:strCache>
                <c:ptCount val="1"/>
                <c:pt idx="0">
                  <c:v>Rótulos de Linha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'Tabela 3'!$B$2:$B$13</c:f>
              <c:numCache>
                <c:formatCode>General</c:formatCode>
                <c:ptCount val="12"/>
                <c:pt idx="0">
                  <c:v>76</c:v>
                </c:pt>
                <c:pt idx="1">
                  <c:v>87</c:v>
                </c:pt>
                <c:pt idx="2">
                  <c:v>63</c:v>
                </c:pt>
                <c:pt idx="3">
                  <c:v>64</c:v>
                </c:pt>
                <c:pt idx="4">
                  <c:v>74</c:v>
                </c:pt>
                <c:pt idx="5">
                  <c:v>109</c:v>
                </c:pt>
                <c:pt idx="6">
                  <c:v>76</c:v>
                </c:pt>
                <c:pt idx="7">
                  <c:v>85</c:v>
                </c:pt>
                <c:pt idx="8">
                  <c:v>82</c:v>
                </c:pt>
                <c:pt idx="9">
                  <c:v>74</c:v>
                </c:pt>
                <c:pt idx="10">
                  <c:v>84</c:v>
                </c:pt>
                <c:pt idx="11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C9-4806-90D8-86CD35FE6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757728"/>
        <c:axId val="1235765648"/>
      </c:lineChart>
      <c:catAx>
        <c:axId val="123575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5765648"/>
        <c:crosses val="autoZero"/>
        <c:auto val="1"/>
        <c:lblAlgn val="ctr"/>
        <c:lblOffset val="100"/>
        <c:noMultiLvlLbl val="0"/>
      </c:catAx>
      <c:valAx>
        <c:axId val="1235765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57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Inicial.xlsm]Tabela 4!Tabela dinâmica6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 4'!$B$1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CA-4541-BA2E-DBBD65324D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A-4541-BA2E-DBBD65324D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CA-4541-BA2E-DBBD65324D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4'!$A$2:$A$5</c:f>
              <c:strCache>
                <c:ptCount val="3"/>
                <c:pt idx="0">
                  <c:v>Entre 30 e 50 anos</c:v>
                </c:pt>
                <c:pt idx="1">
                  <c:v>Maior que 50 anos</c:v>
                </c:pt>
                <c:pt idx="2">
                  <c:v>Menor que 30 anos</c:v>
                </c:pt>
              </c:strCache>
            </c:strRef>
          </c:cat>
          <c:val>
            <c:numRef>
              <c:f>'Tabela 4'!$B$2:$B$5</c:f>
              <c:numCache>
                <c:formatCode>"R$"\ #,##0</c:formatCode>
                <c:ptCount val="3"/>
                <c:pt idx="0">
                  <c:v>954800</c:v>
                </c:pt>
                <c:pt idx="1">
                  <c:v>913900</c:v>
                </c:pt>
                <c:pt idx="2">
                  <c:v>299750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1-4C8F-B95A-28BF5EEABB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4.png"/><Relationship Id="rId7" Type="http://schemas.openxmlformats.org/officeDocument/2006/relationships/chart" Target="../charts/chart3.xml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chart" Target="../charts/chart2.xml"/><Relationship Id="rId11" Type="http://schemas.openxmlformats.org/officeDocument/2006/relationships/image" Target="../media/image28.emf"/><Relationship Id="rId5" Type="http://schemas.openxmlformats.org/officeDocument/2006/relationships/chart" Target="../charts/chart1.xml"/><Relationship Id="rId10" Type="http://schemas.openxmlformats.org/officeDocument/2006/relationships/image" Target="../media/image27.emf"/><Relationship Id="rId4" Type="http://schemas.openxmlformats.org/officeDocument/2006/relationships/image" Target="../media/image25.svg"/><Relationship Id="rId9" Type="http://schemas.openxmlformats.org/officeDocument/2006/relationships/image" Target="../media/image2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107017</xdr:rowOff>
    </xdr:from>
    <xdr:to>
      <xdr:col>20</xdr:col>
      <xdr:colOff>533400</xdr:colOff>
      <xdr:row>33</xdr:row>
      <xdr:rowOff>145117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87244B4-09BB-DAEA-ACBE-5ABFC3116B0F}"/>
            </a:ext>
          </a:extLst>
        </xdr:cNvPr>
        <xdr:cNvSpPr/>
      </xdr:nvSpPr>
      <xdr:spPr>
        <a:xfrm>
          <a:off x="0" y="107017"/>
          <a:ext cx="12635753" cy="63246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27213</xdr:colOff>
      <xdr:row>0</xdr:row>
      <xdr:rowOff>0</xdr:rowOff>
    </xdr:from>
    <xdr:to>
      <xdr:col>20</xdr:col>
      <xdr:colOff>571499</xdr:colOff>
      <xdr:row>15</xdr:row>
      <xdr:rowOff>136071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4860688-9B7F-59C0-5CC8-4B342CA4B091}"/>
            </a:ext>
          </a:extLst>
        </xdr:cNvPr>
        <xdr:cNvSpPr/>
      </xdr:nvSpPr>
      <xdr:spPr>
        <a:xfrm>
          <a:off x="27213" y="0"/>
          <a:ext cx="12736286" cy="2993571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56029</xdr:colOff>
      <xdr:row>0</xdr:row>
      <xdr:rowOff>156482</xdr:rowOff>
    </xdr:from>
    <xdr:to>
      <xdr:col>10</xdr:col>
      <xdr:colOff>280148</xdr:colOff>
      <xdr:row>7</xdr:row>
      <xdr:rowOff>190499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76D78EF-0290-47E3-B61A-6D7EA259A061}"/>
            </a:ext>
          </a:extLst>
        </xdr:cNvPr>
        <xdr:cNvSpPr/>
      </xdr:nvSpPr>
      <xdr:spPr>
        <a:xfrm>
          <a:off x="661147" y="156482"/>
          <a:ext cx="5670177" cy="1367517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435697</xdr:colOff>
      <xdr:row>3</xdr:row>
      <xdr:rowOff>156483</xdr:rowOff>
    </xdr:from>
    <xdr:to>
      <xdr:col>15</xdr:col>
      <xdr:colOff>81910</xdr:colOff>
      <xdr:row>7</xdr:row>
      <xdr:rowOff>168089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178D51-0816-C15F-3535-1BE25C4E8416}"/>
            </a:ext>
          </a:extLst>
        </xdr:cNvPr>
        <xdr:cNvSpPr/>
      </xdr:nvSpPr>
      <xdr:spPr>
        <a:xfrm>
          <a:off x="6486873" y="727983"/>
          <a:ext cx="2671802" cy="773606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304161</xdr:colOff>
      <xdr:row>3</xdr:row>
      <xdr:rowOff>156483</xdr:rowOff>
    </xdr:from>
    <xdr:to>
      <xdr:col>19</xdr:col>
      <xdr:colOff>562695</xdr:colOff>
      <xdr:row>7</xdr:row>
      <xdr:rowOff>168089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5F1454B-4D6D-5174-B4F1-C586A84B5FDF}"/>
            </a:ext>
          </a:extLst>
        </xdr:cNvPr>
        <xdr:cNvSpPr/>
      </xdr:nvSpPr>
      <xdr:spPr>
        <a:xfrm>
          <a:off x="9380926" y="727983"/>
          <a:ext cx="2679004" cy="773606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515471</xdr:colOff>
      <xdr:row>3</xdr:row>
      <xdr:rowOff>89647</xdr:rowOff>
    </xdr:from>
    <xdr:to>
      <xdr:col>19</xdr:col>
      <xdr:colOff>560295</xdr:colOff>
      <xdr:row>3</xdr:row>
      <xdr:rowOff>100853</xdr:rowOff>
    </xdr:to>
    <xdr:cxnSp macro="">
      <xdr:nvCxnSpPr>
        <xdr:cNvPr id="48" name="Conector reto 47">
          <a:extLst>
            <a:ext uri="{FF2B5EF4-FFF2-40B4-BE49-F238E27FC236}">
              <a16:creationId xmlns:a16="http://schemas.microsoft.com/office/drawing/2014/main" id="{6CD948BE-FB17-D825-2AC6-A5BB17E420A6}"/>
            </a:ext>
          </a:extLst>
        </xdr:cNvPr>
        <xdr:cNvCxnSpPr/>
      </xdr:nvCxnSpPr>
      <xdr:spPr>
        <a:xfrm flipV="1">
          <a:off x="6566647" y="661147"/>
          <a:ext cx="5490883" cy="1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292567</xdr:colOff>
      <xdr:row>22</xdr:row>
      <xdr:rowOff>54428</xdr:rowOff>
    </xdr:from>
    <xdr:to>
      <xdr:col>21</xdr:col>
      <xdr:colOff>10165</xdr:colOff>
      <xdr:row>33</xdr:row>
      <xdr:rowOff>20512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479D7698-C584-96D6-5307-968F44B5E538}"/>
            </a:ext>
          </a:extLst>
        </xdr:cNvPr>
        <xdr:cNvGrpSpPr/>
      </xdr:nvGrpSpPr>
      <xdr:grpSpPr>
        <a:xfrm>
          <a:off x="9436567" y="4245428"/>
          <a:ext cx="3375198" cy="2061584"/>
          <a:chOff x="9496333" y="4999375"/>
          <a:chExt cx="3375304" cy="1942515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7B50B4-177C-4EDD-2E60-DD10D9E039F6}"/>
              </a:ext>
            </a:extLst>
          </xdr:cNvPr>
          <xdr:cNvSpPr/>
        </xdr:nvSpPr>
        <xdr:spPr>
          <a:xfrm>
            <a:off x="9496743" y="5026193"/>
            <a:ext cx="2722436" cy="1915697"/>
          </a:xfrm>
          <a:prstGeom prst="roundRect">
            <a:avLst>
              <a:gd name="adj" fmla="val 9091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75EB5F97-B43D-773A-F93B-73573B9A4180}"/>
              </a:ext>
            </a:extLst>
          </xdr:cNvPr>
          <xdr:cNvGrpSpPr/>
        </xdr:nvGrpSpPr>
        <xdr:grpSpPr>
          <a:xfrm>
            <a:off x="9496333" y="4999375"/>
            <a:ext cx="2726211" cy="482137"/>
            <a:chOff x="839199" y="2799436"/>
            <a:chExt cx="8549519" cy="937619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72295E37-BCD5-9C21-9635-5DE5B6C637DD}"/>
                </a:ext>
              </a:extLst>
            </xdr:cNvPr>
            <xdr:cNvSpPr/>
          </xdr:nvSpPr>
          <xdr:spPr>
            <a:xfrm>
              <a:off x="848764" y="2799436"/>
              <a:ext cx="8529406" cy="854529"/>
            </a:xfrm>
            <a:prstGeom prst="roundRect">
              <a:avLst>
                <a:gd name="adj" fmla="val 23582"/>
              </a:avLst>
            </a:prstGeom>
            <a:solidFill>
              <a:srgbClr val="0070C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 34">
              <a:extLst>
                <a:ext uri="{FF2B5EF4-FFF2-40B4-BE49-F238E27FC236}">
                  <a16:creationId xmlns:a16="http://schemas.microsoft.com/office/drawing/2014/main" id="{272F43E2-D616-AFCE-C9F3-9ECECB434B65}"/>
                </a:ext>
              </a:extLst>
            </xdr:cNvPr>
            <xdr:cNvSpPr/>
          </xdr:nvSpPr>
          <xdr:spPr>
            <a:xfrm>
              <a:off x="839199" y="3384630"/>
              <a:ext cx="8549519" cy="352425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B8CDC015-9AE4-DBEB-E099-3D1179E98D0A}"/>
              </a:ext>
            </a:extLst>
          </xdr:cNvPr>
          <xdr:cNvSpPr txBox="1"/>
        </xdr:nvSpPr>
        <xdr:spPr>
          <a:xfrm>
            <a:off x="9539008" y="5038165"/>
            <a:ext cx="3332629" cy="459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000" baseline="0">
                <a:solidFill>
                  <a:schemeClr val="bg1"/>
                </a:solidFill>
              </a:rPr>
              <a:t>Receita Por Faixa Etária</a:t>
            </a:r>
            <a:endParaRPr lang="pt-BR" sz="20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604399</xdr:colOff>
      <xdr:row>4</xdr:row>
      <xdr:rowOff>5603</xdr:rowOff>
    </xdr:from>
    <xdr:to>
      <xdr:col>15</xdr:col>
      <xdr:colOff>22411</xdr:colOff>
      <xdr:row>6</xdr:row>
      <xdr:rowOff>168088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0D3B9B-3B23-59E3-18FC-20759A676A16}"/>
            </a:ext>
          </a:extLst>
        </xdr:cNvPr>
        <xdr:cNvGrpSpPr/>
      </xdr:nvGrpSpPr>
      <xdr:grpSpPr>
        <a:xfrm>
          <a:off x="8529199" y="767603"/>
          <a:ext cx="637212" cy="543485"/>
          <a:chOff x="8348382" y="795617"/>
          <a:chExt cx="762000" cy="638735"/>
        </a:xfrm>
      </xdr:grpSpPr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82D8C237-FD63-57E8-05A8-1CF80EEEE926}"/>
              </a:ext>
            </a:extLst>
          </xdr:cNvPr>
          <xdr:cNvSpPr/>
        </xdr:nvSpPr>
        <xdr:spPr>
          <a:xfrm>
            <a:off x="8348382" y="795617"/>
            <a:ext cx="762000" cy="638735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" name="Gráfico 12" descr="Dinheiro com preenchimento sólido">
            <a:extLst>
              <a:ext uri="{FF2B5EF4-FFF2-40B4-BE49-F238E27FC236}">
                <a16:creationId xmlns:a16="http://schemas.microsoft.com/office/drawing/2014/main" id="{3D2BC366-03E9-1EB6-3118-09B7D5906F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460441" y="802343"/>
            <a:ext cx="582705" cy="582705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481133</xdr:colOff>
      <xdr:row>4</xdr:row>
      <xdr:rowOff>5603</xdr:rowOff>
    </xdr:from>
    <xdr:to>
      <xdr:col>19</xdr:col>
      <xdr:colOff>504264</xdr:colOff>
      <xdr:row>6</xdr:row>
      <xdr:rowOff>168088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5FB84BCF-A559-0001-A424-0E2183C55F0D}"/>
            </a:ext>
          </a:extLst>
        </xdr:cNvPr>
        <xdr:cNvGrpSpPr/>
      </xdr:nvGrpSpPr>
      <xdr:grpSpPr>
        <a:xfrm>
          <a:off x="11453933" y="767603"/>
          <a:ext cx="632731" cy="543485"/>
          <a:chOff x="11239500" y="762000"/>
          <a:chExt cx="762000" cy="638735"/>
        </a:xfrm>
      </xdr:grpSpPr>
      <xdr:sp macro="" textlink="">
        <xdr:nvSpPr>
          <xdr:cNvPr id="11" name="Elipse 10">
            <a:extLst>
              <a:ext uri="{FF2B5EF4-FFF2-40B4-BE49-F238E27FC236}">
                <a16:creationId xmlns:a16="http://schemas.microsoft.com/office/drawing/2014/main" id="{95174680-F3D8-3DFF-B70A-B1F2C8923BD6}"/>
              </a:ext>
            </a:extLst>
          </xdr:cNvPr>
          <xdr:cNvSpPr/>
        </xdr:nvSpPr>
        <xdr:spPr>
          <a:xfrm>
            <a:off x="11239500" y="762000"/>
            <a:ext cx="762000" cy="638735"/>
          </a:xfrm>
          <a:prstGeom prst="ellipse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0" name="Gráfico 19" descr="Sinal com preenchimento sólido">
            <a:extLst>
              <a:ext uri="{FF2B5EF4-FFF2-40B4-BE49-F238E27FC236}">
                <a16:creationId xmlns:a16="http://schemas.microsoft.com/office/drawing/2014/main" id="{07B68C6A-B571-F74D-332B-76528DCEE8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322266" y="799783"/>
            <a:ext cx="600794" cy="60079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448236</xdr:colOff>
      <xdr:row>3</xdr:row>
      <xdr:rowOff>172011</xdr:rowOff>
    </xdr:from>
    <xdr:to>
      <xdr:col>13</xdr:col>
      <xdr:colOff>437030</xdr:colOff>
      <xdr:row>6</xdr:row>
      <xdr:rowOff>59951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FCEC6C51-3638-8DDA-0290-93333E18574C}"/>
            </a:ext>
          </a:extLst>
        </xdr:cNvPr>
        <xdr:cNvSpPr txBox="1"/>
      </xdr:nvSpPr>
      <xdr:spPr>
        <a:xfrm>
          <a:off x="6544236" y="743511"/>
          <a:ext cx="1817594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tx1"/>
              </a:solidFill>
            </a:rPr>
            <a:t>Valor</a:t>
          </a:r>
          <a:r>
            <a:rPr lang="pt-BR" sz="1800" baseline="0">
              <a:solidFill>
                <a:schemeClr val="tx1"/>
              </a:solidFill>
            </a:rPr>
            <a:t> Total</a:t>
          </a:r>
          <a:endParaRPr lang="pt-BR" sz="18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302559</xdr:colOff>
      <xdr:row>3</xdr:row>
      <xdr:rowOff>172011</xdr:rowOff>
    </xdr:from>
    <xdr:to>
      <xdr:col>19</xdr:col>
      <xdr:colOff>22412</xdr:colOff>
      <xdr:row>6</xdr:row>
      <xdr:rowOff>59951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C489E8E-C6D9-8820-6263-838E89AED310}"/>
            </a:ext>
          </a:extLst>
        </xdr:cNvPr>
        <xdr:cNvSpPr txBox="1"/>
      </xdr:nvSpPr>
      <xdr:spPr>
        <a:xfrm>
          <a:off x="9446559" y="743511"/>
          <a:ext cx="2158253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tx1"/>
              </a:solidFill>
            </a:rPr>
            <a:t>Quantidade</a:t>
          </a:r>
          <a:r>
            <a:rPr lang="pt-BR" sz="2000" baseline="0">
              <a:solidFill>
                <a:schemeClr val="tx1"/>
              </a:solidFill>
            </a:rPr>
            <a:t> </a:t>
          </a:r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414618</xdr:colOff>
      <xdr:row>6</xdr:row>
      <xdr:rowOff>16810</xdr:rowOff>
    </xdr:from>
    <xdr:to>
      <xdr:col>13</xdr:col>
      <xdr:colOff>403412</xdr:colOff>
      <xdr:row>8</xdr:row>
      <xdr:rowOff>95250</xdr:rowOff>
    </xdr:to>
    <xdr:sp macro="" textlink="Valores!A2">
      <xdr:nvSpPr>
        <xdr:cNvPr id="36" name="CaixaDeTexto 35">
          <a:extLst>
            <a:ext uri="{FF2B5EF4-FFF2-40B4-BE49-F238E27FC236}">
              <a16:creationId xmlns:a16="http://schemas.microsoft.com/office/drawing/2014/main" id="{72F6318E-FE03-80BD-FF7E-CF32E6997DFA}"/>
            </a:ext>
          </a:extLst>
        </xdr:cNvPr>
        <xdr:cNvSpPr txBox="1"/>
      </xdr:nvSpPr>
      <xdr:spPr>
        <a:xfrm>
          <a:off x="6510618" y="1159810"/>
          <a:ext cx="1817594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B2F8006-6598-4352-8EA6-345A986A4E22}" type="TxLink">
            <a:rPr lang="en-US" sz="17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R$ 2.168.450</a:t>
          </a:fld>
          <a:endParaRPr lang="pt-BR" sz="17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358588</xdr:colOff>
      <xdr:row>6</xdr:row>
      <xdr:rowOff>16810</xdr:rowOff>
    </xdr:from>
    <xdr:to>
      <xdr:col>18</xdr:col>
      <xdr:colOff>347382</xdr:colOff>
      <xdr:row>8</xdr:row>
      <xdr:rowOff>95250</xdr:rowOff>
    </xdr:to>
    <xdr:sp macro="" textlink="Valores!A6">
      <xdr:nvSpPr>
        <xdr:cNvPr id="38" name="CaixaDeTexto 37">
          <a:extLst>
            <a:ext uri="{FF2B5EF4-FFF2-40B4-BE49-F238E27FC236}">
              <a16:creationId xmlns:a16="http://schemas.microsoft.com/office/drawing/2014/main" id="{AEB1124F-3CBB-C205-FC00-5CED650E3AA7}"/>
            </a:ext>
          </a:extLst>
        </xdr:cNvPr>
        <xdr:cNvSpPr txBox="1"/>
      </xdr:nvSpPr>
      <xdr:spPr>
        <a:xfrm>
          <a:off x="9435353" y="1159810"/>
          <a:ext cx="1804147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7023A53-3152-41A0-AA8B-94054943AF6E}" type="TxLink">
            <a:rPr lang="en-US" sz="1700" b="1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Calibri"/>
              <a:cs typeface="Calibri"/>
            </a:rPr>
            <a:pPr/>
            <a:t> 947 </a:t>
          </a:fld>
          <a:endParaRPr lang="pt-BR" sz="17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16</xdr:col>
      <xdr:colOff>11206</xdr:colOff>
      <xdr:row>1</xdr:row>
      <xdr:rowOff>37260</xdr:rowOff>
    </xdr:from>
    <xdr:to>
      <xdr:col>19</xdr:col>
      <xdr:colOff>571500</xdr:colOff>
      <xdr:row>3</xdr:row>
      <xdr:rowOff>85446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Gênero 1">
              <a:extLst>
                <a:ext uri="{FF2B5EF4-FFF2-40B4-BE49-F238E27FC236}">
                  <a16:creationId xmlns:a16="http://schemas.microsoft.com/office/drawing/2014/main" id="{F9E881B8-493A-47EC-AFCF-22F3055EBD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ê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08349" y="227760"/>
              <a:ext cx="2397258" cy="4291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17933</xdr:colOff>
      <xdr:row>1</xdr:row>
      <xdr:rowOff>45385</xdr:rowOff>
    </xdr:from>
    <xdr:to>
      <xdr:col>15</xdr:col>
      <xdr:colOff>549088</xdr:colOff>
      <xdr:row>3</xdr:row>
      <xdr:rowOff>77322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Ano 1">
              <a:extLst>
                <a:ext uri="{FF2B5EF4-FFF2-40B4-BE49-F238E27FC236}">
                  <a16:creationId xmlns:a16="http://schemas.microsoft.com/office/drawing/2014/main" id="{BE0F108F-4108-4CE2-ADDB-B630E0B1CCA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78112" y="235885"/>
              <a:ext cx="1755797" cy="4129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33619</xdr:colOff>
      <xdr:row>0</xdr:row>
      <xdr:rowOff>56032</xdr:rowOff>
    </xdr:from>
    <xdr:to>
      <xdr:col>13</xdr:col>
      <xdr:colOff>560294</xdr:colOff>
      <xdr:row>1</xdr:row>
      <xdr:rowOff>179295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CDC9F7D0-2E7A-A1EF-DAD1-CCF03E4781B7}"/>
            </a:ext>
          </a:extLst>
        </xdr:cNvPr>
        <xdr:cNvSpPr txBox="1"/>
      </xdr:nvSpPr>
      <xdr:spPr>
        <a:xfrm>
          <a:off x="7900148" y="56032"/>
          <a:ext cx="526675" cy="3137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300" b="1">
              <a:solidFill>
                <a:schemeClr val="tx1"/>
              </a:solidFill>
            </a:rPr>
            <a:t>Ano</a:t>
          </a:r>
        </a:p>
      </xdr:txBody>
    </xdr:sp>
    <xdr:clientData/>
  </xdr:twoCellAnchor>
  <xdr:twoCellAnchor>
    <xdr:from>
      <xdr:col>15</xdr:col>
      <xdr:colOff>593912</xdr:colOff>
      <xdr:row>0</xdr:row>
      <xdr:rowOff>44826</xdr:rowOff>
    </xdr:from>
    <xdr:to>
      <xdr:col>17</xdr:col>
      <xdr:colOff>123264</xdr:colOff>
      <xdr:row>1</xdr:row>
      <xdr:rowOff>168089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2C8E300B-5CDA-897C-FDDF-2521C82EA519}"/>
            </a:ext>
          </a:extLst>
        </xdr:cNvPr>
        <xdr:cNvSpPr txBox="1"/>
      </xdr:nvSpPr>
      <xdr:spPr>
        <a:xfrm>
          <a:off x="9670677" y="44826"/>
          <a:ext cx="739587" cy="3137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</a:rPr>
            <a:t>Gênero</a:t>
          </a:r>
          <a:endParaRPr lang="pt-BR" sz="13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124386</xdr:colOff>
      <xdr:row>3</xdr:row>
      <xdr:rowOff>172011</xdr:rowOff>
    </xdr:from>
    <xdr:to>
      <xdr:col>4</xdr:col>
      <xdr:colOff>457200</xdr:colOff>
      <xdr:row>6</xdr:row>
      <xdr:rowOff>59951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8D719161-2754-0D44-18FD-0DD7E01EB4AF}"/>
            </a:ext>
          </a:extLst>
        </xdr:cNvPr>
        <xdr:cNvSpPr txBox="1"/>
      </xdr:nvSpPr>
      <xdr:spPr>
        <a:xfrm>
          <a:off x="733986" y="743511"/>
          <a:ext cx="2161614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8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55079</xdr:colOff>
      <xdr:row>0</xdr:row>
      <xdr:rowOff>147062</xdr:rowOff>
    </xdr:from>
    <xdr:to>
      <xdr:col>15</xdr:col>
      <xdr:colOff>110937</xdr:colOff>
      <xdr:row>21</xdr:row>
      <xdr:rowOff>129853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53B0D3A6-CF7E-3FAB-5668-608157B8EE6E}"/>
            </a:ext>
          </a:extLst>
        </xdr:cNvPr>
        <xdr:cNvGrpSpPr/>
      </xdr:nvGrpSpPr>
      <xdr:grpSpPr>
        <a:xfrm>
          <a:off x="664679" y="147062"/>
          <a:ext cx="8590258" cy="3983291"/>
          <a:chOff x="682609" y="316566"/>
          <a:chExt cx="8527505" cy="3983291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984A1906-8025-B8A8-7664-98DFC1DBB852}"/>
              </a:ext>
            </a:extLst>
          </xdr:cNvPr>
          <xdr:cNvSpPr/>
        </xdr:nvSpPr>
        <xdr:spPr>
          <a:xfrm>
            <a:off x="686761" y="1762125"/>
            <a:ext cx="8512468" cy="2537732"/>
          </a:xfrm>
          <a:prstGeom prst="roundRect">
            <a:avLst>
              <a:gd name="adj" fmla="val 7965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283EED-4D30-5148-C066-374E200F1753}"/>
              </a:ext>
            </a:extLst>
          </xdr:cNvPr>
          <xdr:cNvGrpSpPr/>
        </xdr:nvGrpSpPr>
        <xdr:grpSpPr>
          <a:xfrm>
            <a:off x="682609" y="316566"/>
            <a:ext cx="8527505" cy="1912284"/>
            <a:chOff x="687094" y="-951986"/>
            <a:chExt cx="8590256" cy="3590411"/>
          </a:xfrm>
        </xdr:grpSpPr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FC86E0FA-ACEF-1A6F-4011-00DE5375BDF8}"/>
                </a:ext>
              </a:extLst>
            </xdr:cNvPr>
            <xdr:cNvSpPr/>
          </xdr:nvSpPr>
          <xdr:spPr>
            <a:xfrm>
              <a:off x="687094" y="1762125"/>
              <a:ext cx="8590256" cy="854528"/>
            </a:xfrm>
            <a:prstGeom prst="roundRect">
              <a:avLst>
                <a:gd name="adj" fmla="val 23582"/>
              </a:avLst>
            </a:prstGeom>
            <a:solidFill>
              <a:srgbClr val="0070C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CDF43F70-FBD8-F22F-44E9-0BBF5DE9AD90}"/>
                </a:ext>
              </a:extLst>
            </xdr:cNvPr>
            <xdr:cNvSpPr/>
          </xdr:nvSpPr>
          <xdr:spPr>
            <a:xfrm>
              <a:off x="687094" y="2286000"/>
              <a:ext cx="8590256" cy="352425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1" name="Retângulo: Cantos Arredondados 1040">
              <a:extLst>
                <a:ext uri="{FF2B5EF4-FFF2-40B4-BE49-F238E27FC236}">
                  <a16:creationId xmlns:a16="http://schemas.microsoft.com/office/drawing/2014/main" id="{58FD9E34-9AC6-A6A9-CC95-81C027B36A32}"/>
                </a:ext>
              </a:extLst>
            </xdr:cNvPr>
            <xdr:cNvSpPr/>
          </xdr:nvSpPr>
          <xdr:spPr>
            <a:xfrm>
              <a:off x="687095" y="-951986"/>
              <a:ext cx="5708905" cy="586508"/>
            </a:xfrm>
            <a:prstGeom prst="roundRect">
              <a:avLst>
                <a:gd name="adj" fmla="val 23582"/>
              </a:avLst>
            </a:prstGeom>
            <a:solidFill>
              <a:srgbClr val="0070C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2" name="Retângulo 1041">
              <a:extLst>
                <a:ext uri="{FF2B5EF4-FFF2-40B4-BE49-F238E27FC236}">
                  <a16:creationId xmlns:a16="http://schemas.microsoft.com/office/drawing/2014/main" id="{B7E849B0-73ED-0C4E-E1E8-A2788F9BC4CF}"/>
                </a:ext>
              </a:extLst>
            </xdr:cNvPr>
            <xdr:cNvSpPr/>
          </xdr:nvSpPr>
          <xdr:spPr>
            <a:xfrm>
              <a:off x="687094" y="-617466"/>
              <a:ext cx="5708906" cy="294070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77941A26-48AB-05D0-F38E-0897BE44F286}"/>
              </a:ext>
            </a:extLst>
          </xdr:cNvPr>
          <xdr:cNvSpPr txBox="1"/>
        </xdr:nvSpPr>
        <xdr:spPr>
          <a:xfrm>
            <a:off x="3697942" y="1832163"/>
            <a:ext cx="3305735" cy="459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000">
                <a:solidFill>
                  <a:schemeClr val="bg1"/>
                </a:solidFill>
              </a:rPr>
              <a:t>Receita Total Por Mês</a:t>
            </a:r>
          </a:p>
        </xdr:txBody>
      </xdr:sp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900477B0-4D91-4F9B-B4D3-A42C42E2C8DC}"/>
              </a:ext>
            </a:extLst>
          </xdr:cNvPr>
          <xdr:cNvGraphicFramePr>
            <a:graphicFrameLocks/>
          </xdr:cNvGraphicFramePr>
        </xdr:nvGraphicFramePr>
        <xdr:xfrm>
          <a:off x="782010" y="2257426"/>
          <a:ext cx="8304280" cy="19811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15</xdr:col>
      <xdr:colOff>291354</xdr:colOff>
      <xdr:row>8</xdr:row>
      <xdr:rowOff>64435</xdr:rowOff>
    </xdr:from>
    <xdr:to>
      <xdr:col>20</xdr:col>
      <xdr:colOff>527539</xdr:colOff>
      <xdr:row>21</xdr:row>
      <xdr:rowOff>134040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7331274D-0E36-69DA-2C3D-78B1BAB18844}"/>
            </a:ext>
          </a:extLst>
        </xdr:cNvPr>
        <xdr:cNvGrpSpPr/>
      </xdr:nvGrpSpPr>
      <xdr:grpSpPr>
        <a:xfrm>
          <a:off x="9435354" y="1588435"/>
          <a:ext cx="3284185" cy="2546105"/>
          <a:chOff x="9368118" y="1762125"/>
          <a:chExt cx="3305735" cy="2546105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2501D413-E57B-00C6-CBFC-C77ED73FAA20}"/>
              </a:ext>
            </a:extLst>
          </xdr:cNvPr>
          <xdr:cNvSpPr/>
        </xdr:nvSpPr>
        <xdr:spPr>
          <a:xfrm>
            <a:off x="9381273" y="1765787"/>
            <a:ext cx="2728407" cy="2542443"/>
          </a:xfrm>
          <a:prstGeom prst="roundRect">
            <a:avLst>
              <a:gd name="adj" fmla="val 6469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28032C73-9039-94FC-068E-1BE0AA561AE2}"/>
              </a:ext>
            </a:extLst>
          </xdr:cNvPr>
          <xdr:cNvGrpSpPr/>
        </xdr:nvGrpSpPr>
        <xdr:grpSpPr>
          <a:xfrm>
            <a:off x="9372041" y="1762125"/>
            <a:ext cx="2749362" cy="458083"/>
            <a:chOff x="695325" y="1762123"/>
            <a:chExt cx="8582025" cy="876302"/>
          </a:xfrm>
          <a:effectLst/>
        </xdr:grpSpPr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43399D77-9941-0960-FCA7-9DA8A07CCD83}"/>
                </a:ext>
              </a:extLst>
            </xdr:cNvPr>
            <xdr:cNvSpPr/>
          </xdr:nvSpPr>
          <xdr:spPr>
            <a:xfrm>
              <a:off x="699408" y="1762123"/>
              <a:ext cx="8577942" cy="854528"/>
            </a:xfrm>
            <a:prstGeom prst="roundRect">
              <a:avLst>
                <a:gd name="adj" fmla="val 23582"/>
              </a:avLst>
            </a:prstGeom>
            <a:solidFill>
              <a:srgbClr val="0070C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888FE3E9-7096-B7F4-58C4-1C9DBAA3B00E}"/>
                </a:ext>
              </a:extLst>
            </xdr:cNvPr>
            <xdr:cNvSpPr/>
          </xdr:nvSpPr>
          <xdr:spPr>
            <a:xfrm>
              <a:off x="695325" y="2286000"/>
              <a:ext cx="8582025" cy="352425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40CBD339-E804-B333-F8FD-40033327D394}"/>
              </a:ext>
            </a:extLst>
          </xdr:cNvPr>
          <xdr:cNvSpPr txBox="1"/>
        </xdr:nvSpPr>
        <xdr:spPr>
          <a:xfrm>
            <a:off x="9368118" y="1832163"/>
            <a:ext cx="3305735" cy="459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700" baseline="0">
                <a:solidFill>
                  <a:schemeClr val="bg1"/>
                </a:solidFill>
              </a:rPr>
              <a:t>Maiores Receitas Por Estado</a:t>
            </a:r>
            <a:endParaRPr lang="pt-BR" sz="1700">
              <a:solidFill>
                <a:schemeClr val="bg1"/>
              </a:solidFill>
            </a:endParaRPr>
          </a:p>
        </xdr:txBody>
      </xdr:sp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E48372CD-715F-4969-B4EE-0E1BFD61B91B}"/>
              </a:ext>
            </a:extLst>
          </xdr:cNvPr>
          <xdr:cNvGraphicFramePr>
            <a:graphicFrameLocks/>
          </xdr:cNvGraphicFramePr>
        </xdr:nvGraphicFramePr>
        <xdr:xfrm>
          <a:off x="9419666" y="2228850"/>
          <a:ext cx="2658594" cy="2009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57978</xdr:colOff>
      <xdr:row>22</xdr:row>
      <xdr:rowOff>42814</xdr:rowOff>
    </xdr:from>
    <xdr:to>
      <xdr:col>15</xdr:col>
      <xdr:colOff>146540</xdr:colOff>
      <xdr:row>33</xdr:row>
      <xdr:rowOff>17169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73B03CCB-DB0E-DD63-587A-40CFE1D4A46A}"/>
            </a:ext>
          </a:extLst>
        </xdr:cNvPr>
        <xdr:cNvGrpSpPr/>
      </xdr:nvGrpSpPr>
      <xdr:grpSpPr>
        <a:xfrm>
          <a:off x="667578" y="4233814"/>
          <a:ext cx="8622962" cy="2069855"/>
          <a:chOff x="667578" y="4454770"/>
          <a:chExt cx="8622962" cy="181268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395A15F-2327-9B0A-E21E-289BC5E08474}"/>
              </a:ext>
            </a:extLst>
          </xdr:cNvPr>
          <xdr:cNvSpPr/>
        </xdr:nvSpPr>
        <xdr:spPr>
          <a:xfrm>
            <a:off x="667578" y="4464325"/>
            <a:ext cx="8617226" cy="1803125"/>
          </a:xfrm>
          <a:prstGeom prst="roundRect">
            <a:avLst>
              <a:gd name="adj" fmla="val 9091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F138BB66-DDC7-AD1A-9D23-C677999BCA9B}"/>
              </a:ext>
            </a:extLst>
          </xdr:cNvPr>
          <xdr:cNvGrpSpPr/>
        </xdr:nvGrpSpPr>
        <xdr:grpSpPr>
          <a:xfrm>
            <a:off x="672318" y="4454770"/>
            <a:ext cx="8618222" cy="450606"/>
            <a:chOff x="699408" y="1762125"/>
            <a:chExt cx="8577942" cy="876300"/>
          </a:xfrm>
        </xdr:grpSpPr>
        <xdr:sp macro="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E77FF110-C86A-3FE0-330B-007C6D97AF17}"/>
                </a:ext>
              </a:extLst>
            </xdr:cNvPr>
            <xdr:cNvSpPr/>
          </xdr:nvSpPr>
          <xdr:spPr>
            <a:xfrm>
              <a:off x="699408" y="1762125"/>
              <a:ext cx="8577942" cy="854528"/>
            </a:xfrm>
            <a:prstGeom prst="roundRect">
              <a:avLst>
                <a:gd name="adj" fmla="val 23582"/>
              </a:avLst>
            </a:prstGeom>
            <a:solidFill>
              <a:srgbClr val="0070C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6614736-BB79-602B-A843-4CD7953A1C5A}"/>
                </a:ext>
              </a:extLst>
            </xdr:cNvPr>
            <xdr:cNvSpPr/>
          </xdr:nvSpPr>
          <xdr:spPr>
            <a:xfrm>
              <a:off x="701992" y="2286001"/>
              <a:ext cx="8575358" cy="352424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A90A8399-22BE-D52D-147E-8900DCD00860}"/>
              </a:ext>
            </a:extLst>
          </xdr:cNvPr>
          <xdr:cNvSpPr txBox="1"/>
        </xdr:nvSpPr>
        <xdr:spPr>
          <a:xfrm>
            <a:off x="3496236" y="4504765"/>
            <a:ext cx="3332629" cy="459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2000" baseline="0">
                <a:solidFill>
                  <a:schemeClr val="bg1"/>
                </a:solidFill>
              </a:rPr>
              <a:t>Quantidade Vendida Por Mês</a:t>
            </a:r>
            <a:endParaRPr lang="pt-BR" sz="2000">
              <a:solidFill>
                <a:schemeClr val="bg1"/>
              </a:solidFill>
            </a:endParaRPr>
          </a:p>
        </xdr:txBody>
      </xdr:sp>
      <xdr:graphicFrame macro="">
        <xdr:nvGraphicFramePr>
          <xdr:cNvPr id="49" name="Gráfico 48">
            <a:extLst>
              <a:ext uri="{FF2B5EF4-FFF2-40B4-BE49-F238E27FC236}">
                <a16:creationId xmlns:a16="http://schemas.microsoft.com/office/drawing/2014/main" id="{B6D9954D-8D6F-4D32-8994-2BF921E8207F}"/>
              </a:ext>
            </a:extLst>
          </xdr:cNvPr>
          <xdr:cNvGraphicFramePr>
            <a:graphicFrameLocks/>
          </xdr:cNvGraphicFramePr>
        </xdr:nvGraphicFramePr>
        <xdr:xfrm>
          <a:off x="685799" y="4905374"/>
          <a:ext cx="8467725" cy="13591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15</xdr:col>
      <xdr:colOff>361951</xdr:colOff>
      <xdr:row>25</xdr:row>
      <xdr:rowOff>19050</xdr:rowOff>
    </xdr:from>
    <xdr:to>
      <xdr:col>19</xdr:col>
      <xdr:colOff>495301</xdr:colOff>
      <xdr:row>32</xdr:row>
      <xdr:rowOff>160564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80F574F1-1013-4884-A839-5D42458FB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129671</xdr:colOff>
      <xdr:row>0</xdr:row>
      <xdr:rowOff>144796</xdr:rowOff>
    </xdr:from>
    <xdr:to>
      <xdr:col>7</xdr:col>
      <xdr:colOff>560295</xdr:colOff>
      <xdr:row>3</xdr:row>
      <xdr:rowOff>32736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8EA6D42-D483-14FD-015F-4F45360DF6C3}"/>
            </a:ext>
          </a:extLst>
        </xdr:cNvPr>
        <xdr:cNvSpPr txBox="1"/>
      </xdr:nvSpPr>
      <xdr:spPr>
        <a:xfrm>
          <a:off x="2550142" y="144796"/>
          <a:ext cx="2245977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tx1"/>
              </a:solidFill>
            </a:rPr>
            <a:t>Produtos</a:t>
          </a:r>
          <a:r>
            <a:rPr lang="pt-BR" sz="1400" b="1" baseline="0">
              <a:solidFill>
                <a:schemeClr val="tx1"/>
              </a:solidFill>
            </a:rPr>
            <a:t> Mais Vendidos </a:t>
          </a:r>
          <a:endParaRPr lang="pt-BR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102822</xdr:colOff>
      <xdr:row>6</xdr:row>
      <xdr:rowOff>95735</xdr:rowOff>
    </xdr:from>
    <xdr:to>
      <xdr:col>6</xdr:col>
      <xdr:colOff>44822</xdr:colOff>
      <xdr:row>8</xdr:row>
      <xdr:rowOff>174175</xdr:rowOff>
    </xdr:to>
    <xdr:sp macro="" textlink="'Tabela 5'!E10">
      <xdr:nvSpPr>
        <xdr:cNvPr id="37" name="CaixaDeTexto 36">
          <a:extLst>
            <a:ext uri="{FF2B5EF4-FFF2-40B4-BE49-F238E27FC236}">
              <a16:creationId xmlns:a16="http://schemas.microsoft.com/office/drawing/2014/main" id="{00865C21-8710-851D-A753-DD1FA00AB7FA}"/>
            </a:ext>
          </a:extLst>
        </xdr:cNvPr>
        <xdr:cNvSpPr txBox="1"/>
      </xdr:nvSpPr>
      <xdr:spPr>
        <a:xfrm>
          <a:off x="712422" y="1238735"/>
          <a:ext cx="2990000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2615DC-18D6-4AE2-B823-3FC67B17D45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Galaxy S8 - Verde</a:t>
          </a:fld>
          <a:endParaRPr lang="pt-BR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293322</xdr:colOff>
      <xdr:row>6</xdr:row>
      <xdr:rowOff>95735</xdr:rowOff>
    </xdr:from>
    <xdr:to>
      <xdr:col>9</xdr:col>
      <xdr:colOff>235323</xdr:colOff>
      <xdr:row>8</xdr:row>
      <xdr:rowOff>174175</xdr:rowOff>
    </xdr:to>
    <xdr:sp macro="" textlink="'Tabela 5'!E11">
      <xdr:nvSpPr>
        <xdr:cNvPr id="42" name="CaixaDeTexto 41">
          <a:extLst>
            <a:ext uri="{FF2B5EF4-FFF2-40B4-BE49-F238E27FC236}">
              <a16:creationId xmlns:a16="http://schemas.microsoft.com/office/drawing/2014/main" id="{7B629F13-00DA-04CA-EDA9-2158F713CDBB}"/>
            </a:ext>
          </a:extLst>
        </xdr:cNvPr>
        <xdr:cNvSpPr txBox="1"/>
      </xdr:nvSpPr>
      <xdr:spPr>
        <a:xfrm>
          <a:off x="2731722" y="1238735"/>
          <a:ext cx="2990001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3D639FD-3331-4177-9BB4-7541B11BEA6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Smart TV 50' 4K - Preto</a:t>
          </a:fld>
          <a:endParaRPr lang="pt-BR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600075</xdr:colOff>
      <xdr:row>6</xdr:row>
      <xdr:rowOff>95735</xdr:rowOff>
    </xdr:from>
    <xdr:to>
      <xdr:col>12</xdr:col>
      <xdr:colOff>485773</xdr:colOff>
      <xdr:row>8</xdr:row>
      <xdr:rowOff>174175</xdr:rowOff>
    </xdr:to>
    <xdr:sp macro="" textlink="'Tabela 5'!E12">
      <xdr:nvSpPr>
        <xdr:cNvPr id="55" name="CaixaDeTexto 54">
          <a:extLst>
            <a:ext uri="{FF2B5EF4-FFF2-40B4-BE49-F238E27FC236}">
              <a16:creationId xmlns:a16="http://schemas.microsoft.com/office/drawing/2014/main" id="{C493B323-7F11-D072-B1D6-F4CD17102111}"/>
            </a:ext>
          </a:extLst>
        </xdr:cNvPr>
        <xdr:cNvSpPr txBox="1"/>
      </xdr:nvSpPr>
      <xdr:spPr>
        <a:xfrm>
          <a:off x="4867275" y="1238735"/>
          <a:ext cx="2933698" cy="459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87820A-72DE-4DEF-917B-E271E076A6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Samsung S24 FE - Preto</a:t>
          </a:fld>
          <a:endParaRPr lang="pt-BR" sz="1400" b="1">
            <a:solidFill>
              <a:schemeClr val="tx1"/>
            </a:solidFill>
          </a:endParaRPr>
        </a:p>
      </xdr:txBody>
    </xdr:sp>
    <xdr:clientData/>
  </xdr:twoCellAnchor>
  <xdr:oneCellAnchor>
    <xdr:from>
      <xdr:col>21</xdr:col>
      <xdr:colOff>246529</xdr:colOff>
      <xdr:row>1</xdr:row>
      <xdr:rowOff>134471</xdr:rowOff>
    </xdr:from>
    <xdr:ext cx="184731" cy="264560"/>
    <xdr:sp macro="" textlink="">
      <xdr:nvSpPr>
        <xdr:cNvPr id="1028" name="CaixaDeTexto 1027">
          <a:extLst>
            <a:ext uri="{FF2B5EF4-FFF2-40B4-BE49-F238E27FC236}">
              <a16:creationId xmlns:a16="http://schemas.microsoft.com/office/drawing/2014/main" id="{7C6E2F62-ABA9-6579-D9A9-9150619B08A1}"/>
            </a:ext>
          </a:extLst>
        </xdr:cNvPr>
        <xdr:cNvSpPr txBox="1"/>
      </xdr:nvSpPr>
      <xdr:spPr>
        <a:xfrm>
          <a:off x="12954000" y="324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414608</xdr:colOff>
          <xdr:row>2</xdr:row>
          <xdr:rowOff>144685</xdr:rowOff>
        </xdr:from>
        <xdr:to>
          <xdr:col>4</xdr:col>
          <xdr:colOff>224116</xdr:colOff>
          <xdr:row>6</xdr:row>
          <xdr:rowOff>89684</xdr:rowOff>
        </xdr:to>
        <xdr:pic>
          <xdr:nvPicPr>
            <xdr:cNvPr id="1030" name="Gráfico 1029" descr="Ábaco estrutura de tópicos">
              <a:extLst>
                <a:ext uri="{FF2B5EF4-FFF2-40B4-BE49-F238E27FC236}">
                  <a16:creationId xmlns:a16="http://schemas.microsoft.com/office/drawing/2014/main" id="{1E972572-3AB5-1F95-19FF-323819053D6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m" spid="_x0000_s1093"/>
                </a:ext>
              </a:extLst>
            </xdr:cNvPicPr>
          </xdr:nvPicPr>
          <xdr:blipFill>
            <a:blip xmlns:r="http://schemas.openxmlformats.org/officeDocument/2006/relationships" r:embed="rId9">
              <a:clrChange>
                <a:clrFrom>
                  <a:srgbClr val="E0E0E0"/>
                </a:clrFrom>
                <a:clrTo>
                  <a:srgbClr val="E0E0E0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1024208" y="525685"/>
              <a:ext cx="1638308" cy="70699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oneCellAnchor>
    <xdr:from>
      <xdr:col>22</xdr:col>
      <xdr:colOff>44824</xdr:colOff>
      <xdr:row>8</xdr:row>
      <xdr:rowOff>11206</xdr:rowOff>
    </xdr:from>
    <xdr:ext cx="184731" cy="264560"/>
    <xdr:sp macro="" textlink="">
      <xdr:nvSpPr>
        <xdr:cNvPr id="1031" name="CaixaDeTexto 1030">
          <a:extLst>
            <a:ext uri="{FF2B5EF4-FFF2-40B4-BE49-F238E27FC236}">
              <a16:creationId xmlns:a16="http://schemas.microsoft.com/office/drawing/2014/main" id="{93583899-B344-5C27-A1C1-C0BE9207C3DD}"/>
            </a:ext>
          </a:extLst>
        </xdr:cNvPr>
        <xdr:cNvSpPr txBox="1"/>
      </xdr:nvSpPr>
      <xdr:spPr>
        <a:xfrm>
          <a:off x="13357412" y="153520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34737</xdr:colOff>
          <xdr:row>2</xdr:row>
          <xdr:rowOff>178045</xdr:rowOff>
        </xdr:from>
        <xdr:to>
          <xdr:col>7</xdr:col>
          <xdr:colOff>476251</xdr:colOff>
          <xdr:row>6</xdr:row>
          <xdr:rowOff>56323</xdr:rowOff>
        </xdr:to>
        <xdr:pic>
          <xdr:nvPicPr>
            <xdr:cNvPr id="1033" name="Gráfico 1032" descr="Ábaco com preenchimento sólido">
              <a:extLst>
                <a:ext uri="{FF2B5EF4-FFF2-40B4-BE49-F238E27FC236}">
                  <a16:creationId xmlns:a16="http://schemas.microsoft.com/office/drawing/2014/main" id="{F7EEA81D-1B20-FD35-6AED-EBD1954AB97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'Tabela 5'!F11" spid="_x0000_s1094"/>
                </a:ext>
              </a:extLst>
            </xdr:cNvPicPr>
          </xdr:nvPicPr>
          <xdr:blipFill>
            <a:blip xmlns:r="http://schemas.openxmlformats.org/officeDocument/2006/relationships" r:embed="rId10">
              <a:clrChange>
                <a:clrFrom>
                  <a:srgbClr val="E0E0E0"/>
                </a:clrFrom>
                <a:clrTo>
                  <a:srgbClr val="E0E0E0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3082737" y="559045"/>
              <a:ext cx="1660714" cy="640278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oneCellAnchor>
    <xdr:from>
      <xdr:col>21</xdr:col>
      <xdr:colOff>526676</xdr:colOff>
      <xdr:row>11</xdr:row>
      <xdr:rowOff>56029</xdr:rowOff>
    </xdr:from>
    <xdr:ext cx="184731" cy="264560"/>
    <xdr:sp macro="" textlink="">
      <xdr:nvSpPr>
        <xdr:cNvPr id="1034" name="CaixaDeTexto 1033">
          <a:extLst>
            <a:ext uri="{FF2B5EF4-FFF2-40B4-BE49-F238E27FC236}">
              <a16:creationId xmlns:a16="http://schemas.microsoft.com/office/drawing/2014/main" id="{D9CF93F1-7E37-D581-3F50-2DFD7BAD9C87}"/>
            </a:ext>
          </a:extLst>
        </xdr:cNvPr>
        <xdr:cNvSpPr txBox="1"/>
      </xdr:nvSpPr>
      <xdr:spPr>
        <a:xfrm>
          <a:off x="13234147" y="21515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471767</xdr:colOff>
          <xdr:row>2</xdr:row>
          <xdr:rowOff>151460</xdr:rowOff>
        </xdr:from>
        <xdr:to>
          <xdr:col>11</xdr:col>
          <xdr:colOff>86287</xdr:colOff>
          <xdr:row>6</xdr:row>
          <xdr:rowOff>82909</xdr:rowOff>
        </xdr:to>
        <xdr:pic>
          <xdr:nvPicPr>
            <xdr:cNvPr id="1036" name="Gráfico 1035" descr="Ábaco com preenchimento sólido">
              <a:extLst>
                <a:ext uri="{FF2B5EF4-FFF2-40B4-BE49-F238E27FC236}">
                  <a16:creationId xmlns:a16="http://schemas.microsoft.com/office/drawing/2014/main" id="{F73E13F7-7268-D9E7-B3D7-6E35F7486D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'Tabela 5'!F12" spid="_x0000_s1095"/>
                </a:ext>
              </a:extLst>
            </xdr:cNvPicPr>
          </xdr:nvPicPr>
          <xdr:blipFill>
            <a:blip xmlns:r="http://schemas.openxmlformats.org/officeDocument/2006/relationships" r:embed="rId11">
              <a:clrChange>
                <a:clrFrom>
                  <a:srgbClr val="E0E0E0"/>
                </a:clrFrom>
                <a:clrTo>
                  <a:srgbClr val="E0E0E0">
                    <a:alpha val="0"/>
                  </a:srgbClr>
                </a:clrTo>
              </a:clrChange>
            </a:blip>
            <a:stretch>
              <a:fillRect/>
            </a:stretch>
          </xdr:blipFill>
          <xdr:spPr>
            <a:xfrm>
              <a:off x="5348567" y="532460"/>
              <a:ext cx="1443320" cy="693449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</xdr:row>
          <xdr:rowOff>142875</xdr:rowOff>
        </xdr:from>
        <xdr:to>
          <xdr:col>13</xdr:col>
          <xdr:colOff>28575</xdr:colOff>
          <xdr:row>2</xdr:row>
          <xdr:rowOff>152400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Selecionar tudo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3</xdr:row>
      <xdr:rowOff>95250</xdr:rowOff>
    </xdr:from>
    <xdr:to>
      <xdr:col>16</xdr:col>
      <xdr:colOff>9525</xdr:colOff>
      <xdr:row>17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F0EDBC-EDE8-476A-0CE0-E9FA5A16D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6</xdr:row>
      <xdr:rowOff>95250</xdr:rowOff>
    </xdr:from>
    <xdr:to>
      <xdr:col>14</xdr:col>
      <xdr:colOff>447675</xdr:colOff>
      <xdr:row>20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35F6A8-06E0-7D9A-B55F-79F9419F8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4</xdr:row>
      <xdr:rowOff>95250</xdr:rowOff>
    </xdr:from>
    <xdr:to>
      <xdr:col>11</xdr:col>
      <xdr:colOff>19050</xdr:colOff>
      <xdr:row>18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619D934-A3B6-1EB1-1231-18C5CAE262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4</xdr:row>
      <xdr:rowOff>95250</xdr:rowOff>
    </xdr:from>
    <xdr:to>
      <xdr:col>12</xdr:col>
      <xdr:colOff>9525</xdr:colOff>
      <xdr:row>18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C7AD8D-212C-8770-1868-D0498E105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6188.954439236113" createdVersion="8" refreshedVersion="8" minRefreshableVersion="3" recordCount="3060" xr:uid="{8CF0B730-3283-40F1-92E8-CC6FC26B7969}">
  <cacheSource type="worksheet">
    <worksheetSource name="_2020_2022"/>
  </cacheSource>
  <cacheFields count="13">
    <cacheField name="Produto" numFmtId="0">
      <sharedItems count="30">
        <s v="Galaxy S10 - Cinza"/>
        <s v="Moto G7 - Vermelho"/>
        <s v="iPhone 6S - Rosa"/>
        <s v="Moto Z - Vermelho"/>
        <s v="Câmera Digital - Azul"/>
        <s v="Smart Watch - Azul"/>
        <s v="iPhone XS - Preto"/>
        <s v="Smart TV 50' 4K - Preto"/>
        <s v="TV LED 32' - Preto"/>
        <s v="Smart TV LED Full HD 55' - Preto"/>
        <s v="iPad 32GB Wifi - Prata"/>
        <s v="Tablet M10 Android - Preto"/>
        <s v="Samsung S24 FE - Preto"/>
        <s v="Câmera Coolpix - Cinza"/>
        <s v="Câmera Digital T6 - Preto"/>
        <s v="Galaxy S8 - Verde"/>
        <s v="Smart Watch - Amarelo"/>
        <s v="Inspiron 15 - Prata"/>
        <s v="iPhone 7 - Dourado"/>
        <s v="Apple Watch - Preto"/>
        <s v="Dell G7 - Vermelho"/>
        <s v="Smart TV 75' 4K - Preto"/>
        <s v="Aspire 5 - Cinza"/>
        <s v="Galaxy J8 - Roxo"/>
        <s v="Samsung Dual Core - Preto" u="1"/>
        <s v="Câmera Digital Rebel T6 - Preto" u="1"/>
        <s v="Câmera Coolpix L340 - Cinza" u="1"/>
        <s v="Smart Watch Galaxy - Azul" u="1"/>
        <s v="Smart Watch MI - Amarelo" u="1"/>
        <s v="Câmera Digital Sony Cyber - Azul" u="1"/>
      </sharedItems>
    </cacheField>
    <cacheField name="Preço Unitário" numFmtId="0">
      <sharedItems containsSemiMixedTypes="0" containsString="0" containsNumber="1" containsInteger="1" minValue="700" maxValue="6500"/>
    </cacheField>
    <cacheField name="Quantidade Vendida" numFmtId="0">
      <sharedItems containsSemiMixedTypes="0" containsString="0" containsNumber="1" containsInteger="1" minValue="1" maxValue="5"/>
    </cacheField>
    <cacheField name="Loja" numFmtId="0">
      <sharedItems/>
    </cacheField>
    <cacheField name="Estado" numFmtId="0">
      <sharedItems count="9">
        <s v="SP"/>
        <s v="RJ"/>
        <s v="CE"/>
        <s v="PR"/>
        <s v="GO"/>
        <s v="BA"/>
        <s v="PE"/>
        <s v="MG"/>
        <s v="RS"/>
      </sharedItems>
    </cacheField>
    <cacheField name="Nome Completo" numFmtId="0">
      <sharedItems/>
    </cacheField>
    <cacheField name="Gênero" numFmtId="0">
      <sharedItems count="2">
        <s v="Masculino"/>
        <s v="Feminino"/>
      </sharedItems>
    </cacheField>
    <cacheField name="Idade" numFmtId="0">
      <sharedItems containsSemiMixedTypes="0" containsString="0" containsNumber="1" containsInteger="1" minValue="25" maxValue="76"/>
    </cacheField>
    <cacheField name="Faixa Etária" numFmtId="0">
      <sharedItems count="3">
        <s v="Entre 30 e 50 anos"/>
        <s v="Maior que 50 anos"/>
        <s v="Menor que 30 anos"/>
      </sharedItems>
    </cacheField>
    <cacheField name="Valor Total" numFmtId="0">
      <sharedItems containsSemiMixedTypes="0" containsString="0" containsNumber="1" containsInteger="1" minValue="700" maxValue="32500"/>
    </cacheField>
    <cacheField name="Data da Venda" numFmtId="14">
      <sharedItems containsSemiMixedTypes="0" containsNonDate="0" containsDate="1" containsString="0" minDate="2020-01-01T00:00:00" maxDate="2023-01-01T00:00:00"/>
    </cacheField>
    <cacheField name="Ano" numFmtId="0">
      <sharedItems containsSemiMixedTypes="0" containsString="0" containsNumber="1" containsInteger="1" minValue="2020" maxValue="2022" count="3">
        <n v="2022"/>
        <n v="2020"/>
        <n v="2021"/>
      </sharedItems>
    </cacheField>
    <cacheField name="Mês da Venda" numFmtId="0">
      <sharedItems count="12">
        <s v="JUL"/>
        <s v="SET"/>
        <s v="ABR"/>
        <s v="JUN"/>
        <s v="FEV"/>
        <s v="JAN"/>
        <s v="OUT"/>
        <s v="AGO"/>
        <s v="DEZ"/>
        <s v="MAR"/>
        <s v="NOV"/>
        <s v="MAI"/>
      </sharedItems>
    </cacheField>
  </cacheFields>
  <extLst>
    <ext xmlns:x14="http://schemas.microsoft.com/office/spreadsheetml/2009/9/main" uri="{725AE2AE-9491-48be-B2B4-4EB974FC3084}">
      <x14:pivotCacheDefinition pivotCacheId="119313713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60">
  <r>
    <x v="0"/>
    <n v="4500"/>
    <n v="4"/>
    <s v="R. Teodoro Sampaio, 954 - Pinheiros, São Paulo - SP, 05406-050"/>
    <x v="0"/>
    <s v="LUIZ XAVIER"/>
    <x v="0"/>
    <n v="41"/>
    <x v="0"/>
    <n v="18000"/>
    <d v="2022-07-14T00:00:00"/>
    <x v="0"/>
    <x v="0"/>
  </r>
  <r>
    <x v="1"/>
    <n v="1400"/>
    <n v="5"/>
    <s v="Av. Mal. Floriano Peixoto, 2248-2258 - Centro, Nova Iguaçu - RJ, 26210-000"/>
    <x v="1"/>
    <s v="STEFAN NUNES"/>
    <x v="0"/>
    <n v="64"/>
    <x v="1"/>
    <n v="7000"/>
    <d v="2022-09-12T00:00:00"/>
    <x v="0"/>
    <x v="1"/>
  </r>
  <r>
    <x v="2"/>
    <n v="1900"/>
    <n v="5"/>
    <s v="Av. Dom Luís, 500 - Aldeota, Fortaleza - CE, 60160-230"/>
    <x v="2"/>
    <s v="IZABEL LOPES"/>
    <x v="1"/>
    <n v="27"/>
    <x v="2"/>
    <n v="9500"/>
    <d v="2022-04-25T00:00:00"/>
    <x v="0"/>
    <x v="2"/>
  </r>
  <r>
    <x v="3"/>
    <n v="1500"/>
    <n v="1"/>
    <s v="R. Brasílio Itiberê, 3279 - Água Verde, Curitiba - PR, 80250-160"/>
    <x v="3"/>
    <s v="ROGÉRIO PEREIRA"/>
    <x v="0"/>
    <n v="27"/>
    <x v="2"/>
    <n v="1500"/>
    <d v="2022-06-15T00:00:00"/>
    <x v="0"/>
    <x v="3"/>
  </r>
  <r>
    <x v="4"/>
    <n v="700"/>
    <n v="3"/>
    <s v="R. Visc. de Pirajá, 136 - Ipanema, Rio de Janeiro - RJ, 22410-000"/>
    <x v="1"/>
    <s v="BIANCA PAZ"/>
    <x v="1"/>
    <n v="62"/>
    <x v="1"/>
    <n v="2100"/>
    <d v="2022-04-05T00:00:00"/>
    <x v="0"/>
    <x v="2"/>
  </r>
  <r>
    <x v="2"/>
    <n v="1900"/>
    <n v="4"/>
    <s v="R. Visc. de Pirajá, 136 - Ipanema, Rio de Janeiro - RJ, 22410-000"/>
    <x v="1"/>
    <s v="GABRIEL BRITO"/>
    <x v="0"/>
    <n v="75"/>
    <x v="1"/>
    <n v="7600"/>
    <d v="2022-02-20T00:00:00"/>
    <x v="0"/>
    <x v="4"/>
  </r>
  <r>
    <x v="4"/>
    <n v="700"/>
    <n v="4"/>
    <s v="Av. Dom Luís, 500 - Aldeota, Fortaleza - CE, 60160-230"/>
    <x v="2"/>
    <s v="DIEGO BARROS"/>
    <x v="0"/>
    <n v="37"/>
    <x v="0"/>
    <n v="2800"/>
    <d v="2022-01-04T00:00:00"/>
    <x v="0"/>
    <x v="5"/>
  </r>
  <r>
    <x v="5"/>
    <n v="1450"/>
    <n v="1"/>
    <s v="Av. Goiás Norte, 3.592 - quadra 2.1 - St. Mal. Rondon, Goiânia - GO, 74063-010"/>
    <x v="4"/>
    <s v="MATHEUS RAMOS"/>
    <x v="0"/>
    <n v="56"/>
    <x v="1"/>
    <n v="1450"/>
    <d v="2022-10-17T00:00:00"/>
    <x v="0"/>
    <x v="6"/>
  </r>
  <r>
    <x v="6"/>
    <n v="6500"/>
    <n v="2"/>
    <s v="Av. Dom Luís, 500 - Aldeota, Fortaleza - CE, 60160-230"/>
    <x v="2"/>
    <s v="GUSTAVO ACCARDO"/>
    <x v="0"/>
    <n v="50"/>
    <x v="0"/>
    <n v="13000"/>
    <d v="2022-08-20T00:00:00"/>
    <x v="0"/>
    <x v="7"/>
  </r>
  <r>
    <x v="1"/>
    <n v="1400"/>
    <n v="5"/>
    <s v="R. Visc. de Pirajá, 136 - Ipanema, Rio de Janeiro - RJ, 22410-000"/>
    <x v="1"/>
    <s v="IURI NETO"/>
    <x v="0"/>
    <n v="56"/>
    <x v="1"/>
    <n v="7000"/>
    <d v="2022-01-06T00:00:00"/>
    <x v="0"/>
    <x v="5"/>
  </r>
  <r>
    <x v="7"/>
    <n v="2600"/>
    <n v="4"/>
    <s v="R. Luíz Faccini, 212 - Centro, Guarulhos - SP, 07110-000"/>
    <x v="0"/>
    <s v="JULIANA BARREIRA"/>
    <x v="1"/>
    <n v="53"/>
    <x v="1"/>
    <n v="10400"/>
    <d v="2022-12-02T00:00:00"/>
    <x v="0"/>
    <x v="8"/>
  </r>
  <r>
    <x v="8"/>
    <n v="1400"/>
    <n v="3"/>
    <s v="R. Brasílio Itiberê, 3279 - Água Verde, Curitiba - PR, 80250-160"/>
    <x v="3"/>
    <s v="MARCELA GASPERI"/>
    <x v="1"/>
    <n v="59"/>
    <x v="1"/>
    <n v="4200"/>
    <d v="2022-03-22T00:00:00"/>
    <x v="0"/>
    <x v="9"/>
  </r>
  <r>
    <x v="9"/>
    <n v="2000"/>
    <n v="5"/>
    <s v="R. Luíz Faccini, 212 - Centro, Guarulhos - SP, 07110-000"/>
    <x v="0"/>
    <s v="MYLLENA CARNEIRO"/>
    <x v="1"/>
    <n v="60"/>
    <x v="1"/>
    <n v="10000"/>
    <d v="2022-02-19T00:00:00"/>
    <x v="0"/>
    <x v="4"/>
  </r>
  <r>
    <x v="10"/>
    <n v="750"/>
    <n v="4"/>
    <s v="Av. Dom Luís, 500 - Aldeota, Fortaleza - CE, 60160-230"/>
    <x v="2"/>
    <s v="LUÍZA GARCIA"/>
    <x v="1"/>
    <n v="38"/>
    <x v="0"/>
    <n v="3000"/>
    <d v="2022-03-14T00:00:00"/>
    <x v="0"/>
    <x v="9"/>
  </r>
  <r>
    <x v="11"/>
    <n v="2000"/>
    <n v="3"/>
    <s v="R. Luíz Faccini, 212 - Centro, Guarulhos - SP, 07110-000"/>
    <x v="0"/>
    <s v="AMANDA PROCACI"/>
    <x v="1"/>
    <n v="34"/>
    <x v="0"/>
    <n v="6000"/>
    <d v="2022-03-04T00:00:00"/>
    <x v="0"/>
    <x v="9"/>
  </r>
  <r>
    <x v="12"/>
    <n v="1500"/>
    <n v="3"/>
    <s v="Shopping Barra - Av. Centenário, 2992 - Barra, Salvador - BA, 40155-150"/>
    <x v="5"/>
    <s v="TIAGO PEREIRA"/>
    <x v="0"/>
    <n v="72"/>
    <x v="1"/>
    <n v="4500"/>
    <d v="2022-12-06T00:00:00"/>
    <x v="0"/>
    <x v="8"/>
  </r>
  <r>
    <x v="7"/>
    <n v="2600"/>
    <n v="3"/>
    <s v="Av. Mal. Floriano Peixoto, 2248-2258 - Centro, Nova Iguaçu - RJ, 26210-000"/>
    <x v="1"/>
    <s v="STEPHANIE NOVAK"/>
    <x v="1"/>
    <n v="57"/>
    <x v="1"/>
    <n v="7800"/>
    <d v="2022-08-11T00:00:00"/>
    <x v="0"/>
    <x v="7"/>
  </r>
  <r>
    <x v="6"/>
    <n v="6500"/>
    <n v="1"/>
    <s v="Av. Dom Luís, 500 - Aldeota, Fortaleza - CE, 60160-230"/>
    <x v="2"/>
    <s v="LIVIA CODECEIRA"/>
    <x v="1"/>
    <n v="35"/>
    <x v="0"/>
    <n v="6500"/>
    <d v="2022-09-23T00:00:00"/>
    <x v="0"/>
    <x v="1"/>
  </r>
  <r>
    <x v="13"/>
    <n v="1550"/>
    <n v="3"/>
    <s v="R. Dr. Antônio Castro Prado, 422 - Vila Rossi e Borchi, Campinas - SP, 13076-130"/>
    <x v="0"/>
    <s v="JOSÉ MARQUES"/>
    <x v="0"/>
    <n v="37"/>
    <x v="0"/>
    <n v="4650"/>
    <d v="2022-03-16T00:00:00"/>
    <x v="0"/>
    <x v="9"/>
  </r>
  <r>
    <x v="14"/>
    <n v="1500"/>
    <n v="1"/>
    <s v="Shopping Barra - Av. Centenário, 2992 - Barra, Salvador - BA, 40155-150"/>
    <x v="5"/>
    <s v="MATHEUS GOMES"/>
    <x v="0"/>
    <n v="63"/>
    <x v="1"/>
    <n v="1500"/>
    <d v="2022-11-20T00:00:00"/>
    <x v="0"/>
    <x v="10"/>
  </r>
  <r>
    <x v="5"/>
    <n v="1450"/>
    <n v="3"/>
    <s v="Shopping Barra - Av. Centenário, 2992 - Barra, Salvador - BA, 40155-150"/>
    <x v="5"/>
    <s v="TADEU SOUSA"/>
    <x v="0"/>
    <n v="43"/>
    <x v="0"/>
    <n v="4350"/>
    <d v="2022-04-30T00:00:00"/>
    <x v="0"/>
    <x v="2"/>
  </r>
  <r>
    <x v="10"/>
    <n v="750"/>
    <n v="2"/>
    <s v="R. Visc. de Pirajá, 136 - Ipanema, Rio de Janeiro - RJ, 22410-000"/>
    <x v="1"/>
    <s v="ISABELA TEIXEIRA"/>
    <x v="1"/>
    <n v="31"/>
    <x v="0"/>
    <n v="1500"/>
    <d v="2022-01-02T00:00:00"/>
    <x v="0"/>
    <x v="5"/>
  </r>
  <r>
    <x v="3"/>
    <n v="1500"/>
    <n v="1"/>
    <s v="Av. Goiás Norte, 3.592 - quadra 2.1 - St. Mal. Rondon, Goiânia - GO, 74063-010"/>
    <x v="4"/>
    <s v="EDUARDO SOARES"/>
    <x v="0"/>
    <n v="60"/>
    <x v="1"/>
    <n v="1500"/>
    <d v="2022-02-09T00:00:00"/>
    <x v="0"/>
    <x v="4"/>
  </r>
  <r>
    <x v="2"/>
    <n v="1900"/>
    <n v="1"/>
    <s v="R. Luíz Faccini, 212 - Centro, Guarulhos - SP, 07110-000"/>
    <x v="0"/>
    <s v="LÁZARO VILLANOVA"/>
    <x v="0"/>
    <n v="71"/>
    <x v="1"/>
    <n v="1900"/>
    <d v="2022-03-15T00:00:00"/>
    <x v="0"/>
    <x v="9"/>
  </r>
  <r>
    <x v="9"/>
    <n v="2000"/>
    <n v="5"/>
    <s v="Av. Mal. Floriano Peixoto, 2248-2258 - Centro, Nova Iguaçu - RJ, 26210-000"/>
    <x v="1"/>
    <s v="STELA MENDONÇA"/>
    <x v="1"/>
    <n v="60"/>
    <x v="1"/>
    <n v="10000"/>
    <d v="2022-01-28T00:00:00"/>
    <x v="0"/>
    <x v="5"/>
  </r>
  <r>
    <x v="15"/>
    <n v="3000"/>
    <n v="3"/>
    <s v="Rua Antônio Lumack do Monte, 203 - 1 - Boa Viagem, Recife - PE, 51020-350"/>
    <x v="6"/>
    <s v="JOYCE SOUZA"/>
    <x v="1"/>
    <n v="65"/>
    <x v="1"/>
    <n v="9000"/>
    <d v="2022-11-17T00:00:00"/>
    <x v="0"/>
    <x v="10"/>
  </r>
  <r>
    <x v="5"/>
    <n v="1450"/>
    <n v="2"/>
    <s v="Av. Barão Homem de Melo, 1389 - Nova Granada, Belo Horizonte - MG, 30431-425"/>
    <x v="7"/>
    <s v="IGOR LIMA"/>
    <x v="0"/>
    <n v="41"/>
    <x v="0"/>
    <n v="2900"/>
    <d v="2022-06-14T00:00:00"/>
    <x v="0"/>
    <x v="3"/>
  </r>
  <r>
    <x v="16"/>
    <n v="1200"/>
    <n v="5"/>
    <s v="Av. Borges de Medeiros, 3120 - Praia de Belas, Porto Alegre - RS, 90110-150"/>
    <x v="8"/>
    <s v="TAINAH NOGUEIRA"/>
    <x v="1"/>
    <n v="43"/>
    <x v="0"/>
    <n v="6000"/>
    <d v="2022-06-17T00:00:00"/>
    <x v="0"/>
    <x v="3"/>
  </r>
  <r>
    <x v="11"/>
    <n v="2000"/>
    <n v="2"/>
    <s v="Shopping Barra - Av. Centenário, 2992 - Barra, Salvador - BA, 40155-150"/>
    <x v="5"/>
    <s v="TIAGO PEREIRA"/>
    <x v="0"/>
    <n v="72"/>
    <x v="1"/>
    <n v="4000"/>
    <d v="2022-07-22T00:00:00"/>
    <x v="0"/>
    <x v="0"/>
  </r>
  <r>
    <x v="7"/>
    <n v="2600"/>
    <n v="2"/>
    <s v="R. Teodoro Sampaio, 954 - Pinheiros, São Paulo - SP, 05406-050"/>
    <x v="0"/>
    <s v="ROBERTO MATTOS"/>
    <x v="0"/>
    <n v="76"/>
    <x v="1"/>
    <n v="5200"/>
    <d v="2022-09-04T00:00:00"/>
    <x v="0"/>
    <x v="1"/>
  </r>
  <r>
    <x v="5"/>
    <n v="1450"/>
    <n v="3"/>
    <s v="Rua Quinze de Novembro, 8 - Loja 301a Loja 301b - Centro, Niterói - RJ, 24020-125"/>
    <x v="1"/>
    <s v="IAN ALMEIDA"/>
    <x v="0"/>
    <n v="68"/>
    <x v="1"/>
    <n v="4350"/>
    <d v="2022-03-01T00:00:00"/>
    <x v="0"/>
    <x v="9"/>
  </r>
  <r>
    <x v="17"/>
    <n v="2300"/>
    <n v="5"/>
    <s v="R. Brasílio Itiberê, 3279 - Água Verde, Curitiba - PR, 80250-160"/>
    <x v="3"/>
    <s v="MATHEUS SANTOS"/>
    <x v="0"/>
    <n v="36"/>
    <x v="0"/>
    <n v="11500"/>
    <d v="2022-02-10T00:00:00"/>
    <x v="0"/>
    <x v="4"/>
  </r>
  <r>
    <x v="18"/>
    <n v="2500"/>
    <n v="5"/>
    <s v="Rua Quinze de Novembro, 8 - Loja 301a Loja 301b - Centro, Niterói - RJ, 24020-125"/>
    <x v="1"/>
    <s v="ALEXANDRE DANTAS"/>
    <x v="0"/>
    <n v="53"/>
    <x v="1"/>
    <n v="12500"/>
    <d v="2022-12-09T00:00:00"/>
    <x v="0"/>
    <x v="8"/>
  </r>
  <r>
    <x v="0"/>
    <n v="4500"/>
    <n v="4"/>
    <s v="Av. Barão Homem de Melo, 1389 - Nova Granada, Belo Horizonte - MG, 30431-425"/>
    <x v="7"/>
    <s v="RENAN MELO"/>
    <x v="0"/>
    <n v="36"/>
    <x v="0"/>
    <n v="18000"/>
    <d v="2022-07-11T00:00:00"/>
    <x v="0"/>
    <x v="0"/>
  </r>
  <r>
    <x v="15"/>
    <n v="3000"/>
    <n v="4"/>
    <s v="R. Teodoro Sampaio, 954 - Pinheiros, São Paulo - SP, 05406-050"/>
    <x v="0"/>
    <s v="DANILO RUBIM"/>
    <x v="0"/>
    <n v="61"/>
    <x v="1"/>
    <n v="12000"/>
    <d v="2022-08-13T00:00:00"/>
    <x v="0"/>
    <x v="7"/>
  </r>
  <r>
    <x v="16"/>
    <n v="1200"/>
    <n v="1"/>
    <s v="Av. Borges de Medeiros, 3120 - Praia de Belas, Porto Alegre - RS, 90110-150"/>
    <x v="8"/>
    <s v="ANDRE NÓBREGA"/>
    <x v="0"/>
    <n v="36"/>
    <x v="0"/>
    <n v="1200"/>
    <d v="2022-01-04T00:00:00"/>
    <x v="0"/>
    <x v="5"/>
  </r>
  <r>
    <x v="7"/>
    <n v="2600"/>
    <n v="4"/>
    <s v="Rua Antônio Lumack do Monte, 203 - 1 - Boa Viagem, Recife - PE, 51020-350"/>
    <x v="6"/>
    <s v="BARBARA PROCACI"/>
    <x v="1"/>
    <n v="60"/>
    <x v="1"/>
    <n v="10400"/>
    <d v="2022-02-24T00:00:00"/>
    <x v="0"/>
    <x v="4"/>
  </r>
  <r>
    <x v="2"/>
    <n v="1900"/>
    <n v="4"/>
    <s v="Av. Mal. Floriano Peixoto, 2248-2258 - Centro, Nova Iguaçu - RJ, 26210-000"/>
    <x v="1"/>
    <s v="LUANA SANTOS"/>
    <x v="1"/>
    <n v="45"/>
    <x v="0"/>
    <n v="7600"/>
    <d v="2022-01-09T00:00:00"/>
    <x v="0"/>
    <x v="5"/>
  </r>
  <r>
    <x v="1"/>
    <n v="1400"/>
    <n v="2"/>
    <s v="Shopping Barra - Av. Centenário, 2992 - Barra, Salvador - BA, 40155-150"/>
    <x v="5"/>
    <s v="TIAGO PEREIRA"/>
    <x v="0"/>
    <n v="72"/>
    <x v="1"/>
    <n v="2800"/>
    <d v="2022-10-06T00:00:00"/>
    <x v="0"/>
    <x v="6"/>
  </r>
  <r>
    <x v="15"/>
    <n v="3000"/>
    <n v="3"/>
    <s v="R. Luíz Faccini, 212 - Centro, Guarulhos - SP, 07110-000"/>
    <x v="0"/>
    <s v="MARCELO PEREIRA"/>
    <x v="0"/>
    <n v="49"/>
    <x v="0"/>
    <n v="9000"/>
    <d v="2022-04-22T00:00:00"/>
    <x v="0"/>
    <x v="2"/>
  </r>
  <r>
    <x v="17"/>
    <n v="2300"/>
    <n v="1"/>
    <s v="Av. Dom Luís, 500 - Aldeota, Fortaleza - CE, 60160-230"/>
    <x v="2"/>
    <s v="HENRIQUE SILVA"/>
    <x v="0"/>
    <n v="62"/>
    <x v="1"/>
    <n v="2300"/>
    <d v="2022-12-16T00:00:00"/>
    <x v="0"/>
    <x v="8"/>
  </r>
  <r>
    <x v="13"/>
    <n v="1550"/>
    <n v="4"/>
    <s v="Av. Mal. Floriano Peixoto, 2248-2258 - Centro, Nova Iguaçu - RJ, 26210-000"/>
    <x v="1"/>
    <s v="JOÃO TABET"/>
    <x v="0"/>
    <n v="44"/>
    <x v="0"/>
    <n v="6200"/>
    <d v="2022-09-24T00:00:00"/>
    <x v="0"/>
    <x v="1"/>
  </r>
  <r>
    <x v="10"/>
    <n v="750"/>
    <n v="5"/>
    <s v="Rua Quinze de Novembro, 8 - Loja 301a Loja 301b - Centro, Niterói - RJ, 24020-125"/>
    <x v="1"/>
    <s v="CAMILLE SILVA"/>
    <x v="1"/>
    <n v="73"/>
    <x v="1"/>
    <n v="3750"/>
    <d v="2022-11-23T00:00:00"/>
    <x v="0"/>
    <x v="10"/>
  </r>
  <r>
    <x v="6"/>
    <n v="6500"/>
    <n v="1"/>
    <s v="Av. Goiás Norte, 3.592 - quadra 2.1 - St. Mal. Rondon, Goiânia - GO, 74063-010"/>
    <x v="4"/>
    <s v="LUCAS FONTOURA"/>
    <x v="0"/>
    <n v="38"/>
    <x v="0"/>
    <n v="6500"/>
    <d v="2022-04-18T00:00:00"/>
    <x v="0"/>
    <x v="2"/>
  </r>
  <r>
    <x v="19"/>
    <n v="1750"/>
    <n v="3"/>
    <s v="Rua Quinze de Novembro, 8 - Loja 301a Loja 301b - Centro, Niterói - RJ, 24020-125"/>
    <x v="1"/>
    <s v="JULIANA SILVA"/>
    <x v="1"/>
    <n v="35"/>
    <x v="0"/>
    <n v="5250"/>
    <d v="2022-10-04T00:00:00"/>
    <x v="0"/>
    <x v="6"/>
  </r>
  <r>
    <x v="7"/>
    <n v="2600"/>
    <n v="1"/>
    <s v="R. Brasílio Itiberê, 3279 - Água Verde, Curitiba - PR, 80250-160"/>
    <x v="3"/>
    <s v="ALINE MORAIS"/>
    <x v="1"/>
    <n v="45"/>
    <x v="0"/>
    <n v="2600"/>
    <d v="2022-03-11T00:00:00"/>
    <x v="0"/>
    <x v="9"/>
  </r>
  <r>
    <x v="7"/>
    <n v="2600"/>
    <n v="2"/>
    <s v="R. Luíz Faccini, 212 - Centro, Guarulhos - SP, 07110-000"/>
    <x v="0"/>
    <s v="LARISSA JESUS"/>
    <x v="1"/>
    <n v="29"/>
    <x v="2"/>
    <n v="5200"/>
    <d v="2022-07-13T00:00:00"/>
    <x v="0"/>
    <x v="0"/>
  </r>
  <r>
    <x v="13"/>
    <n v="1550"/>
    <n v="2"/>
    <s v="Av. Barão Homem de Melo, 1389 - Nova Granada, Belo Horizonte - MG, 30431-425"/>
    <x v="7"/>
    <s v="CAROLINE DELGADO"/>
    <x v="1"/>
    <n v="40"/>
    <x v="0"/>
    <n v="3100"/>
    <d v="2022-09-28T00:00:00"/>
    <x v="0"/>
    <x v="1"/>
  </r>
  <r>
    <x v="11"/>
    <n v="2000"/>
    <n v="4"/>
    <s v="R. Teodoro Sampaio, 954 - Pinheiros, São Paulo - SP, 05406-050"/>
    <x v="0"/>
    <s v="LENON FERNANDES"/>
    <x v="0"/>
    <n v="50"/>
    <x v="0"/>
    <n v="8000"/>
    <d v="2022-09-28T00:00:00"/>
    <x v="0"/>
    <x v="1"/>
  </r>
  <r>
    <x v="5"/>
    <n v="1450"/>
    <n v="2"/>
    <s v="Av. Mal. Floriano Peixoto, 2248-2258 - Centro, Nova Iguaçu - RJ, 26210-000"/>
    <x v="1"/>
    <s v="JÔNATAS SOARES"/>
    <x v="0"/>
    <n v="56"/>
    <x v="1"/>
    <n v="2900"/>
    <d v="2022-06-03T00:00:00"/>
    <x v="0"/>
    <x v="3"/>
  </r>
  <r>
    <x v="15"/>
    <n v="3000"/>
    <n v="5"/>
    <s v="Shopping Barra - Av. Centenário, 2992 - Barra, Salvador - BA, 40155-150"/>
    <x v="5"/>
    <s v="CAIO CALDAS"/>
    <x v="0"/>
    <n v="33"/>
    <x v="0"/>
    <n v="15000"/>
    <d v="2022-10-14T00:00:00"/>
    <x v="0"/>
    <x v="6"/>
  </r>
  <r>
    <x v="20"/>
    <n v="5500"/>
    <n v="2"/>
    <s v="Av. Mal. Floriano Peixoto, 2248-2258 - Centro, Nova Iguaçu - RJ, 26210-000"/>
    <x v="1"/>
    <s v="JACKSON DEROSSI"/>
    <x v="0"/>
    <n v="38"/>
    <x v="0"/>
    <n v="11000"/>
    <d v="2022-07-19T00:00:00"/>
    <x v="0"/>
    <x v="0"/>
  </r>
  <r>
    <x v="4"/>
    <n v="700"/>
    <n v="3"/>
    <s v="Av. Barão Homem de Melo, 1389 - Nova Granada, Belo Horizonte - MG, 30431-425"/>
    <x v="7"/>
    <s v="CAROLINA ALFRADIQUE"/>
    <x v="1"/>
    <n v="26"/>
    <x v="2"/>
    <n v="2100"/>
    <d v="2022-04-09T00:00:00"/>
    <x v="0"/>
    <x v="2"/>
  </r>
  <r>
    <x v="21"/>
    <n v="5200"/>
    <n v="3"/>
    <s v="R. Dr. Antônio Castro Prado, 422 - Vila Rossi e Borchi, Campinas - SP, 13076-130"/>
    <x v="0"/>
    <s v="RAFAELLA MELLO"/>
    <x v="1"/>
    <n v="32"/>
    <x v="0"/>
    <n v="15600"/>
    <d v="2022-05-13T00:00:00"/>
    <x v="0"/>
    <x v="11"/>
  </r>
  <r>
    <x v="14"/>
    <n v="1500"/>
    <n v="4"/>
    <s v="Shopping Barra - Av. Centenário, 2992 - Barra, Salvador - BA, 40155-150"/>
    <x v="5"/>
    <s v="BRUNO TEMPORAL"/>
    <x v="0"/>
    <n v="60"/>
    <x v="1"/>
    <n v="6000"/>
    <d v="2022-05-04T00:00:00"/>
    <x v="0"/>
    <x v="11"/>
  </r>
  <r>
    <x v="16"/>
    <n v="1200"/>
    <n v="3"/>
    <s v="R. Luíz Faccini, 212 - Centro, Guarulhos - SP, 07110-000"/>
    <x v="0"/>
    <s v="BRUNA RAMOS"/>
    <x v="1"/>
    <n v="35"/>
    <x v="0"/>
    <n v="3600"/>
    <d v="2022-02-20T00:00:00"/>
    <x v="0"/>
    <x v="4"/>
  </r>
  <r>
    <x v="11"/>
    <n v="2000"/>
    <n v="4"/>
    <s v="R. Brasílio Itiberê, 3279 - Água Verde, Curitiba - PR, 80250-160"/>
    <x v="3"/>
    <s v="ISABEL LACERDA"/>
    <x v="1"/>
    <n v="35"/>
    <x v="0"/>
    <n v="8000"/>
    <d v="2022-06-03T00:00:00"/>
    <x v="0"/>
    <x v="3"/>
  </r>
  <r>
    <x v="8"/>
    <n v="1400"/>
    <n v="1"/>
    <s v="R. Visc. de Pirajá, 136 - Ipanema, Rio de Janeiro - RJ, 22410-000"/>
    <x v="1"/>
    <s v="LUIZ MENDONÇA"/>
    <x v="0"/>
    <n v="41"/>
    <x v="0"/>
    <n v="1400"/>
    <d v="2022-12-27T00:00:00"/>
    <x v="0"/>
    <x v="8"/>
  </r>
  <r>
    <x v="9"/>
    <n v="2000"/>
    <n v="5"/>
    <s v="R. Luíz Faccini, 212 - Centro, Guarulhos - SP, 07110-000"/>
    <x v="0"/>
    <s v="MICHELLE PEREIRA"/>
    <x v="1"/>
    <n v="55"/>
    <x v="1"/>
    <n v="10000"/>
    <d v="2022-02-23T00:00:00"/>
    <x v="0"/>
    <x v="4"/>
  </r>
  <r>
    <x v="22"/>
    <n v="2400"/>
    <n v="4"/>
    <s v="R. Dr. Antônio Castro Prado, 422 - Vila Rossi e Borchi, Campinas - SP, 13076-130"/>
    <x v="0"/>
    <s v="MARIANNA PESTANA"/>
    <x v="1"/>
    <n v="45"/>
    <x v="0"/>
    <n v="9600"/>
    <d v="2022-03-14T00:00:00"/>
    <x v="0"/>
    <x v="9"/>
  </r>
  <r>
    <x v="19"/>
    <n v="1750"/>
    <n v="2"/>
    <s v="Av. Goiás Norte, 3.592 - quadra 2.1 - St. Mal. Rondon, Goiânia - GO, 74063-010"/>
    <x v="4"/>
    <s v="DANIEL ORTIZ"/>
    <x v="0"/>
    <n v="58"/>
    <x v="1"/>
    <n v="3500"/>
    <d v="2022-09-10T00:00:00"/>
    <x v="0"/>
    <x v="1"/>
  </r>
  <r>
    <x v="4"/>
    <n v="700"/>
    <n v="5"/>
    <s v="R. Luíz Faccini, 212 - Centro, Guarulhos - SP, 07110-000"/>
    <x v="0"/>
    <s v="ISABEL LEITE"/>
    <x v="1"/>
    <n v="31"/>
    <x v="0"/>
    <n v="3500"/>
    <d v="2022-04-13T00:00:00"/>
    <x v="0"/>
    <x v="2"/>
  </r>
  <r>
    <x v="4"/>
    <n v="700"/>
    <n v="1"/>
    <s v="R. Brasílio Itiberê, 3279 - Água Verde, Curitiba - PR, 80250-160"/>
    <x v="3"/>
    <s v="ROGER ROSA"/>
    <x v="0"/>
    <n v="72"/>
    <x v="1"/>
    <n v="700"/>
    <d v="2022-06-28T00:00:00"/>
    <x v="0"/>
    <x v="3"/>
  </r>
  <r>
    <x v="8"/>
    <n v="1400"/>
    <n v="2"/>
    <s v="Av. Goiás Norte, 3.592 - quadra 2.1 - St. Mal. Rondon, Goiânia - GO, 74063-010"/>
    <x v="4"/>
    <s v="WEN SANTOS"/>
    <x v="1"/>
    <n v="52"/>
    <x v="1"/>
    <n v="2800"/>
    <d v="2022-10-23T00:00:00"/>
    <x v="0"/>
    <x v="6"/>
  </r>
  <r>
    <x v="6"/>
    <n v="6500"/>
    <n v="5"/>
    <s v="Av. Dom Luís, 500 - Aldeota, Fortaleza - CE, 60160-230"/>
    <x v="2"/>
    <s v="CÉLIO XAVIER"/>
    <x v="0"/>
    <n v="64"/>
    <x v="1"/>
    <n v="32500"/>
    <d v="2022-10-02T00:00:00"/>
    <x v="0"/>
    <x v="6"/>
  </r>
  <r>
    <x v="5"/>
    <n v="1450"/>
    <n v="5"/>
    <s v="Av. Mal. Floriano Peixoto, 2248-2258 - Centro, Nova Iguaçu - RJ, 26210-000"/>
    <x v="1"/>
    <s v="CHAN SANTOS"/>
    <x v="1"/>
    <n v="37"/>
    <x v="0"/>
    <n v="7250"/>
    <d v="2022-08-03T00:00:00"/>
    <x v="0"/>
    <x v="7"/>
  </r>
  <r>
    <x v="15"/>
    <n v="3000"/>
    <n v="5"/>
    <s v="R. Brasílio Itiberê, 3279 - Água Verde, Curitiba - PR, 80250-160"/>
    <x v="3"/>
    <s v="DANILO ALVES"/>
    <x v="0"/>
    <n v="34"/>
    <x v="0"/>
    <n v="15000"/>
    <d v="2022-12-19T00:00:00"/>
    <x v="0"/>
    <x v="8"/>
  </r>
  <r>
    <x v="14"/>
    <n v="1500"/>
    <n v="5"/>
    <s v="R. Luíz Faccini, 212 - Centro, Guarulhos - SP, 07110-000"/>
    <x v="0"/>
    <s v="MARIANA MIRANDA"/>
    <x v="1"/>
    <n v="57"/>
    <x v="1"/>
    <n v="7500"/>
    <d v="2022-06-20T00:00:00"/>
    <x v="0"/>
    <x v="3"/>
  </r>
  <r>
    <x v="11"/>
    <n v="2000"/>
    <n v="2"/>
    <s v="Shopping Barra - Av. Centenário, 2992 - Barra, Salvador - BA, 40155-150"/>
    <x v="5"/>
    <s v="RAISSA MAIA"/>
    <x v="1"/>
    <n v="38"/>
    <x v="0"/>
    <n v="4000"/>
    <d v="2022-11-16T00:00:00"/>
    <x v="0"/>
    <x v="10"/>
  </r>
  <r>
    <x v="15"/>
    <n v="3000"/>
    <n v="2"/>
    <s v="R. Visc. de Pirajá, 136 - Ipanema, Rio de Janeiro - RJ, 22410-000"/>
    <x v="1"/>
    <s v="RODRIGO BRUNO"/>
    <x v="0"/>
    <n v="64"/>
    <x v="1"/>
    <n v="6000"/>
    <d v="2022-07-03T00:00:00"/>
    <x v="0"/>
    <x v="0"/>
  </r>
  <r>
    <x v="14"/>
    <n v="1500"/>
    <n v="1"/>
    <s v="R. Teodoro Sampaio, 954 - Pinheiros, São Paulo - SP, 05406-050"/>
    <x v="0"/>
    <s v="CAIO FERREIRA"/>
    <x v="0"/>
    <n v="41"/>
    <x v="0"/>
    <n v="1500"/>
    <d v="2022-07-04T00:00:00"/>
    <x v="0"/>
    <x v="0"/>
  </r>
  <r>
    <x v="4"/>
    <n v="700"/>
    <n v="4"/>
    <s v="Shopping Barra - Av. Centenário, 2992 - Barra, Salvador - BA, 40155-150"/>
    <x v="5"/>
    <s v="HENRIQUE OLIVEIRA"/>
    <x v="0"/>
    <n v="55"/>
    <x v="1"/>
    <n v="2800"/>
    <d v="2022-08-14T00:00:00"/>
    <x v="0"/>
    <x v="7"/>
  </r>
  <r>
    <x v="13"/>
    <n v="1550"/>
    <n v="3"/>
    <s v="R. Visc. de Pirajá, 136 - Ipanema, Rio de Janeiro - RJ, 22410-000"/>
    <x v="1"/>
    <s v="GABRIELLA SAGRILLO"/>
    <x v="1"/>
    <n v="36"/>
    <x v="0"/>
    <n v="4650"/>
    <d v="2022-11-12T00:00:00"/>
    <x v="0"/>
    <x v="10"/>
  </r>
  <r>
    <x v="4"/>
    <n v="700"/>
    <n v="2"/>
    <s v="R. Dr. Antônio Castro Prado, 422 - Vila Rossi e Borchi, Campinas - SP, 13076-130"/>
    <x v="0"/>
    <s v="VICTOR FIRMINO"/>
    <x v="0"/>
    <n v="43"/>
    <x v="0"/>
    <n v="1400"/>
    <d v="2022-03-17T00:00:00"/>
    <x v="0"/>
    <x v="9"/>
  </r>
  <r>
    <x v="19"/>
    <n v="1750"/>
    <n v="5"/>
    <s v="R. Teodoro Sampaio, 954 - Pinheiros, São Paulo - SP, 05406-050"/>
    <x v="0"/>
    <s v="GUILHERME MARCHESI"/>
    <x v="0"/>
    <n v="39"/>
    <x v="0"/>
    <n v="8750"/>
    <d v="2022-04-14T00:00:00"/>
    <x v="0"/>
    <x v="2"/>
  </r>
  <r>
    <x v="0"/>
    <n v="4500"/>
    <n v="3"/>
    <s v="Av. Mal. Floriano Peixoto, 2248-2258 - Centro, Nova Iguaçu - RJ, 26210-000"/>
    <x v="1"/>
    <s v="STELA MENDONÇA"/>
    <x v="1"/>
    <n v="60"/>
    <x v="1"/>
    <n v="13500"/>
    <d v="2022-09-12T00:00:00"/>
    <x v="0"/>
    <x v="1"/>
  </r>
  <r>
    <x v="16"/>
    <n v="1200"/>
    <n v="4"/>
    <s v="Rua Antônio Lumack do Monte, 203 - 1 - Boa Viagem, Recife - PE, 51020-350"/>
    <x v="6"/>
    <s v="JORGE CARVALHO"/>
    <x v="0"/>
    <n v="60"/>
    <x v="1"/>
    <n v="4800"/>
    <d v="2022-08-30T00:00:00"/>
    <x v="0"/>
    <x v="7"/>
  </r>
  <r>
    <x v="20"/>
    <n v="5500"/>
    <n v="2"/>
    <s v="R. Teodoro Sampaio, 954 - Pinheiros, São Paulo - SP, 05406-050"/>
    <x v="0"/>
    <s v="BEATRIZ NOGUEIRA"/>
    <x v="1"/>
    <n v="42"/>
    <x v="0"/>
    <n v="11000"/>
    <d v="2022-07-26T00:00:00"/>
    <x v="0"/>
    <x v="0"/>
  </r>
  <r>
    <x v="17"/>
    <n v="2300"/>
    <n v="3"/>
    <s v="Av. Barão Homem de Melo, 1389 - Nova Granada, Belo Horizonte - MG, 30431-425"/>
    <x v="7"/>
    <s v="CARLOS MESQUITA"/>
    <x v="0"/>
    <n v="38"/>
    <x v="0"/>
    <n v="6900"/>
    <d v="2022-04-13T00:00:00"/>
    <x v="0"/>
    <x v="2"/>
  </r>
  <r>
    <x v="21"/>
    <n v="5200"/>
    <n v="2"/>
    <s v="Shopping Barra - Av. Centenário, 2992 - Barra, Salvador - BA, 40155-150"/>
    <x v="5"/>
    <s v="CASSIO FARIA"/>
    <x v="0"/>
    <n v="62"/>
    <x v="1"/>
    <n v="10400"/>
    <d v="2022-03-29T00:00:00"/>
    <x v="0"/>
    <x v="9"/>
  </r>
  <r>
    <x v="7"/>
    <n v="2600"/>
    <n v="3"/>
    <s v="Av. Mal. Floriano Peixoto, 2248-2258 - Centro, Nova Iguaçu - RJ, 26210-000"/>
    <x v="1"/>
    <s v="STEPHANIE NOVAK"/>
    <x v="1"/>
    <n v="57"/>
    <x v="1"/>
    <n v="7800"/>
    <d v="2022-05-16T00:00:00"/>
    <x v="0"/>
    <x v="11"/>
  </r>
  <r>
    <x v="8"/>
    <n v="1400"/>
    <n v="2"/>
    <s v="Shopping Barra - Av. Centenário, 2992 - Barra, Salvador - BA, 40155-150"/>
    <x v="5"/>
    <s v="DÉBORA LOPES"/>
    <x v="1"/>
    <n v="44"/>
    <x v="0"/>
    <n v="2800"/>
    <d v="2022-12-06T00:00:00"/>
    <x v="0"/>
    <x v="8"/>
  </r>
  <r>
    <x v="11"/>
    <n v="2000"/>
    <n v="4"/>
    <s v="Rua Antônio Lumack do Monte, 203 - 1 - Boa Viagem, Recife - PE, 51020-350"/>
    <x v="6"/>
    <s v="RAFAEL CARNEIRO"/>
    <x v="0"/>
    <n v="75"/>
    <x v="1"/>
    <n v="8000"/>
    <d v="2022-02-01T00:00:00"/>
    <x v="0"/>
    <x v="4"/>
  </r>
  <r>
    <x v="20"/>
    <n v="5500"/>
    <n v="4"/>
    <s v="R. Luíz Faccini, 212 - Centro, Guarulhos - SP, 07110-000"/>
    <x v="0"/>
    <s v="CAIO SILVA"/>
    <x v="0"/>
    <n v="52"/>
    <x v="1"/>
    <n v="22000"/>
    <d v="2022-08-19T00:00:00"/>
    <x v="0"/>
    <x v="7"/>
  </r>
  <r>
    <x v="2"/>
    <n v="1900"/>
    <n v="3"/>
    <s v="Av. Mal. Floriano Peixoto, 2248-2258 - Centro, Nova Iguaçu - RJ, 26210-000"/>
    <x v="1"/>
    <s v="PAULO CAMPOS"/>
    <x v="0"/>
    <n v="29"/>
    <x v="2"/>
    <n v="5700"/>
    <d v="2022-12-27T00:00:00"/>
    <x v="0"/>
    <x v="8"/>
  </r>
  <r>
    <x v="21"/>
    <n v="5200"/>
    <n v="5"/>
    <s v="R. Visc. de Pirajá, 136 - Ipanema, Rio de Janeiro - RJ, 22410-000"/>
    <x v="1"/>
    <s v="RENAN NASCIMENTO"/>
    <x v="0"/>
    <n v="37"/>
    <x v="0"/>
    <n v="26000"/>
    <d v="2022-04-24T00:00:00"/>
    <x v="0"/>
    <x v="2"/>
  </r>
  <r>
    <x v="3"/>
    <n v="1500"/>
    <n v="5"/>
    <s v="Av. Barão Homem de Melo, 1389 - Nova Granada, Belo Horizonte - MG, 30431-425"/>
    <x v="7"/>
    <s v="MARIA COSTA"/>
    <x v="1"/>
    <n v="54"/>
    <x v="1"/>
    <n v="7500"/>
    <d v="2022-09-23T00:00:00"/>
    <x v="0"/>
    <x v="1"/>
  </r>
  <r>
    <x v="6"/>
    <n v="6500"/>
    <n v="5"/>
    <s v="R. Teodoro Sampaio, 954 - Pinheiros, São Paulo - SP, 05406-050"/>
    <x v="0"/>
    <s v="JULIANA SOUZA"/>
    <x v="1"/>
    <n v="73"/>
    <x v="1"/>
    <n v="32500"/>
    <d v="2022-04-04T00:00:00"/>
    <x v="0"/>
    <x v="2"/>
  </r>
  <r>
    <x v="11"/>
    <n v="2000"/>
    <n v="4"/>
    <s v="Av. Mal. Floriano Peixoto, 2248-2258 - Centro, Nova Iguaçu - RJ, 26210-000"/>
    <x v="1"/>
    <s v="ANDREZA RAMOS"/>
    <x v="1"/>
    <n v="63"/>
    <x v="1"/>
    <n v="8000"/>
    <d v="2022-08-07T00:00:00"/>
    <x v="0"/>
    <x v="7"/>
  </r>
  <r>
    <x v="0"/>
    <n v="4500"/>
    <n v="3"/>
    <s v="Av. Barão Homem de Melo, 1389 - Nova Granada, Belo Horizonte - MG, 30431-425"/>
    <x v="7"/>
    <s v="LEANDRO RODRIGUES"/>
    <x v="0"/>
    <n v="40"/>
    <x v="0"/>
    <n v="13500"/>
    <d v="2022-05-26T00:00:00"/>
    <x v="0"/>
    <x v="11"/>
  </r>
  <r>
    <x v="5"/>
    <n v="1450"/>
    <n v="3"/>
    <s v="Av. Borges de Medeiros, 3120 - Praia de Belas, Porto Alegre - RS, 90110-150"/>
    <x v="8"/>
    <s v="MARIANA ROTAVA"/>
    <x v="1"/>
    <n v="59"/>
    <x v="1"/>
    <n v="4350"/>
    <d v="2022-04-09T00:00:00"/>
    <x v="0"/>
    <x v="2"/>
  </r>
  <r>
    <x v="12"/>
    <n v="1500"/>
    <n v="1"/>
    <s v="Av. Barão Homem de Melo, 1389 - Nova Granada, Belo Horizonte - MG, 30431-425"/>
    <x v="7"/>
    <s v="RUAN LOPES"/>
    <x v="0"/>
    <n v="26"/>
    <x v="2"/>
    <n v="1500"/>
    <d v="2022-11-01T00:00:00"/>
    <x v="0"/>
    <x v="10"/>
  </r>
  <r>
    <x v="23"/>
    <n v="1100"/>
    <n v="3"/>
    <s v="R. Luíz Faccini, 212 - Centro, Guarulhos - SP, 07110-000"/>
    <x v="0"/>
    <s v="MARIANA MIRANDA"/>
    <x v="1"/>
    <n v="57"/>
    <x v="1"/>
    <n v="3300"/>
    <d v="2022-01-11T00:00:00"/>
    <x v="0"/>
    <x v="5"/>
  </r>
  <r>
    <x v="2"/>
    <n v="1900"/>
    <n v="2"/>
    <s v="Av. Borges de Medeiros, 3120 - Praia de Belas, Porto Alegre - RS, 90110-150"/>
    <x v="8"/>
    <s v="MAIKE PEREIRA"/>
    <x v="0"/>
    <n v="41"/>
    <x v="0"/>
    <n v="3800"/>
    <d v="2022-02-09T00:00:00"/>
    <x v="0"/>
    <x v="4"/>
  </r>
  <r>
    <x v="6"/>
    <n v="6500"/>
    <n v="1"/>
    <s v="R. Brasílio Itiberê, 3279 - Água Verde, Curitiba - PR, 80250-160"/>
    <x v="3"/>
    <s v="WILSON MEIRELLES"/>
    <x v="0"/>
    <n v="65"/>
    <x v="1"/>
    <n v="6500"/>
    <d v="2022-01-01T00:00:00"/>
    <x v="0"/>
    <x v="5"/>
  </r>
  <r>
    <x v="17"/>
    <n v="2300"/>
    <n v="2"/>
    <s v="R. Brasílio Itiberê, 3279 - Água Verde, Curitiba - PR, 80250-160"/>
    <x v="3"/>
    <s v="ANA GOMES"/>
    <x v="1"/>
    <n v="64"/>
    <x v="1"/>
    <n v="4600"/>
    <d v="2022-10-14T00:00:00"/>
    <x v="0"/>
    <x v="6"/>
  </r>
  <r>
    <x v="3"/>
    <n v="1500"/>
    <n v="3"/>
    <s v="Av. Mal. Floriano Peixoto, 2248-2258 - Centro, Nova Iguaçu - RJ, 26210-000"/>
    <x v="1"/>
    <s v="VICTOR FERREIRA"/>
    <x v="0"/>
    <n v="45"/>
    <x v="0"/>
    <n v="4500"/>
    <d v="2022-09-21T00:00:00"/>
    <x v="0"/>
    <x v="1"/>
  </r>
  <r>
    <x v="18"/>
    <n v="2500"/>
    <n v="2"/>
    <s v="Rua Quinze de Novembro, 8 - Loja 301a Loja 301b - Centro, Niterói - RJ, 24020-125"/>
    <x v="1"/>
    <s v="GABRIELLA LOPES"/>
    <x v="1"/>
    <n v="45"/>
    <x v="0"/>
    <n v="5000"/>
    <d v="2022-09-03T00:00:00"/>
    <x v="0"/>
    <x v="1"/>
  </r>
  <r>
    <x v="5"/>
    <n v="1450"/>
    <n v="2"/>
    <s v="R. Brasílio Itiberê, 3279 - Água Verde, Curitiba - PR, 80250-160"/>
    <x v="3"/>
    <s v="MATHEUS SANTOS"/>
    <x v="0"/>
    <n v="36"/>
    <x v="0"/>
    <n v="2900"/>
    <d v="2022-05-13T00:00:00"/>
    <x v="0"/>
    <x v="11"/>
  </r>
  <r>
    <x v="2"/>
    <n v="1900"/>
    <n v="5"/>
    <s v="R. Luíz Faccini, 212 - Centro, Guarulhos - SP, 07110-000"/>
    <x v="0"/>
    <s v="HYGOR ESSABER"/>
    <x v="0"/>
    <n v="29"/>
    <x v="2"/>
    <n v="9500"/>
    <d v="2022-08-09T00:00:00"/>
    <x v="0"/>
    <x v="7"/>
  </r>
  <r>
    <x v="13"/>
    <n v="1550"/>
    <n v="1"/>
    <s v="Av. Dom Luís, 500 - Aldeota, Fortaleza - CE, 60160-230"/>
    <x v="2"/>
    <s v="LUIS VILLANOVA"/>
    <x v="1"/>
    <n v="41"/>
    <x v="0"/>
    <n v="1550"/>
    <d v="2022-05-04T00:00:00"/>
    <x v="0"/>
    <x v="11"/>
  </r>
  <r>
    <x v="5"/>
    <n v="1450"/>
    <n v="5"/>
    <s v="R. Brasílio Itiberê, 3279 - Água Verde, Curitiba - PR, 80250-160"/>
    <x v="3"/>
    <s v="YLANA TERAOKA"/>
    <x v="1"/>
    <n v="43"/>
    <x v="0"/>
    <n v="7250"/>
    <d v="2022-06-08T00:00:00"/>
    <x v="0"/>
    <x v="3"/>
  </r>
  <r>
    <x v="4"/>
    <n v="700"/>
    <n v="3"/>
    <s v="Shopping Barra - Av. Centenário, 2992 - Barra, Salvador - BA, 40155-150"/>
    <x v="5"/>
    <s v="MARIA MELLO"/>
    <x v="1"/>
    <n v="67"/>
    <x v="1"/>
    <n v="2100"/>
    <d v="2022-10-24T00:00:00"/>
    <x v="0"/>
    <x v="6"/>
  </r>
  <r>
    <x v="4"/>
    <n v="700"/>
    <n v="1"/>
    <s v="R. Visc. de Pirajá, 136 - Ipanema, Rio de Janeiro - RJ, 22410-000"/>
    <x v="1"/>
    <s v="GABRIELA CAVALCANTI"/>
    <x v="1"/>
    <n v="54"/>
    <x v="1"/>
    <n v="700"/>
    <d v="2022-01-27T00:00:00"/>
    <x v="0"/>
    <x v="5"/>
  </r>
  <r>
    <x v="13"/>
    <n v="1550"/>
    <n v="5"/>
    <s v="R. Visc. de Pirajá, 136 - Ipanema, Rio de Janeiro - RJ, 22410-000"/>
    <x v="1"/>
    <s v="CAMILLA GUIMARÃES"/>
    <x v="1"/>
    <n v="57"/>
    <x v="1"/>
    <n v="7750"/>
    <d v="2022-06-22T00:00:00"/>
    <x v="0"/>
    <x v="3"/>
  </r>
  <r>
    <x v="18"/>
    <n v="2500"/>
    <n v="1"/>
    <s v="R. Teodoro Sampaio, 954 - Pinheiros, São Paulo - SP, 05406-050"/>
    <x v="0"/>
    <s v="FELIPE PAULO"/>
    <x v="0"/>
    <n v="68"/>
    <x v="1"/>
    <n v="2500"/>
    <d v="2022-03-03T00:00:00"/>
    <x v="0"/>
    <x v="9"/>
  </r>
  <r>
    <x v="5"/>
    <n v="1450"/>
    <n v="1"/>
    <s v="Rua Antônio Lumack do Monte, 203 - 1 - Boa Viagem, Recife - PE, 51020-350"/>
    <x v="6"/>
    <s v="LUCAS ARAÚJO"/>
    <x v="0"/>
    <n v="48"/>
    <x v="0"/>
    <n v="1450"/>
    <d v="2022-10-01T00:00:00"/>
    <x v="0"/>
    <x v="6"/>
  </r>
  <r>
    <x v="18"/>
    <n v="2500"/>
    <n v="1"/>
    <s v="Rua Antônio Lumack do Monte, 203 - 1 - Boa Viagem, Recife - PE, 51020-350"/>
    <x v="6"/>
    <s v="IGOR AZEVEDO"/>
    <x v="0"/>
    <n v="59"/>
    <x v="1"/>
    <n v="2500"/>
    <d v="2022-06-15T00:00:00"/>
    <x v="0"/>
    <x v="3"/>
  </r>
  <r>
    <x v="20"/>
    <n v="5500"/>
    <n v="5"/>
    <s v="R. Luíz Faccini, 212 - Centro, Guarulhos - SP, 07110-000"/>
    <x v="0"/>
    <s v="EDUARDO NUNES"/>
    <x v="0"/>
    <n v="30"/>
    <x v="0"/>
    <n v="27500"/>
    <d v="2022-12-19T00:00:00"/>
    <x v="0"/>
    <x v="8"/>
  </r>
  <r>
    <x v="9"/>
    <n v="2000"/>
    <n v="2"/>
    <s v="Av. Dom Luís, 500 - Aldeota, Fortaleza - CE, 60160-230"/>
    <x v="2"/>
    <s v="RILSON GUEDES"/>
    <x v="0"/>
    <n v="37"/>
    <x v="0"/>
    <n v="4000"/>
    <d v="2022-01-02T00:00:00"/>
    <x v="0"/>
    <x v="5"/>
  </r>
  <r>
    <x v="3"/>
    <n v="1500"/>
    <n v="4"/>
    <s v="R. Dr. Antônio Castro Prado, 422 - Vila Rossi e Borchi, Campinas - SP, 13076-130"/>
    <x v="0"/>
    <s v="ANTÔNIO OLIVEIRA"/>
    <x v="0"/>
    <n v="53"/>
    <x v="1"/>
    <n v="6000"/>
    <d v="2022-05-16T00:00:00"/>
    <x v="0"/>
    <x v="11"/>
  </r>
  <r>
    <x v="15"/>
    <n v="3000"/>
    <n v="2"/>
    <s v="R. Dr. Antônio Castro Prado, 422 - Vila Rossi e Borchi, Campinas - SP, 13076-130"/>
    <x v="0"/>
    <s v="STHEFESON BARROSO"/>
    <x v="0"/>
    <n v="28"/>
    <x v="2"/>
    <n v="6000"/>
    <d v="2022-11-16T00:00:00"/>
    <x v="0"/>
    <x v="10"/>
  </r>
  <r>
    <x v="0"/>
    <n v="4500"/>
    <n v="5"/>
    <s v="Av. Mal. Floriano Peixoto, 2248-2258 - Centro, Nova Iguaçu - RJ, 26210-000"/>
    <x v="1"/>
    <s v="JÔNATAS SOARES"/>
    <x v="0"/>
    <n v="56"/>
    <x v="1"/>
    <n v="22500"/>
    <d v="2022-05-12T00:00:00"/>
    <x v="0"/>
    <x v="11"/>
  </r>
  <r>
    <x v="2"/>
    <n v="1900"/>
    <n v="5"/>
    <s v="R. Brasílio Itiberê, 3279 - Água Verde, Curitiba - PR, 80250-160"/>
    <x v="3"/>
    <s v="MARCOS NUCCI"/>
    <x v="0"/>
    <n v="26"/>
    <x v="2"/>
    <n v="9500"/>
    <d v="2022-08-24T00:00:00"/>
    <x v="0"/>
    <x v="7"/>
  </r>
  <r>
    <x v="14"/>
    <n v="1500"/>
    <n v="5"/>
    <s v="Av. Mal. Floriano Peixoto, 2248-2258 - Centro, Nova Iguaçu - RJ, 26210-000"/>
    <x v="1"/>
    <s v="MANUELA FERREIRA"/>
    <x v="1"/>
    <n v="63"/>
    <x v="1"/>
    <n v="7500"/>
    <d v="2022-07-27T00:00:00"/>
    <x v="0"/>
    <x v="0"/>
  </r>
  <r>
    <x v="20"/>
    <n v="5500"/>
    <n v="5"/>
    <s v="Rua Antônio Lumack do Monte, 203 - 1 - Boa Viagem, Recife - PE, 51020-350"/>
    <x v="6"/>
    <s v="CARLOS GALVÃO"/>
    <x v="0"/>
    <n v="33"/>
    <x v="0"/>
    <n v="27500"/>
    <d v="2022-09-20T00:00:00"/>
    <x v="0"/>
    <x v="1"/>
  </r>
  <r>
    <x v="23"/>
    <n v="1100"/>
    <n v="5"/>
    <s v="Av. Borges de Medeiros, 3120 - Praia de Belas, Porto Alegre - RS, 90110-150"/>
    <x v="8"/>
    <s v="RAPHAEL COELHO"/>
    <x v="0"/>
    <n v="26"/>
    <x v="2"/>
    <n v="5500"/>
    <d v="2022-03-17T00:00:00"/>
    <x v="0"/>
    <x v="9"/>
  </r>
  <r>
    <x v="15"/>
    <n v="3000"/>
    <n v="4"/>
    <s v="R. Visc. de Pirajá, 136 - Ipanema, Rio de Janeiro - RJ, 22410-000"/>
    <x v="1"/>
    <s v="NATALIA ANDRADE"/>
    <x v="1"/>
    <n v="73"/>
    <x v="1"/>
    <n v="12000"/>
    <d v="2022-11-27T00:00:00"/>
    <x v="0"/>
    <x v="10"/>
  </r>
  <r>
    <x v="10"/>
    <n v="750"/>
    <n v="4"/>
    <s v="Av. Goiás Norte, 3.592 - quadra 2.1 - St. Mal. Rondon, Goiânia - GO, 74063-010"/>
    <x v="4"/>
    <s v="CAROLINA SILVA"/>
    <x v="1"/>
    <n v="41"/>
    <x v="0"/>
    <n v="3000"/>
    <d v="2022-09-26T00:00:00"/>
    <x v="0"/>
    <x v="1"/>
  </r>
  <r>
    <x v="1"/>
    <n v="1400"/>
    <n v="2"/>
    <s v="Shopping Barra - Av. Centenário, 2992 - Barra, Salvador - BA, 40155-150"/>
    <x v="5"/>
    <s v="CÍCERO RAMOS"/>
    <x v="0"/>
    <n v="62"/>
    <x v="1"/>
    <n v="2800"/>
    <d v="2022-06-05T00:00:00"/>
    <x v="0"/>
    <x v="3"/>
  </r>
  <r>
    <x v="21"/>
    <n v="5200"/>
    <n v="3"/>
    <s v="R. Brasílio Itiberê, 3279 - Água Verde, Curitiba - PR, 80250-160"/>
    <x v="3"/>
    <s v="VICTOR MAGALHÃES"/>
    <x v="0"/>
    <n v="56"/>
    <x v="1"/>
    <n v="15600"/>
    <d v="2022-06-14T00:00:00"/>
    <x v="0"/>
    <x v="3"/>
  </r>
  <r>
    <x v="16"/>
    <n v="1200"/>
    <n v="5"/>
    <s v="Av. Dom Luís, 500 - Aldeota, Fortaleza - CE, 60160-230"/>
    <x v="2"/>
    <s v="THALES SANTOS"/>
    <x v="0"/>
    <n v="28"/>
    <x v="2"/>
    <n v="6000"/>
    <d v="2022-05-20T00:00:00"/>
    <x v="0"/>
    <x v="11"/>
  </r>
  <r>
    <x v="3"/>
    <n v="1500"/>
    <n v="4"/>
    <s v="Av. Goiás Norte, 3.592 - quadra 2.1 - St. Mal. Rondon, Goiânia - GO, 74063-010"/>
    <x v="4"/>
    <s v="RODRIGO SILVA"/>
    <x v="0"/>
    <n v="31"/>
    <x v="0"/>
    <n v="6000"/>
    <d v="2022-02-12T00:00:00"/>
    <x v="0"/>
    <x v="4"/>
  </r>
  <r>
    <x v="23"/>
    <n v="1100"/>
    <n v="4"/>
    <s v="Av. Goiás Norte, 3.592 - quadra 2.1 - St. Mal. Rondon, Goiânia - GO, 74063-010"/>
    <x v="4"/>
    <s v="RUBENS NETTO"/>
    <x v="0"/>
    <n v="33"/>
    <x v="0"/>
    <n v="4400"/>
    <d v="2022-04-16T00:00:00"/>
    <x v="0"/>
    <x v="2"/>
  </r>
  <r>
    <x v="23"/>
    <n v="1100"/>
    <n v="3"/>
    <s v="Shopping Barra - Av. Centenário, 2992 - Barra, Salvador - BA, 40155-150"/>
    <x v="5"/>
    <s v="PEDRO SENA"/>
    <x v="0"/>
    <n v="44"/>
    <x v="0"/>
    <n v="3300"/>
    <d v="2022-10-25T00:00:00"/>
    <x v="0"/>
    <x v="6"/>
  </r>
  <r>
    <x v="9"/>
    <n v="2000"/>
    <n v="1"/>
    <s v="Av. Goiás Norte, 3.592 - quadra 2.1 - St. Mal. Rondon, Goiânia - GO, 74063-010"/>
    <x v="4"/>
    <s v="WILLIAN ALBINO"/>
    <x v="0"/>
    <n v="27"/>
    <x v="2"/>
    <n v="2000"/>
    <d v="2022-01-26T00:00:00"/>
    <x v="0"/>
    <x v="5"/>
  </r>
  <r>
    <x v="15"/>
    <n v="3000"/>
    <n v="4"/>
    <s v="Av. Barão Homem de Melo, 1389 - Nova Granada, Belo Horizonte - MG, 30431-425"/>
    <x v="7"/>
    <s v="YASSER CALBUCCI"/>
    <x v="0"/>
    <n v="45"/>
    <x v="0"/>
    <n v="12000"/>
    <d v="2022-10-11T00:00:00"/>
    <x v="0"/>
    <x v="6"/>
  </r>
  <r>
    <x v="3"/>
    <n v="1500"/>
    <n v="5"/>
    <s v="Av. Dom Luís, 500 - Aldeota, Fortaleza - CE, 60160-230"/>
    <x v="2"/>
    <s v="JÚLIO FREIRE"/>
    <x v="0"/>
    <n v="28"/>
    <x v="2"/>
    <n v="7500"/>
    <d v="2022-12-16T00:00:00"/>
    <x v="0"/>
    <x v="8"/>
  </r>
  <r>
    <x v="19"/>
    <n v="1750"/>
    <n v="3"/>
    <s v="Rua Quinze de Novembro, 8 - Loja 301a Loja 301b - Centro, Niterói - RJ, 24020-125"/>
    <x v="1"/>
    <s v="JOÃO MATHEUS"/>
    <x v="0"/>
    <n v="29"/>
    <x v="2"/>
    <n v="5250"/>
    <d v="2022-01-26T00:00:00"/>
    <x v="0"/>
    <x v="5"/>
  </r>
  <r>
    <x v="9"/>
    <n v="2000"/>
    <n v="5"/>
    <s v="R. Luíz Faccini, 212 - Centro, Guarulhos - SP, 07110-000"/>
    <x v="0"/>
    <s v="THIAGO LIMA"/>
    <x v="0"/>
    <n v="29"/>
    <x v="2"/>
    <n v="10000"/>
    <d v="2022-06-15T00:00:00"/>
    <x v="0"/>
    <x v="3"/>
  </r>
  <r>
    <x v="22"/>
    <n v="2400"/>
    <n v="5"/>
    <s v="Av. Mal. Floriano Peixoto, 2248-2258 - Centro, Nova Iguaçu - RJ, 26210-000"/>
    <x v="1"/>
    <s v="ANA LEITE"/>
    <x v="1"/>
    <n v="67"/>
    <x v="1"/>
    <n v="12000"/>
    <d v="2022-06-30T00:00:00"/>
    <x v="0"/>
    <x v="3"/>
  </r>
  <r>
    <x v="2"/>
    <n v="1900"/>
    <n v="2"/>
    <s v="Shopping Barra - Av. Centenário, 2992 - Barra, Salvador - BA, 40155-150"/>
    <x v="5"/>
    <s v="AMANDA FELIPPE"/>
    <x v="1"/>
    <n v="32"/>
    <x v="0"/>
    <n v="3800"/>
    <d v="2022-03-15T00:00:00"/>
    <x v="0"/>
    <x v="9"/>
  </r>
  <r>
    <x v="0"/>
    <n v="4500"/>
    <n v="4"/>
    <s v="Shopping Barra - Av. Centenário, 2992 - Barra, Salvador - BA, 40155-150"/>
    <x v="5"/>
    <s v="MARINA ARAGÃO"/>
    <x v="1"/>
    <n v="56"/>
    <x v="1"/>
    <n v="18000"/>
    <d v="2022-03-17T00:00:00"/>
    <x v="0"/>
    <x v="9"/>
  </r>
  <r>
    <x v="21"/>
    <n v="5200"/>
    <n v="2"/>
    <s v="Rua Antônio Lumack do Monte, 203 - 1 - Boa Viagem, Recife - PE, 51020-350"/>
    <x v="6"/>
    <s v="JOYCE SOUZA"/>
    <x v="1"/>
    <n v="65"/>
    <x v="1"/>
    <n v="10400"/>
    <d v="2022-08-20T00:00:00"/>
    <x v="0"/>
    <x v="7"/>
  </r>
  <r>
    <x v="14"/>
    <n v="1500"/>
    <n v="2"/>
    <s v="Av. Borges de Medeiros, 3120 - Praia de Belas, Porto Alegre - RS, 90110-150"/>
    <x v="8"/>
    <s v="DANIEL COSTA"/>
    <x v="0"/>
    <n v="67"/>
    <x v="1"/>
    <n v="3000"/>
    <d v="2022-02-23T00:00:00"/>
    <x v="0"/>
    <x v="4"/>
  </r>
  <r>
    <x v="3"/>
    <n v="1500"/>
    <n v="2"/>
    <s v="R. Visc. de Pirajá, 136 - Ipanema, Rio de Janeiro - RJ, 22410-000"/>
    <x v="1"/>
    <s v="STEFAN SANTOS"/>
    <x v="0"/>
    <n v="50"/>
    <x v="0"/>
    <n v="3000"/>
    <d v="2022-04-26T00:00:00"/>
    <x v="0"/>
    <x v="2"/>
  </r>
  <r>
    <x v="20"/>
    <n v="5500"/>
    <n v="5"/>
    <s v="R. Teodoro Sampaio, 954 - Pinheiros, São Paulo - SP, 05406-050"/>
    <x v="0"/>
    <s v="FELIPE PAULO"/>
    <x v="0"/>
    <n v="68"/>
    <x v="1"/>
    <n v="27500"/>
    <d v="2022-07-24T00:00:00"/>
    <x v="0"/>
    <x v="0"/>
  </r>
  <r>
    <x v="16"/>
    <n v="1200"/>
    <n v="4"/>
    <s v="R. Teodoro Sampaio, 954 - Pinheiros, São Paulo - SP, 05406-050"/>
    <x v="0"/>
    <s v="NINA MAGALHÃES"/>
    <x v="1"/>
    <n v="66"/>
    <x v="1"/>
    <n v="4800"/>
    <d v="2022-11-23T00:00:00"/>
    <x v="0"/>
    <x v="10"/>
  </r>
  <r>
    <x v="8"/>
    <n v="1400"/>
    <n v="4"/>
    <s v="Av. Goiás Norte, 3.592 - quadra 2.1 - St. Mal. Rondon, Goiânia - GO, 74063-010"/>
    <x v="4"/>
    <s v="REBECA TAYLOR"/>
    <x v="1"/>
    <n v="41"/>
    <x v="0"/>
    <n v="5600"/>
    <d v="2022-02-21T00:00:00"/>
    <x v="0"/>
    <x v="4"/>
  </r>
  <r>
    <x v="15"/>
    <n v="3000"/>
    <n v="2"/>
    <s v="R. Luíz Faccini, 212 - Centro, Guarulhos - SP, 07110-000"/>
    <x v="0"/>
    <s v="PEDRO RODRIGUES"/>
    <x v="0"/>
    <n v="41"/>
    <x v="0"/>
    <n v="6000"/>
    <d v="2022-10-09T00:00:00"/>
    <x v="0"/>
    <x v="6"/>
  </r>
  <r>
    <x v="18"/>
    <n v="2500"/>
    <n v="4"/>
    <s v="R. Brasílio Itiberê, 3279 - Água Verde, Curitiba - PR, 80250-160"/>
    <x v="3"/>
    <s v="DANIEL NAUENBERG"/>
    <x v="0"/>
    <n v="36"/>
    <x v="0"/>
    <n v="10000"/>
    <d v="2022-03-27T00:00:00"/>
    <x v="0"/>
    <x v="9"/>
  </r>
  <r>
    <x v="14"/>
    <n v="1500"/>
    <n v="5"/>
    <s v="R. Luíz Faccini, 212 - Centro, Guarulhos - SP, 07110-000"/>
    <x v="0"/>
    <s v="MARINA GAMA"/>
    <x v="1"/>
    <n v="68"/>
    <x v="1"/>
    <n v="7500"/>
    <d v="2022-12-11T00:00:00"/>
    <x v="0"/>
    <x v="8"/>
  </r>
  <r>
    <x v="9"/>
    <n v="2000"/>
    <n v="3"/>
    <s v="R. Teodoro Sampaio, 954 - Pinheiros, São Paulo - SP, 05406-050"/>
    <x v="0"/>
    <s v="LUCAS MACHADO"/>
    <x v="0"/>
    <n v="49"/>
    <x v="0"/>
    <n v="6000"/>
    <d v="2022-06-01T00:00:00"/>
    <x v="0"/>
    <x v="3"/>
  </r>
  <r>
    <x v="2"/>
    <n v="1900"/>
    <n v="5"/>
    <s v="R. Luíz Faccini, 212 - Centro, Guarulhos - SP, 07110-000"/>
    <x v="0"/>
    <s v="ANDRESSA CHOU"/>
    <x v="1"/>
    <n v="28"/>
    <x v="2"/>
    <n v="9500"/>
    <d v="2022-09-17T00:00:00"/>
    <x v="0"/>
    <x v="1"/>
  </r>
  <r>
    <x v="6"/>
    <n v="6500"/>
    <n v="4"/>
    <s v="Av. Goiás Norte, 3.592 - quadra 2.1 - St. Mal. Rondon, Goiânia - GO, 74063-010"/>
    <x v="4"/>
    <s v="BEATRIZ LI"/>
    <x v="1"/>
    <n v="36"/>
    <x v="0"/>
    <n v="26000"/>
    <d v="2022-12-28T00:00:00"/>
    <x v="0"/>
    <x v="8"/>
  </r>
  <r>
    <x v="23"/>
    <n v="1100"/>
    <n v="3"/>
    <s v="Rua Quinze de Novembro, 8 - Loja 301a Loja 301b - Centro, Niterói - RJ, 24020-125"/>
    <x v="1"/>
    <s v="THIAGO COSTA"/>
    <x v="0"/>
    <n v="73"/>
    <x v="1"/>
    <n v="3300"/>
    <d v="2022-04-14T00:00:00"/>
    <x v="0"/>
    <x v="2"/>
  </r>
  <r>
    <x v="9"/>
    <n v="2000"/>
    <n v="2"/>
    <s v="R. Visc. de Pirajá, 136 - Ipanema, Rio de Janeiro - RJ, 22410-000"/>
    <x v="1"/>
    <s v="BIANCA PAZ"/>
    <x v="1"/>
    <n v="62"/>
    <x v="1"/>
    <n v="4000"/>
    <d v="2022-10-15T00:00:00"/>
    <x v="0"/>
    <x v="6"/>
  </r>
  <r>
    <x v="19"/>
    <n v="1750"/>
    <n v="1"/>
    <s v="Av. Mal. Floriano Peixoto, 2248-2258 - Centro, Nova Iguaçu - RJ, 26210-000"/>
    <x v="1"/>
    <s v="JOÃO RIBEIRO"/>
    <x v="0"/>
    <n v="48"/>
    <x v="0"/>
    <n v="1750"/>
    <d v="2022-10-08T00:00:00"/>
    <x v="0"/>
    <x v="6"/>
  </r>
  <r>
    <x v="1"/>
    <n v="1400"/>
    <n v="2"/>
    <s v="R. Teodoro Sampaio, 954 - Pinheiros, São Paulo - SP, 05406-050"/>
    <x v="0"/>
    <s v="RAFAEL ROCHA"/>
    <x v="0"/>
    <n v="25"/>
    <x v="2"/>
    <n v="2800"/>
    <d v="2022-01-12T00:00:00"/>
    <x v="0"/>
    <x v="5"/>
  </r>
  <r>
    <x v="16"/>
    <n v="1200"/>
    <n v="3"/>
    <s v="Shopping Barra - Av. Centenário, 2992 - Barra, Salvador - BA, 40155-150"/>
    <x v="5"/>
    <s v="LUANA SANTANA"/>
    <x v="1"/>
    <n v="25"/>
    <x v="2"/>
    <n v="3600"/>
    <d v="2022-05-12T00:00:00"/>
    <x v="0"/>
    <x v="11"/>
  </r>
  <r>
    <x v="23"/>
    <n v="1100"/>
    <n v="5"/>
    <s v="R. Luíz Faccini, 212 - Centro, Guarulhos - SP, 07110-000"/>
    <x v="0"/>
    <s v="LUCAS FREIRE"/>
    <x v="0"/>
    <n v="67"/>
    <x v="1"/>
    <n v="5500"/>
    <d v="2022-04-25T00:00:00"/>
    <x v="0"/>
    <x v="2"/>
  </r>
  <r>
    <x v="12"/>
    <n v="1500"/>
    <n v="2"/>
    <s v="Rua Antônio Lumack do Monte, 203 - 1 - Boa Viagem, Recife - PE, 51020-350"/>
    <x v="6"/>
    <s v="CAIO VIANNA"/>
    <x v="0"/>
    <n v="33"/>
    <x v="0"/>
    <n v="3000"/>
    <d v="2022-02-20T00:00:00"/>
    <x v="0"/>
    <x v="4"/>
  </r>
  <r>
    <x v="23"/>
    <n v="1100"/>
    <n v="5"/>
    <s v="R. Brasílio Itiberê, 3279 - Água Verde, Curitiba - PR, 80250-160"/>
    <x v="3"/>
    <s v="JONAS GOMES"/>
    <x v="0"/>
    <n v="56"/>
    <x v="1"/>
    <n v="5500"/>
    <d v="2022-07-10T00:00:00"/>
    <x v="0"/>
    <x v="0"/>
  </r>
  <r>
    <x v="5"/>
    <n v="1450"/>
    <n v="5"/>
    <s v="R. Luíz Faccini, 212 - Centro, Guarulhos - SP, 07110-000"/>
    <x v="0"/>
    <s v="CAMILLA VIEIRA"/>
    <x v="1"/>
    <n v="69"/>
    <x v="1"/>
    <n v="7250"/>
    <d v="2022-05-27T00:00:00"/>
    <x v="0"/>
    <x v="11"/>
  </r>
  <r>
    <x v="22"/>
    <n v="2400"/>
    <n v="1"/>
    <s v="Shopping Barra - Av. Centenário, 2992 - Barra, Salvador - BA, 40155-150"/>
    <x v="5"/>
    <s v="TIAGO PEREIRA"/>
    <x v="0"/>
    <n v="72"/>
    <x v="1"/>
    <n v="2400"/>
    <d v="2022-05-07T00:00:00"/>
    <x v="0"/>
    <x v="11"/>
  </r>
  <r>
    <x v="2"/>
    <n v="1900"/>
    <n v="1"/>
    <s v="Rua Antônio Lumack do Monte, 203 - 1 - Boa Viagem, Recife - PE, 51020-350"/>
    <x v="6"/>
    <s v="ISABELLA MONTANHOLI"/>
    <x v="1"/>
    <n v="50"/>
    <x v="0"/>
    <n v="1900"/>
    <d v="2022-07-11T00:00:00"/>
    <x v="0"/>
    <x v="0"/>
  </r>
  <r>
    <x v="11"/>
    <n v="2000"/>
    <n v="2"/>
    <s v="Av. Goiás Norte, 3.592 - quadra 2.1 - St. Mal. Rondon, Goiânia - GO, 74063-010"/>
    <x v="4"/>
    <s v="ANA JÚNIOR"/>
    <x v="1"/>
    <n v="58"/>
    <x v="1"/>
    <n v="4000"/>
    <d v="2022-04-01T00:00:00"/>
    <x v="0"/>
    <x v="2"/>
  </r>
  <r>
    <x v="7"/>
    <n v="2600"/>
    <n v="5"/>
    <s v="Rua Antônio Lumack do Monte, 203 - 1 - Boa Viagem, Recife - PE, 51020-350"/>
    <x v="6"/>
    <s v="BRUNA LONDERO"/>
    <x v="1"/>
    <n v="64"/>
    <x v="1"/>
    <n v="13000"/>
    <d v="2022-12-04T00:00:00"/>
    <x v="0"/>
    <x v="8"/>
  </r>
  <r>
    <x v="4"/>
    <n v="700"/>
    <n v="4"/>
    <s v="R. Teodoro Sampaio, 954 - Pinheiros, São Paulo - SP, 05406-050"/>
    <x v="0"/>
    <s v="TAYLA LIMA"/>
    <x v="1"/>
    <n v="31"/>
    <x v="0"/>
    <n v="2800"/>
    <d v="2022-09-27T00:00:00"/>
    <x v="0"/>
    <x v="1"/>
  </r>
  <r>
    <x v="8"/>
    <n v="1400"/>
    <n v="2"/>
    <s v="R. Luíz Faccini, 212 - Centro, Guarulhos - SP, 07110-000"/>
    <x v="0"/>
    <s v="SANDY FIGUEIREDO"/>
    <x v="1"/>
    <n v="35"/>
    <x v="0"/>
    <n v="2800"/>
    <d v="2022-05-01T00:00:00"/>
    <x v="0"/>
    <x v="11"/>
  </r>
  <r>
    <x v="1"/>
    <n v="1400"/>
    <n v="3"/>
    <s v="R. Brasílio Itiberê, 3279 - Água Verde, Curitiba - PR, 80250-160"/>
    <x v="3"/>
    <s v="FELIPE MENDONÇA"/>
    <x v="0"/>
    <n v="75"/>
    <x v="1"/>
    <n v="4200"/>
    <d v="2022-09-01T00:00:00"/>
    <x v="0"/>
    <x v="1"/>
  </r>
  <r>
    <x v="14"/>
    <n v="1500"/>
    <n v="4"/>
    <s v="Rua Antônio Lumack do Monte, 203 - 1 - Boa Viagem, Recife - PE, 51020-350"/>
    <x v="6"/>
    <s v="DEYSIANE MEDRONHO"/>
    <x v="1"/>
    <n v="47"/>
    <x v="0"/>
    <n v="6000"/>
    <d v="2022-07-30T00:00:00"/>
    <x v="0"/>
    <x v="0"/>
  </r>
  <r>
    <x v="18"/>
    <n v="2500"/>
    <n v="1"/>
    <s v="R. Brasílio Itiberê, 3279 - Água Verde, Curitiba - PR, 80250-160"/>
    <x v="3"/>
    <s v="LAÍS OLIVEIRA"/>
    <x v="1"/>
    <n v="63"/>
    <x v="1"/>
    <n v="2500"/>
    <d v="2022-07-19T00:00:00"/>
    <x v="0"/>
    <x v="0"/>
  </r>
  <r>
    <x v="0"/>
    <n v="4500"/>
    <n v="5"/>
    <s v="R. Luíz Faccini, 212 - Centro, Guarulhos - SP, 07110-000"/>
    <x v="0"/>
    <s v="EDUARDO NUNES"/>
    <x v="0"/>
    <n v="30"/>
    <x v="0"/>
    <n v="22500"/>
    <d v="2022-12-29T00:00:00"/>
    <x v="0"/>
    <x v="8"/>
  </r>
  <r>
    <x v="12"/>
    <n v="1500"/>
    <n v="3"/>
    <s v="R. Luíz Faccini, 212 - Centro, Guarulhos - SP, 07110-000"/>
    <x v="0"/>
    <s v="GABRIEL ALMEIDA"/>
    <x v="0"/>
    <n v="28"/>
    <x v="2"/>
    <n v="4500"/>
    <d v="2022-09-25T00:00:00"/>
    <x v="0"/>
    <x v="1"/>
  </r>
  <r>
    <x v="23"/>
    <n v="1100"/>
    <n v="1"/>
    <s v="R. Brasílio Itiberê, 3279 - Água Verde, Curitiba - PR, 80250-160"/>
    <x v="3"/>
    <s v="DANIEL NAUENBERG"/>
    <x v="0"/>
    <n v="36"/>
    <x v="0"/>
    <n v="1100"/>
    <d v="2022-10-03T00:00:00"/>
    <x v="0"/>
    <x v="6"/>
  </r>
  <r>
    <x v="2"/>
    <n v="1900"/>
    <n v="1"/>
    <s v="R. Brasílio Itiberê, 3279 - Água Verde, Curitiba - PR, 80250-160"/>
    <x v="3"/>
    <s v="CLARA BRUNO"/>
    <x v="1"/>
    <n v="57"/>
    <x v="1"/>
    <n v="1900"/>
    <d v="2022-08-08T00:00:00"/>
    <x v="0"/>
    <x v="7"/>
  </r>
  <r>
    <x v="12"/>
    <n v="1500"/>
    <n v="3"/>
    <s v="R. Dr. Antônio Castro Prado, 422 - Vila Rossi e Borchi, Campinas - SP, 13076-130"/>
    <x v="0"/>
    <s v="PEDRO COSTA"/>
    <x v="0"/>
    <n v="47"/>
    <x v="0"/>
    <n v="4500"/>
    <d v="2022-10-29T00:00:00"/>
    <x v="0"/>
    <x v="6"/>
  </r>
  <r>
    <x v="2"/>
    <n v="1900"/>
    <n v="1"/>
    <s v="R. Visc. de Pirajá, 136 - Ipanema, Rio de Janeiro - RJ, 22410-000"/>
    <x v="1"/>
    <s v="LUCAS COELHO"/>
    <x v="0"/>
    <n v="74"/>
    <x v="1"/>
    <n v="1900"/>
    <d v="2022-08-30T00:00:00"/>
    <x v="0"/>
    <x v="7"/>
  </r>
  <r>
    <x v="21"/>
    <n v="5200"/>
    <n v="1"/>
    <s v="Rua Quinze de Novembro, 8 - Loja 301a Loja 301b - Centro, Niterói - RJ, 24020-125"/>
    <x v="1"/>
    <s v="THAÍS PEREIRA"/>
    <x v="1"/>
    <n v="56"/>
    <x v="1"/>
    <n v="5200"/>
    <d v="2022-07-08T00:00:00"/>
    <x v="0"/>
    <x v="0"/>
  </r>
  <r>
    <x v="4"/>
    <n v="700"/>
    <n v="1"/>
    <s v="R. Luíz Faccini, 212 - Centro, Guarulhos - SP, 07110-000"/>
    <x v="0"/>
    <s v="RAPHAEL FERMAN"/>
    <x v="0"/>
    <n v="55"/>
    <x v="1"/>
    <n v="700"/>
    <d v="2022-06-28T00:00:00"/>
    <x v="0"/>
    <x v="3"/>
  </r>
  <r>
    <x v="14"/>
    <n v="1500"/>
    <n v="4"/>
    <s v="R. Luíz Faccini, 212 - Centro, Guarulhos - SP, 07110-000"/>
    <x v="0"/>
    <s v="HANNA FONSECA"/>
    <x v="1"/>
    <n v="40"/>
    <x v="0"/>
    <n v="6000"/>
    <d v="2022-11-28T00:00:00"/>
    <x v="0"/>
    <x v="10"/>
  </r>
  <r>
    <x v="1"/>
    <n v="1400"/>
    <n v="3"/>
    <s v="R. Dr. Antônio Castro Prado, 422 - Vila Rossi e Borchi, Campinas - SP, 13076-130"/>
    <x v="0"/>
    <s v="LUÍZA MELO"/>
    <x v="1"/>
    <n v="66"/>
    <x v="1"/>
    <n v="4200"/>
    <d v="2022-06-18T00:00:00"/>
    <x v="0"/>
    <x v="3"/>
  </r>
  <r>
    <x v="6"/>
    <n v="6500"/>
    <n v="5"/>
    <s v="Rua Quinze de Novembro, 8 - Loja 301a Loja 301b - Centro, Niterói - RJ, 24020-125"/>
    <x v="1"/>
    <s v="JOÃO RODRIGUES"/>
    <x v="0"/>
    <n v="59"/>
    <x v="1"/>
    <n v="32500"/>
    <d v="2022-08-10T00:00:00"/>
    <x v="0"/>
    <x v="7"/>
  </r>
  <r>
    <x v="3"/>
    <n v="1500"/>
    <n v="4"/>
    <s v="R. Luíz Faccini, 212 - Centro, Guarulhos - SP, 07110-000"/>
    <x v="0"/>
    <s v="DIEGO MARCHESI"/>
    <x v="0"/>
    <n v="27"/>
    <x v="2"/>
    <n v="6000"/>
    <d v="2022-06-08T00:00:00"/>
    <x v="0"/>
    <x v="3"/>
  </r>
  <r>
    <x v="17"/>
    <n v="2300"/>
    <n v="4"/>
    <s v="Rua Quinze de Novembro, 8 - Loja 301a Loja 301b - Centro, Niterói - RJ, 24020-125"/>
    <x v="1"/>
    <s v="LUIZ FREIRE"/>
    <x v="0"/>
    <n v="32"/>
    <x v="0"/>
    <n v="9200"/>
    <d v="2022-01-30T00:00:00"/>
    <x v="0"/>
    <x v="5"/>
  </r>
  <r>
    <x v="21"/>
    <n v="5200"/>
    <n v="2"/>
    <s v="R. Dr. Antônio Castro Prado, 422 - Vila Rossi e Borchi, Campinas - SP, 13076-130"/>
    <x v="0"/>
    <s v="BRENNO SANTOS"/>
    <x v="0"/>
    <n v="71"/>
    <x v="1"/>
    <n v="10400"/>
    <d v="2022-08-23T00:00:00"/>
    <x v="0"/>
    <x v="7"/>
  </r>
  <r>
    <x v="11"/>
    <n v="2000"/>
    <n v="5"/>
    <s v="Rua Antônio Lumack do Monte, 203 - 1 - Boa Viagem, Recife - PE, 51020-350"/>
    <x v="6"/>
    <s v="LUCAS NETO"/>
    <x v="0"/>
    <n v="63"/>
    <x v="1"/>
    <n v="10000"/>
    <d v="2022-03-13T00:00:00"/>
    <x v="0"/>
    <x v="9"/>
  </r>
  <r>
    <x v="10"/>
    <n v="750"/>
    <n v="3"/>
    <s v="Av. Mal. Floriano Peixoto, 2248-2258 - Centro, Nova Iguaçu - RJ, 26210-000"/>
    <x v="1"/>
    <s v="CHAN SANTOS"/>
    <x v="1"/>
    <n v="37"/>
    <x v="0"/>
    <n v="2250"/>
    <d v="2022-03-04T00:00:00"/>
    <x v="0"/>
    <x v="9"/>
  </r>
  <r>
    <x v="2"/>
    <n v="1900"/>
    <n v="1"/>
    <s v="R. Dr. Antônio Castro Prado, 422 - Vila Rossi e Borchi, Campinas - SP, 13076-130"/>
    <x v="0"/>
    <s v="RACHEL RESTUM"/>
    <x v="1"/>
    <n v="44"/>
    <x v="0"/>
    <n v="1900"/>
    <d v="2022-01-05T00:00:00"/>
    <x v="0"/>
    <x v="5"/>
  </r>
  <r>
    <x v="14"/>
    <n v="1500"/>
    <n v="5"/>
    <s v="Av. Mal. Floriano Peixoto, 2248-2258 - Centro, Nova Iguaçu - RJ, 26210-000"/>
    <x v="1"/>
    <s v="JACKSON DEROSSI"/>
    <x v="0"/>
    <n v="38"/>
    <x v="0"/>
    <n v="7500"/>
    <d v="2022-09-03T00:00:00"/>
    <x v="0"/>
    <x v="1"/>
  </r>
  <r>
    <x v="20"/>
    <n v="5500"/>
    <n v="5"/>
    <s v="Rua Antônio Lumack do Monte, 203 - 1 - Boa Viagem, Recife - PE, 51020-350"/>
    <x v="6"/>
    <s v="RODRIGO MENDES"/>
    <x v="0"/>
    <n v="56"/>
    <x v="1"/>
    <n v="27500"/>
    <d v="2022-09-16T00:00:00"/>
    <x v="0"/>
    <x v="1"/>
  </r>
  <r>
    <x v="17"/>
    <n v="2300"/>
    <n v="2"/>
    <s v="Av. Barão Homem de Melo, 1389 - Nova Granada, Belo Horizonte - MG, 30431-425"/>
    <x v="7"/>
    <s v="PEDRO FERRARI"/>
    <x v="0"/>
    <n v="54"/>
    <x v="1"/>
    <n v="4600"/>
    <d v="2022-06-01T00:00:00"/>
    <x v="0"/>
    <x v="3"/>
  </r>
  <r>
    <x v="18"/>
    <n v="2500"/>
    <n v="2"/>
    <s v="R. Visc. de Pirajá, 136 - Ipanema, Rio de Janeiro - RJ, 22410-000"/>
    <x v="1"/>
    <s v="CÉZAR SANTOS"/>
    <x v="0"/>
    <n v="68"/>
    <x v="1"/>
    <n v="5000"/>
    <d v="2022-08-28T00:00:00"/>
    <x v="0"/>
    <x v="7"/>
  </r>
  <r>
    <x v="12"/>
    <n v="1500"/>
    <n v="5"/>
    <s v="Av. Mal. Floriano Peixoto, 2248-2258 - Centro, Nova Iguaçu - RJ, 26210-000"/>
    <x v="1"/>
    <s v="PEDRO OLIVEIRA"/>
    <x v="0"/>
    <n v="32"/>
    <x v="0"/>
    <n v="7500"/>
    <d v="2022-05-23T00:00:00"/>
    <x v="0"/>
    <x v="11"/>
  </r>
  <r>
    <x v="16"/>
    <n v="1200"/>
    <n v="3"/>
    <s v="Rua Antônio Lumack do Monte, 203 - 1 - Boa Viagem, Recife - PE, 51020-350"/>
    <x v="6"/>
    <s v="JOAO PEREIRA"/>
    <x v="0"/>
    <n v="27"/>
    <x v="2"/>
    <n v="3600"/>
    <d v="2022-06-01T00:00:00"/>
    <x v="0"/>
    <x v="3"/>
  </r>
  <r>
    <x v="1"/>
    <n v="1400"/>
    <n v="1"/>
    <s v="Av. Dom Luís, 500 - Aldeota, Fortaleza - CE, 60160-230"/>
    <x v="2"/>
    <s v="THOMÁZ RODRIGUEZ"/>
    <x v="0"/>
    <n v="53"/>
    <x v="1"/>
    <n v="1400"/>
    <d v="2022-03-29T00:00:00"/>
    <x v="0"/>
    <x v="9"/>
  </r>
  <r>
    <x v="3"/>
    <n v="1500"/>
    <n v="2"/>
    <s v="R. Luíz Faccini, 212 - Centro, Guarulhos - SP, 07110-000"/>
    <x v="0"/>
    <s v="WENDELA MARIZ"/>
    <x v="1"/>
    <n v="54"/>
    <x v="1"/>
    <n v="3000"/>
    <d v="2022-07-09T00:00:00"/>
    <x v="0"/>
    <x v="0"/>
  </r>
  <r>
    <x v="13"/>
    <n v="1550"/>
    <n v="4"/>
    <s v="Av. Mal. Floriano Peixoto, 2248-2258 - Centro, Nova Iguaçu - RJ, 26210-000"/>
    <x v="1"/>
    <s v="FERNANDA COUTINHO"/>
    <x v="1"/>
    <n v="63"/>
    <x v="1"/>
    <n v="6200"/>
    <d v="2022-07-28T00:00:00"/>
    <x v="0"/>
    <x v="0"/>
  </r>
  <r>
    <x v="16"/>
    <n v="1200"/>
    <n v="2"/>
    <s v="R. Teodoro Sampaio, 954 - Pinheiros, São Paulo - SP, 05406-050"/>
    <x v="0"/>
    <s v="LAIS CANDIDO"/>
    <x v="1"/>
    <n v="48"/>
    <x v="0"/>
    <n v="2400"/>
    <d v="2022-08-21T00:00:00"/>
    <x v="0"/>
    <x v="7"/>
  </r>
  <r>
    <x v="23"/>
    <n v="1100"/>
    <n v="1"/>
    <s v="R. Visc. de Pirajá, 136 - Ipanema, Rio de Janeiro - RJ, 22410-000"/>
    <x v="1"/>
    <s v="JOAO SILVA"/>
    <x v="0"/>
    <n v="28"/>
    <x v="2"/>
    <n v="1100"/>
    <d v="2022-07-15T00:00:00"/>
    <x v="0"/>
    <x v="0"/>
  </r>
  <r>
    <x v="6"/>
    <n v="6500"/>
    <n v="4"/>
    <s v="R. Dr. Antônio Castro Prado, 422 - Vila Rossi e Borchi, Campinas - SP, 13076-130"/>
    <x v="0"/>
    <s v="PEDRO LYRA"/>
    <x v="0"/>
    <n v="26"/>
    <x v="2"/>
    <n v="26000"/>
    <d v="2022-01-17T00:00:00"/>
    <x v="0"/>
    <x v="5"/>
  </r>
  <r>
    <x v="5"/>
    <n v="1450"/>
    <n v="4"/>
    <s v="Rua Antônio Lumack do Monte, 203 - 1 - Boa Viagem, Recife - PE, 51020-350"/>
    <x v="6"/>
    <s v="DEYSIANE MEDRONHO"/>
    <x v="1"/>
    <n v="47"/>
    <x v="0"/>
    <n v="5800"/>
    <d v="2022-10-10T00:00:00"/>
    <x v="0"/>
    <x v="6"/>
  </r>
  <r>
    <x v="23"/>
    <n v="1100"/>
    <n v="5"/>
    <s v="Av. Borges de Medeiros, 3120 - Praia de Belas, Porto Alegre - RS, 90110-150"/>
    <x v="8"/>
    <s v="IURI BARBOSA"/>
    <x v="0"/>
    <n v="25"/>
    <x v="2"/>
    <n v="5500"/>
    <d v="2022-01-11T00:00:00"/>
    <x v="0"/>
    <x v="5"/>
  </r>
  <r>
    <x v="13"/>
    <n v="1550"/>
    <n v="5"/>
    <s v="Av. Barão Homem de Melo, 1389 - Nova Granada, Belo Horizonte - MG, 30431-425"/>
    <x v="7"/>
    <s v="LUIZ ALMEIDA"/>
    <x v="0"/>
    <n v="71"/>
    <x v="1"/>
    <n v="7750"/>
    <d v="2022-08-03T00:00:00"/>
    <x v="0"/>
    <x v="7"/>
  </r>
  <r>
    <x v="8"/>
    <n v="1400"/>
    <n v="5"/>
    <s v="Shopping Barra - Av. Centenário, 2992 - Barra, Salvador - BA, 40155-150"/>
    <x v="5"/>
    <s v="GUILHERME CASTILHO"/>
    <x v="0"/>
    <n v="55"/>
    <x v="1"/>
    <n v="7000"/>
    <d v="2022-04-27T00:00:00"/>
    <x v="0"/>
    <x v="2"/>
  </r>
  <r>
    <x v="6"/>
    <n v="6500"/>
    <n v="4"/>
    <s v="Shopping Barra - Av. Centenário, 2992 - Barra, Salvador - BA, 40155-150"/>
    <x v="5"/>
    <s v="CÍCERO RAMOS"/>
    <x v="0"/>
    <n v="62"/>
    <x v="1"/>
    <n v="26000"/>
    <d v="2022-05-19T00:00:00"/>
    <x v="0"/>
    <x v="11"/>
  </r>
  <r>
    <x v="14"/>
    <n v="1500"/>
    <n v="1"/>
    <s v="R. Brasílio Itiberê, 3279 - Água Verde, Curitiba - PR, 80250-160"/>
    <x v="3"/>
    <s v="MARCELA GASPERI"/>
    <x v="1"/>
    <n v="59"/>
    <x v="1"/>
    <n v="1500"/>
    <d v="2022-07-14T00:00:00"/>
    <x v="0"/>
    <x v="0"/>
  </r>
  <r>
    <x v="1"/>
    <n v="1400"/>
    <n v="1"/>
    <s v="R. Visc. de Pirajá, 136 - Ipanema, Rio de Janeiro - RJ, 22410-000"/>
    <x v="1"/>
    <s v="THAYS CASTRO"/>
    <x v="1"/>
    <n v="61"/>
    <x v="1"/>
    <n v="1400"/>
    <d v="2022-10-06T00:00:00"/>
    <x v="0"/>
    <x v="6"/>
  </r>
  <r>
    <x v="1"/>
    <n v="1400"/>
    <n v="4"/>
    <s v="R. Brasílio Itiberê, 3279 - Água Verde, Curitiba - PR, 80250-160"/>
    <x v="3"/>
    <s v="MARCOS NUCCI"/>
    <x v="0"/>
    <n v="26"/>
    <x v="2"/>
    <n v="5600"/>
    <d v="2022-12-31T00:00:00"/>
    <x v="0"/>
    <x v="8"/>
  </r>
  <r>
    <x v="20"/>
    <n v="5500"/>
    <n v="4"/>
    <s v="Shopping Barra - Av. Centenário, 2992 - Barra, Salvador - BA, 40155-150"/>
    <x v="5"/>
    <s v="CASSIO FARIA"/>
    <x v="0"/>
    <n v="62"/>
    <x v="1"/>
    <n v="22000"/>
    <d v="2022-12-24T00:00:00"/>
    <x v="0"/>
    <x v="8"/>
  </r>
  <r>
    <x v="6"/>
    <n v="6500"/>
    <n v="3"/>
    <s v="Shopping Barra - Av. Centenário, 2992 - Barra, Salvador - BA, 40155-150"/>
    <x v="5"/>
    <s v="ANA SILVA"/>
    <x v="1"/>
    <n v="58"/>
    <x v="1"/>
    <n v="19500"/>
    <d v="2022-05-04T00:00:00"/>
    <x v="0"/>
    <x v="11"/>
  </r>
  <r>
    <x v="15"/>
    <n v="3000"/>
    <n v="3"/>
    <s v="Av. Dom Luís, 500 - Aldeota, Fortaleza - CE, 60160-230"/>
    <x v="2"/>
    <s v="KARINA CAMARA"/>
    <x v="1"/>
    <n v="63"/>
    <x v="1"/>
    <n v="9000"/>
    <d v="2022-06-11T00:00:00"/>
    <x v="0"/>
    <x v="3"/>
  </r>
  <r>
    <x v="8"/>
    <n v="1400"/>
    <n v="3"/>
    <s v="Rua Antônio Lumack do Monte, 203 - 1 - Boa Viagem, Recife - PE, 51020-350"/>
    <x v="6"/>
    <s v="GUILHERME LIMA"/>
    <x v="0"/>
    <n v="53"/>
    <x v="1"/>
    <n v="4200"/>
    <d v="2022-12-12T00:00:00"/>
    <x v="0"/>
    <x v="8"/>
  </r>
  <r>
    <x v="3"/>
    <n v="1500"/>
    <n v="1"/>
    <s v="Av. Mal. Floriano Peixoto, 2248-2258 - Centro, Nova Iguaçu - RJ, 26210-000"/>
    <x v="1"/>
    <s v="GUILHERME LIMA"/>
    <x v="0"/>
    <n v="54"/>
    <x v="1"/>
    <n v="1500"/>
    <d v="2022-02-17T00:00:00"/>
    <x v="0"/>
    <x v="4"/>
  </r>
  <r>
    <x v="13"/>
    <n v="1550"/>
    <n v="5"/>
    <s v="Av. Borges de Medeiros, 3120 - Praia de Belas, Porto Alegre - RS, 90110-150"/>
    <x v="8"/>
    <s v="CAIO MOURA"/>
    <x v="0"/>
    <n v="66"/>
    <x v="1"/>
    <n v="7750"/>
    <d v="2022-01-10T00:00:00"/>
    <x v="0"/>
    <x v="5"/>
  </r>
  <r>
    <x v="3"/>
    <n v="1500"/>
    <n v="5"/>
    <s v="R. Teodoro Sampaio, 954 - Pinheiros, São Paulo - SP, 05406-050"/>
    <x v="0"/>
    <s v="LAURA ARAUJO"/>
    <x v="1"/>
    <n v="64"/>
    <x v="1"/>
    <n v="7500"/>
    <d v="2022-11-02T00:00:00"/>
    <x v="0"/>
    <x v="10"/>
  </r>
  <r>
    <x v="6"/>
    <n v="6500"/>
    <n v="1"/>
    <s v="R. Luíz Faccini, 212 - Centro, Guarulhos - SP, 07110-000"/>
    <x v="0"/>
    <s v="THAYNA MARTINS"/>
    <x v="1"/>
    <n v="27"/>
    <x v="2"/>
    <n v="6500"/>
    <d v="2022-07-22T00:00:00"/>
    <x v="0"/>
    <x v="0"/>
  </r>
  <r>
    <x v="0"/>
    <n v="4500"/>
    <n v="4"/>
    <s v="Rua Antônio Lumack do Monte, 203 - 1 - Boa Viagem, Recife - PE, 51020-350"/>
    <x v="6"/>
    <s v="BERNARD PEDROSA"/>
    <x v="0"/>
    <n v="49"/>
    <x v="0"/>
    <n v="18000"/>
    <d v="2022-07-15T00:00:00"/>
    <x v="0"/>
    <x v="0"/>
  </r>
  <r>
    <x v="22"/>
    <n v="2400"/>
    <n v="5"/>
    <s v="R. Luíz Faccini, 212 - Centro, Guarulhos - SP, 07110-000"/>
    <x v="0"/>
    <s v="KIM FERREIRA"/>
    <x v="1"/>
    <n v="73"/>
    <x v="1"/>
    <n v="12000"/>
    <d v="2022-12-07T00:00:00"/>
    <x v="0"/>
    <x v="8"/>
  </r>
  <r>
    <x v="13"/>
    <n v="1550"/>
    <n v="4"/>
    <s v="R. Dr. Antônio Castro Prado, 422 - Vila Rossi e Borchi, Campinas - SP, 13076-130"/>
    <x v="0"/>
    <s v="LUNNA VANNIER"/>
    <x v="1"/>
    <n v="30"/>
    <x v="0"/>
    <n v="6200"/>
    <d v="2022-07-05T00:00:00"/>
    <x v="0"/>
    <x v="0"/>
  </r>
  <r>
    <x v="1"/>
    <n v="1400"/>
    <n v="5"/>
    <s v="Av. Dom Luís, 500 - Aldeota, Fortaleza - CE, 60160-230"/>
    <x v="2"/>
    <s v="GUSTAVO ERTHAL"/>
    <x v="0"/>
    <n v="75"/>
    <x v="1"/>
    <n v="7000"/>
    <d v="2022-07-02T00:00:00"/>
    <x v="0"/>
    <x v="0"/>
  </r>
  <r>
    <x v="13"/>
    <n v="1550"/>
    <n v="2"/>
    <s v="Av. Borges de Medeiros, 3120 - Praia de Belas, Porto Alegre - RS, 90110-150"/>
    <x v="8"/>
    <s v="CAIO SILVA"/>
    <x v="0"/>
    <n v="31"/>
    <x v="0"/>
    <n v="3100"/>
    <d v="2022-07-30T00:00:00"/>
    <x v="0"/>
    <x v="0"/>
  </r>
  <r>
    <x v="17"/>
    <n v="2300"/>
    <n v="2"/>
    <s v="Rua Antônio Lumack do Monte, 203 - 1 - Boa Viagem, Recife - PE, 51020-350"/>
    <x v="6"/>
    <s v="CAIO VIANNA"/>
    <x v="0"/>
    <n v="33"/>
    <x v="0"/>
    <n v="4600"/>
    <d v="2022-09-30T00:00:00"/>
    <x v="0"/>
    <x v="1"/>
  </r>
  <r>
    <x v="12"/>
    <n v="1500"/>
    <n v="3"/>
    <s v="Rua Quinze de Novembro, 8 - Loja 301a Loja 301b - Centro, Niterói - RJ, 24020-125"/>
    <x v="1"/>
    <s v="PEDRO MACCKIONE"/>
    <x v="0"/>
    <n v="35"/>
    <x v="0"/>
    <n v="4500"/>
    <d v="2022-11-28T00:00:00"/>
    <x v="0"/>
    <x v="10"/>
  </r>
  <r>
    <x v="11"/>
    <n v="2000"/>
    <n v="2"/>
    <s v="Av. Dom Luís, 500 - Aldeota, Fortaleza - CE, 60160-230"/>
    <x v="2"/>
    <s v="BRUNO MOTA"/>
    <x v="0"/>
    <n v="37"/>
    <x v="0"/>
    <n v="4000"/>
    <d v="2022-06-18T00:00:00"/>
    <x v="0"/>
    <x v="3"/>
  </r>
  <r>
    <x v="5"/>
    <n v="1450"/>
    <n v="3"/>
    <s v="Av. Mal. Floriano Peixoto, 2248-2258 - Centro, Nova Iguaçu - RJ, 26210-000"/>
    <x v="1"/>
    <s v="NATALI RANGEL"/>
    <x v="1"/>
    <n v="26"/>
    <x v="2"/>
    <n v="4350"/>
    <d v="2022-01-05T00:00:00"/>
    <x v="0"/>
    <x v="5"/>
  </r>
  <r>
    <x v="9"/>
    <n v="2000"/>
    <n v="4"/>
    <s v="R. Dr. Antônio Castro Prado, 422 - Vila Rossi e Borchi, Campinas - SP, 13076-130"/>
    <x v="0"/>
    <s v="JOSÉ MARQUES"/>
    <x v="0"/>
    <n v="37"/>
    <x v="0"/>
    <n v="8000"/>
    <d v="2022-10-15T00:00:00"/>
    <x v="0"/>
    <x v="6"/>
  </r>
  <r>
    <x v="11"/>
    <n v="2000"/>
    <n v="2"/>
    <s v="R. Brasílio Itiberê, 3279 - Água Verde, Curitiba - PR, 80250-160"/>
    <x v="3"/>
    <s v="IVES BARBOSA"/>
    <x v="1"/>
    <n v="42"/>
    <x v="0"/>
    <n v="4000"/>
    <d v="2022-03-15T00:00:00"/>
    <x v="0"/>
    <x v="9"/>
  </r>
  <r>
    <x v="2"/>
    <n v="1900"/>
    <n v="4"/>
    <s v="Rua Quinze de Novembro, 8 - Loja 301a Loja 301b - Centro, Niterói - RJ, 24020-125"/>
    <x v="1"/>
    <s v="GABRIELLA LOPES"/>
    <x v="1"/>
    <n v="45"/>
    <x v="0"/>
    <n v="7600"/>
    <d v="2022-01-14T00:00:00"/>
    <x v="0"/>
    <x v="5"/>
  </r>
  <r>
    <x v="19"/>
    <n v="1750"/>
    <n v="2"/>
    <s v="R. Visc. de Pirajá, 136 - Ipanema, Rio de Janeiro - RJ, 22410-000"/>
    <x v="1"/>
    <s v="BIANCA PIERO"/>
    <x v="1"/>
    <n v="33"/>
    <x v="0"/>
    <n v="3500"/>
    <d v="2022-02-02T00:00:00"/>
    <x v="0"/>
    <x v="4"/>
  </r>
  <r>
    <x v="3"/>
    <n v="1500"/>
    <n v="5"/>
    <s v="R. Teodoro Sampaio, 954 - Pinheiros, São Paulo - SP, 05406-050"/>
    <x v="0"/>
    <s v="CAROLINA SANTOS"/>
    <x v="1"/>
    <n v="72"/>
    <x v="1"/>
    <n v="7500"/>
    <d v="2022-10-03T00:00:00"/>
    <x v="0"/>
    <x v="6"/>
  </r>
  <r>
    <x v="1"/>
    <n v="1400"/>
    <n v="4"/>
    <s v="Av. Mal. Floriano Peixoto, 2248-2258 - Centro, Nova Iguaçu - RJ, 26210-000"/>
    <x v="1"/>
    <s v="GIULIA PESSANHA"/>
    <x v="1"/>
    <n v="28"/>
    <x v="2"/>
    <n v="5600"/>
    <d v="2022-02-11T00:00:00"/>
    <x v="0"/>
    <x v="4"/>
  </r>
  <r>
    <x v="12"/>
    <n v="1500"/>
    <n v="4"/>
    <s v="R. Teodoro Sampaio, 954 - Pinheiros, São Paulo - SP, 05406-050"/>
    <x v="0"/>
    <s v="JOÃO ABRAÇADO"/>
    <x v="0"/>
    <n v="42"/>
    <x v="0"/>
    <n v="6000"/>
    <d v="2022-07-16T00:00:00"/>
    <x v="0"/>
    <x v="0"/>
  </r>
  <r>
    <x v="11"/>
    <n v="2000"/>
    <n v="2"/>
    <s v="R. Teodoro Sampaio, 954 - Pinheiros, São Paulo - SP, 05406-050"/>
    <x v="0"/>
    <s v="EDUARDO FERREIRA"/>
    <x v="0"/>
    <n v="46"/>
    <x v="0"/>
    <n v="4000"/>
    <d v="2022-11-06T00:00:00"/>
    <x v="0"/>
    <x v="10"/>
  </r>
  <r>
    <x v="7"/>
    <n v="2600"/>
    <n v="1"/>
    <s v="Shopping Barra - Av. Centenário, 2992 - Barra, Salvador - BA, 40155-150"/>
    <x v="5"/>
    <s v="EDUARDO PELUZO"/>
    <x v="0"/>
    <n v="33"/>
    <x v="0"/>
    <n v="2600"/>
    <d v="2022-07-23T00:00:00"/>
    <x v="0"/>
    <x v="0"/>
  </r>
  <r>
    <x v="11"/>
    <n v="2000"/>
    <n v="4"/>
    <s v="Rua Antônio Lumack do Monte, 203 - 1 - Boa Viagem, Recife - PE, 51020-350"/>
    <x v="6"/>
    <s v="RUBENS VALENTE"/>
    <x v="0"/>
    <n v="76"/>
    <x v="1"/>
    <n v="8000"/>
    <d v="2022-07-12T00:00:00"/>
    <x v="0"/>
    <x v="0"/>
  </r>
  <r>
    <x v="18"/>
    <n v="2500"/>
    <n v="4"/>
    <s v="Rua Antônio Lumack do Monte, 203 - 1 - Boa Viagem, Recife - PE, 51020-350"/>
    <x v="6"/>
    <s v="ISABELLA MONTANHOLI"/>
    <x v="1"/>
    <n v="50"/>
    <x v="0"/>
    <n v="10000"/>
    <d v="2022-07-29T00:00:00"/>
    <x v="0"/>
    <x v="0"/>
  </r>
  <r>
    <x v="20"/>
    <n v="5500"/>
    <n v="3"/>
    <s v="Av. Goiás Norte, 3.592 - quadra 2.1 - St. Mal. Rondon, Goiânia - GO, 74063-010"/>
    <x v="4"/>
    <s v="THOMAZ FERREIRA"/>
    <x v="0"/>
    <n v="56"/>
    <x v="1"/>
    <n v="16500"/>
    <d v="2022-08-10T00:00:00"/>
    <x v="0"/>
    <x v="7"/>
  </r>
  <r>
    <x v="10"/>
    <n v="750"/>
    <n v="5"/>
    <s v="R. Brasílio Itiberê, 3279 - Água Verde, Curitiba - PR, 80250-160"/>
    <x v="3"/>
    <s v="CAROLINA ROCHA"/>
    <x v="1"/>
    <n v="34"/>
    <x v="0"/>
    <n v="3750"/>
    <d v="2022-03-05T00:00:00"/>
    <x v="0"/>
    <x v="9"/>
  </r>
  <r>
    <x v="22"/>
    <n v="2400"/>
    <n v="5"/>
    <s v="Av. Dom Luís, 500 - Aldeota, Fortaleza - CE, 60160-230"/>
    <x v="2"/>
    <s v="MARINA CORREA"/>
    <x v="1"/>
    <n v="42"/>
    <x v="0"/>
    <n v="12000"/>
    <d v="2022-06-07T00:00:00"/>
    <x v="0"/>
    <x v="3"/>
  </r>
  <r>
    <x v="8"/>
    <n v="1400"/>
    <n v="1"/>
    <s v="R. Visc. de Pirajá, 136 - Ipanema, Rio de Janeiro - RJ, 22410-000"/>
    <x v="1"/>
    <s v="BIANCA PAZ"/>
    <x v="1"/>
    <n v="62"/>
    <x v="1"/>
    <n v="1400"/>
    <d v="2022-04-05T00:00:00"/>
    <x v="0"/>
    <x v="2"/>
  </r>
  <r>
    <x v="2"/>
    <n v="1900"/>
    <n v="2"/>
    <s v="Av. Borges de Medeiros, 3120 - Praia de Belas, Porto Alegre - RS, 90110-150"/>
    <x v="8"/>
    <s v="ARTHUR PEREIRA"/>
    <x v="0"/>
    <n v="42"/>
    <x v="0"/>
    <n v="3800"/>
    <d v="2022-04-11T00:00:00"/>
    <x v="0"/>
    <x v="2"/>
  </r>
  <r>
    <x v="20"/>
    <n v="5500"/>
    <n v="1"/>
    <s v="R. Brasílio Itiberê, 3279 - Água Verde, Curitiba - PR, 80250-160"/>
    <x v="3"/>
    <s v="MARIANA BAPTISTA"/>
    <x v="1"/>
    <n v="34"/>
    <x v="0"/>
    <n v="5500"/>
    <d v="2022-06-02T00:00:00"/>
    <x v="0"/>
    <x v="3"/>
  </r>
  <r>
    <x v="14"/>
    <n v="1500"/>
    <n v="5"/>
    <s v="Rua Quinze de Novembro, 8 - Loja 301a Loja 301b - Centro, Niterói - RJ, 24020-125"/>
    <x v="1"/>
    <s v="CLARISSA SANTOS"/>
    <x v="1"/>
    <n v="71"/>
    <x v="1"/>
    <n v="7500"/>
    <d v="2022-05-24T00:00:00"/>
    <x v="0"/>
    <x v="11"/>
  </r>
  <r>
    <x v="7"/>
    <n v="2600"/>
    <n v="3"/>
    <s v="R. Luíz Faccini, 212 - Centro, Guarulhos - SP, 07110-000"/>
    <x v="0"/>
    <s v="MICHELLE PEREIRA"/>
    <x v="1"/>
    <n v="55"/>
    <x v="1"/>
    <n v="7800"/>
    <d v="2022-06-02T00:00:00"/>
    <x v="0"/>
    <x v="3"/>
  </r>
  <r>
    <x v="5"/>
    <n v="1450"/>
    <n v="5"/>
    <s v="R. Teodoro Sampaio, 954 - Pinheiros, São Paulo - SP, 05406-050"/>
    <x v="0"/>
    <s v="LUCAS ALMEIDA"/>
    <x v="0"/>
    <n v="48"/>
    <x v="0"/>
    <n v="7250"/>
    <d v="2022-11-22T00:00:00"/>
    <x v="0"/>
    <x v="10"/>
  </r>
  <r>
    <x v="10"/>
    <n v="750"/>
    <n v="2"/>
    <s v="R. Visc. de Pirajá, 136 - Ipanema, Rio de Janeiro - RJ, 22410-000"/>
    <x v="1"/>
    <s v="CAROLINA MOTTA"/>
    <x v="1"/>
    <n v="29"/>
    <x v="2"/>
    <n v="1500"/>
    <d v="2022-11-16T00:00:00"/>
    <x v="0"/>
    <x v="10"/>
  </r>
  <r>
    <x v="3"/>
    <n v="1500"/>
    <n v="2"/>
    <s v="Rua Antônio Lumack do Monte, 203 - 1 - Boa Viagem, Recife - PE, 51020-350"/>
    <x v="6"/>
    <s v="ISABELA RESENDE"/>
    <x v="1"/>
    <n v="74"/>
    <x v="1"/>
    <n v="3000"/>
    <d v="2022-06-12T00:00:00"/>
    <x v="0"/>
    <x v="3"/>
  </r>
  <r>
    <x v="16"/>
    <n v="1200"/>
    <n v="2"/>
    <s v="R. Teodoro Sampaio, 954 - Pinheiros, São Paulo - SP, 05406-050"/>
    <x v="0"/>
    <s v="JOÃO ARAUJO"/>
    <x v="0"/>
    <n v="36"/>
    <x v="0"/>
    <n v="2400"/>
    <d v="2022-05-12T00:00:00"/>
    <x v="0"/>
    <x v="11"/>
  </r>
  <r>
    <x v="13"/>
    <n v="1550"/>
    <n v="3"/>
    <s v="Av. Dom Luís, 500 - Aldeota, Fortaleza - CE, 60160-230"/>
    <x v="2"/>
    <s v="MARCELO GUADAGNINO"/>
    <x v="0"/>
    <n v="37"/>
    <x v="0"/>
    <n v="4650"/>
    <d v="2022-08-26T00:00:00"/>
    <x v="0"/>
    <x v="7"/>
  </r>
  <r>
    <x v="16"/>
    <n v="1200"/>
    <n v="2"/>
    <s v="Rua Antônio Lumack do Monte, 203 - 1 - Boa Viagem, Recife - PE, 51020-350"/>
    <x v="6"/>
    <s v="GUILHERME LIMA"/>
    <x v="0"/>
    <n v="53"/>
    <x v="1"/>
    <n v="2400"/>
    <d v="2022-09-19T00:00:00"/>
    <x v="0"/>
    <x v="1"/>
  </r>
  <r>
    <x v="10"/>
    <n v="750"/>
    <n v="5"/>
    <s v="R. Luíz Faccini, 212 - Centro, Guarulhos - SP, 07110-000"/>
    <x v="0"/>
    <s v="THALES PORTILLO"/>
    <x v="0"/>
    <n v="71"/>
    <x v="1"/>
    <n v="3750"/>
    <d v="2022-11-04T00:00:00"/>
    <x v="0"/>
    <x v="10"/>
  </r>
  <r>
    <x v="5"/>
    <n v="1450"/>
    <n v="2"/>
    <s v="Av. Barão Homem de Melo, 1389 - Nova Granada, Belo Horizonte - MG, 30431-425"/>
    <x v="7"/>
    <s v="PRISCILA GARCIA"/>
    <x v="1"/>
    <n v="33"/>
    <x v="0"/>
    <n v="2900"/>
    <d v="2022-04-26T00:00:00"/>
    <x v="0"/>
    <x v="2"/>
  </r>
  <r>
    <x v="11"/>
    <n v="2000"/>
    <n v="2"/>
    <s v="R. Brasílio Itiberê, 3279 - Água Verde, Curitiba - PR, 80250-160"/>
    <x v="3"/>
    <s v="FELIPE MENDONÇA"/>
    <x v="0"/>
    <n v="75"/>
    <x v="1"/>
    <n v="4000"/>
    <d v="2022-01-25T00:00:00"/>
    <x v="0"/>
    <x v="5"/>
  </r>
  <r>
    <x v="2"/>
    <n v="1900"/>
    <n v="4"/>
    <s v="Av. Mal. Floriano Peixoto, 2248-2258 - Centro, Nova Iguaçu - RJ, 26210-000"/>
    <x v="1"/>
    <s v="JUAN FERNANDES"/>
    <x v="0"/>
    <n v="40"/>
    <x v="0"/>
    <n v="7600"/>
    <d v="2022-05-04T00:00:00"/>
    <x v="0"/>
    <x v="11"/>
  </r>
  <r>
    <x v="14"/>
    <n v="1500"/>
    <n v="1"/>
    <s v="R. Luíz Faccini, 212 - Centro, Guarulhos - SP, 07110-000"/>
    <x v="0"/>
    <s v="THALES PORTILLO"/>
    <x v="0"/>
    <n v="71"/>
    <x v="1"/>
    <n v="1500"/>
    <d v="2022-10-21T00:00:00"/>
    <x v="0"/>
    <x v="6"/>
  </r>
  <r>
    <x v="18"/>
    <n v="2500"/>
    <n v="1"/>
    <s v="R. Visc. de Pirajá, 136 - Ipanema, Rio de Janeiro - RJ, 22410-000"/>
    <x v="1"/>
    <s v="RENAN NASCIMENTO"/>
    <x v="0"/>
    <n v="37"/>
    <x v="0"/>
    <n v="2500"/>
    <d v="2022-01-31T00:00:00"/>
    <x v="0"/>
    <x v="5"/>
  </r>
  <r>
    <x v="9"/>
    <n v="2000"/>
    <n v="3"/>
    <s v="R. Brasílio Itiberê, 3279 - Água Verde, Curitiba - PR, 80250-160"/>
    <x v="3"/>
    <s v="CAMILLA CARDEMAN"/>
    <x v="1"/>
    <n v="56"/>
    <x v="1"/>
    <n v="6000"/>
    <d v="2022-10-12T00:00:00"/>
    <x v="0"/>
    <x v="6"/>
  </r>
  <r>
    <x v="2"/>
    <n v="1900"/>
    <n v="1"/>
    <s v="R. Luíz Faccini, 212 - Centro, Guarulhos - SP, 07110-000"/>
    <x v="0"/>
    <s v="ADRIELLE VIEIRA"/>
    <x v="1"/>
    <n v="49"/>
    <x v="0"/>
    <n v="1900"/>
    <d v="2022-04-02T00:00:00"/>
    <x v="0"/>
    <x v="2"/>
  </r>
  <r>
    <x v="20"/>
    <n v="5500"/>
    <n v="2"/>
    <s v="Rua Quinze de Novembro, 8 - Loja 301a Loja 301b - Centro, Niterói - RJ, 24020-125"/>
    <x v="1"/>
    <s v="IAN ALMEIDA"/>
    <x v="0"/>
    <n v="68"/>
    <x v="1"/>
    <n v="11000"/>
    <d v="2022-01-27T00:00:00"/>
    <x v="0"/>
    <x v="5"/>
  </r>
  <r>
    <x v="17"/>
    <n v="2300"/>
    <n v="4"/>
    <s v="Av. Barão Homem de Melo, 1389 - Nova Granada, Belo Horizonte - MG, 30431-425"/>
    <x v="7"/>
    <s v="PEDRO CARDOSO"/>
    <x v="0"/>
    <n v="62"/>
    <x v="1"/>
    <n v="9200"/>
    <d v="2022-04-23T00:00:00"/>
    <x v="0"/>
    <x v="2"/>
  </r>
  <r>
    <x v="15"/>
    <n v="3000"/>
    <n v="1"/>
    <s v="R. Dr. Antônio Castro Prado, 422 - Vila Rossi e Borchi, Campinas - SP, 13076-130"/>
    <x v="0"/>
    <s v="RAPHAEL MATTOS"/>
    <x v="0"/>
    <n v="40"/>
    <x v="0"/>
    <n v="3000"/>
    <d v="2022-05-27T00:00:00"/>
    <x v="0"/>
    <x v="11"/>
  </r>
  <r>
    <x v="1"/>
    <n v="1400"/>
    <n v="2"/>
    <s v="R. Teodoro Sampaio, 954 - Pinheiros, São Paulo - SP, 05406-050"/>
    <x v="0"/>
    <s v="WILSON MIRANDA"/>
    <x v="0"/>
    <n v="50"/>
    <x v="0"/>
    <n v="2800"/>
    <d v="2022-07-10T00:00:00"/>
    <x v="0"/>
    <x v="0"/>
  </r>
  <r>
    <x v="19"/>
    <n v="1750"/>
    <n v="4"/>
    <s v="Av. Goiás Norte, 3.592 - quadra 2.1 - St. Mal. Rondon, Goiânia - GO, 74063-010"/>
    <x v="4"/>
    <s v="GIOVANNA SANTOS"/>
    <x v="1"/>
    <n v="28"/>
    <x v="2"/>
    <n v="7000"/>
    <d v="2022-08-15T00:00:00"/>
    <x v="0"/>
    <x v="7"/>
  </r>
  <r>
    <x v="10"/>
    <n v="750"/>
    <n v="4"/>
    <s v="R. Visc. de Pirajá, 136 - Ipanema, Rio de Janeiro - RJ, 22410-000"/>
    <x v="1"/>
    <s v="LUCAS ROCHA"/>
    <x v="0"/>
    <n v="52"/>
    <x v="1"/>
    <n v="3000"/>
    <d v="2022-08-16T00:00:00"/>
    <x v="0"/>
    <x v="7"/>
  </r>
  <r>
    <x v="14"/>
    <n v="1500"/>
    <n v="3"/>
    <s v="Shopping Barra - Av. Centenário, 2992 - Barra, Salvador - BA, 40155-150"/>
    <x v="5"/>
    <s v="GABRIELLE VIRÍSSIMO"/>
    <x v="1"/>
    <n v="26"/>
    <x v="2"/>
    <n v="4500"/>
    <d v="2022-08-14T00:00:00"/>
    <x v="0"/>
    <x v="7"/>
  </r>
  <r>
    <x v="22"/>
    <n v="2400"/>
    <n v="2"/>
    <s v="Av. Borges de Medeiros, 3120 - Praia de Belas, Porto Alegre - RS, 90110-150"/>
    <x v="8"/>
    <s v="ADRIANE GOMES"/>
    <x v="1"/>
    <n v="71"/>
    <x v="1"/>
    <n v="4800"/>
    <d v="2022-01-02T00:00:00"/>
    <x v="0"/>
    <x v="5"/>
  </r>
  <r>
    <x v="3"/>
    <n v="1500"/>
    <n v="5"/>
    <s v="R. Teodoro Sampaio, 954 - Pinheiros, São Paulo - SP, 05406-050"/>
    <x v="0"/>
    <s v="GABRIEL ASSIS"/>
    <x v="0"/>
    <n v="44"/>
    <x v="0"/>
    <n v="7500"/>
    <d v="2022-11-05T00:00:00"/>
    <x v="0"/>
    <x v="10"/>
  </r>
  <r>
    <x v="10"/>
    <n v="750"/>
    <n v="3"/>
    <s v="Av. Mal. Floriano Peixoto, 2248-2258 - Centro, Nova Iguaçu - RJ, 26210-000"/>
    <x v="1"/>
    <s v="GABRIEL RUBIM"/>
    <x v="0"/>
    <n v="68"/>
    <x v="1"/>
    <n v="2250"/>
    <d v="2022-01-30T00:00:00"/>
    <x v="0"/>
    <x v="5"/>
  </r>
  <r>
    <x v="13"/>
    <n v="1550"/>
    <n v="1"/>
    <s v="Rua Antônio Lumack do Monte, 203 - 1 - Boa Viagem, Recife - PE, 51020-350"/>
    <x v="6"/>
    <s v="LUCAS JUNIOR"/>
    <x v="0"/>
    <n v="35"/>
    <x v="0"/>
    <n v="1550"/>
    <d v="2022-08-05T00:00:00"/>
    <x v="0"/>
    <x v="7"/>
  </r>
  <r>
    <x v="1"/>
    <n v="1400"/>
    <n v="4"/>
    <s v="R. Luíz Faccini, 212 - Centro, Guarulhos - SP, 07110-000"/>
    <x v="0"/>
    <s v="ISABEL LEITE"/>
    <x v="1"/>
    <n v="31"/>
    <x v="0"/>
    <n v="5600"/>
    <d v="2022-01-11T00:00:00"/>
    <x v="0"/>
    <x v="5"/>
  </r>
  <r>
    <x v="11"/>
    <n v="2000"/>
    <n v="5"/>
    <s v="Shopping Barra - Av. Centenário, 2992 - Barra, Salvador - BA, 40155-150"/>
    <x v="5"/>
    <s v="ANA SILVA"/>
    <x v="1"/>
    <n v="58"/>
    <x v="1"/>
    <n v="10000"/>
    <d v="2022-10-02T00:00:00"/>
    <x v="0"/>
    <x v="6"/>
  </r>
  <r>
    <x v="7"/>
    <n v="2600"/>
    <n v="5"/>
    <s v="R. Luíz Faccini, 212 - Centro, Guarulhos - SP, 07110-000"/>
    <x v="0"/>
    <s v="AMANDA PROCACI"/>
    <x v="1"/>
    <n v="34"/>
    <x v="0"/>
    <n v="13000"/>
    <d v="2022-07-22T00:00:00"/>
    <x v="0"/>
    <x v="0"/>
  </r>
  <r>
    <x v="17"/>
    <n v="2300"/>
    <n v="4"/>
    <s v="Shopping Barra - Av. Centenário, 2992 - Barra, Salvador - BA, 40155-150"/>
    <x v="5"/>
    <s v="JULIANA SILVA"/>
    <x v="1"/>
    <n v="41"/>
    <x v="0"/>
    <n v="9200"/>
    <d v="2022-06-04T00:00:00"/>
    <x v="0"/>
    <x v="3"/>
  </r>
  <r>
    <x v="9"/>
    <n v="2000"/>
    <n v="1"/>
    <s v="R. Visc. de Pirajá, 136 - Ipanema, Rio de Janeiro - RJ, 22410-000"/>
    <x v="1"/>
    <s v="THAYS CASTRO"/>
    <x v="1"/>
    <n v="61"/>
    <x v="1"/>
    <n v="2000"/>
    <d v="2022-02-28T00:00:00"/>
    <x v="0"/>
    <x v="4"/>
  </r>
  <r>
    <x v="6"/>
    <n v="6500"/>
    <n v="4"/>
    <s v="R. Teodoro Sampaio, 954 - Pinheiros, São Paulo - SP, 05406-050"/>
    <x v="0"/>
    <s v="CAROLINA SANTOS"/>
    <x v="1"/>
    <n v="72"/>
    <x v="1"/>
    <n v="26000"/>
    <d v="2022-06-25T00:00:00"/>
    <x v="0"/>
    <x v="3"/>
  </r>
  <r>
    <x v="2"/>
    <n v="1900"/>
    <n v="3"/>
    <s v="Av. Dom Luís, 500 - Aldeota, Fortaleza - CE, 60160-230"/>
    <x v="2"/>
    <s v="LUCAS VILLANOVA"/>
    <x v="0"/>
    <n v="31"/>
    <x v="0"/>
    <n v="5700"/>
    <d v="2022-09-10T00:00:00"/>
    <x v="0"/>
    <x v="1"/>
  </r>
  <r>
    <x v="14"/>
    <n v="1500"/>
    <n v="1"/>
    <s v="R. Luíz Faccini, 212 - Centro, Guarulhos - SP, 07110-000"/>
    <x v="0"/>
    <s v="ISABEL LEITE"/>
    <x v="1"/>
    <n v="31"/>
    <x v="0"/>
    <n v="1500"/>
    <d v="2022-08-23T00:00:00"/>
    <x v="0"/>
    <x v="7"/>
  </r>
  <r>
    <x v="12"/>
    <n v="1500"/>
    <n v="5"/>
    <s v="Av. Dom Luís, 500 - Aldeota, Fortaleza - CE, 60160-230"/>
    <x v="2"/>
    <s v="DIEGO BARROS"/>
    <x v="0"/>
    <n v="37"/>
    <x v="0"/>
    <n v="7500"/>
    <d v="2022-04-21T00:00:00"/>
    <x v="0"/>
    <x v="2"/>
  </r>
  <r>
    <x v="2"/>
    <n v="1900"/>
    <n v="2"/>
    <s v="Rua Antônio Lumack do Monte, 203 - 1 - Boa Viagem, Recife - PE, 51020-350"/>
    <x v="6"/>
    <s v="JORGE CARVALHO"/>
    <x v="0"/>
    <n v="60"/>
    <x v="1"/>
    <n v="3800"/>
    <d v="2022-10-21T00:00:00"/>
    <x v="0"/>
    <x v="6"/>
  </r>
  <r>
    <x v="18"/>
    <n v="2500"/>
    <n v="2"/>
    <s v="Rua Antônio Lumack do Monte, 203 - 1 - Boa Viagem, Recife - PE, 51020-350"/>
    <x v="6"/>
    <s v="ISABELA RESENDE"/>
    <x v="1"/>
    <n v="74"/>
    <x v="1"/>
    <n v="5000"/>
    <d v="2022-08-22T00:00:00"/>
    <x v="0"/>
    <x v="7"/>
  </r>
  <r>
    <x v="16"/>
    <n v="1200"/>
    <n v="3"/>
    <s v="R. Teodoro Sampaio, 954 - Pinheiros, São Paulo - SP, 05406-050"/>
    <x v="0"/>
    <s v="DANILO RUBIM"/>
    <x v="0"/>
    <n v="61"/>
    <x v="1"/>
    <n v="3600"/>
    <d v="2022-10-01T00:00:00"/>
    <x v="0"/>
    <x v="6"/>
  </r>
  <r>
    <x v="21"/>
    <n v="5200"/>
    <n v="2"/>
    <s v="Shopping Barra - Av. Centenário, 2992 - Barra, Salvador - BA, 40155-150"/>
    <x v="5"/>
    <s v="GABRIELA MELLO"/>
    <x v="1"/>
    <n v="58"/>
    <x v="1"/>
    <n v="10400"/>
    <d v="2022-05-11T00:00:00"/>
    <x v="0"/>
    <x v="11"/>
  </r>
  <r>
    <x v="19"/>
    <n v="1750"/>
    <n v="1"/>
    <s v="Rua Quinze de Novembro, 8 - Loja 301a Loja 301b - Centro, Niterói - RJ, 24020-125"/>
    <x v="1"/>
    <s v="LUCAS MONTE"/>
    <x v="0"/>
    <n v="46"/>
    <x v="0"/>
    <n v="1750"/>
    <d v="2022-09-26T00:00:00"/>
    <x v="0"/>
    <x v="1"/>
  </r>
  <r>
    <x v="10"/>
    <n v="750"/>
    <n v="1"/>
    <s v="Rua Antônio Lumack do Monte, 203 - 1 - Boa Viagem, Recife - PE, 51020-350"/>
    <x v="6"/>
    <s v="GLENDA SANTOS"/>
    <x v="1"/>
    <n v="27"/>
    <x v="2"/>
    <n v="750"/>
    <d v="2022-10-01T00:00:00"/>
    <x v="0"/>
    <x v="6"/>
  </r>
  <r>
    <x v="13"/>
    <n v="1550"/>
    <n v="5"/>
    <s v="R. Luíz Faccini, 212 - Centro, Guarulhos - SP, 07110-000"/>
    <x v="0"/>
    <s v="RACHEL SILVA"/>
    <x v="1"/>
    <n v="41"/>
    <x v="0"/>
    <n v="7750"/>
    <d v="2022-10-19T00:00:00"/>
    <x v="0"/>
    <x v="6"/>
  </r>
  <r>
    <x v="15"/>
    <n v="3000"/>
    <n v="5"/>
    <s v="Av. Borges de Medeiros, 3120 - Praia de Belas, Porto Alegre - RS, 90110-150"/>
    <x v="8"/>
    <s v="CAIO SILVA"/>
    <x v="0"/>
    <n v="31"/>
    <x v="0"/>
    <n v="15000"/>
    <d v="2022-01-04T00:00:00"/>
    <x v="0"/>
    <x v="5"/>
  </r>
  <r>
    <x v="6"/>
    <n v="6500"/>
    <n v="4"/>
    <s v="R. Luíz Faccini, 212 - Centro, Guarulhos - SP, 07110-000"/>
    <x v="0"/>
    <s v="LORENA KOHN"/>
    <x v="1"/>
    <n v="60"/>
    <x v="1"/>
    <n v="26000"/>
    <d v="2022-05-06T00:00:00"/>
    <x v="0"/>
    <x v="11"/>
  </r>
  <r>
    <x v="4"/>
    <n v="700"/>
    <n v="3"/>
    <s v="Rua Quinze de Novembro, 8 - Loja 301a Loja 301b - Centro, Niterói - RJ, 24020-125"/>
    <x v="1"/>
    <s v="JORGE FONSECA"/>
    <x v="0"/>
    <n v="26"/>
    <x v="2"/>
    <n v="2100"/>
    <d v="2022-11-10T00:00:00"/>
    <x v="0"/>
    <x v="10"/>
  </r>
  <r>
    <x v="0"/>
    <n v="4500"/>
    <n v="3"/>
    <s v="Rua Quinze de Novembro, 8 - Loja 301a Loja 301b - Centro, Niterói - RJ, 24020-125"/>
    <x v="1"/>
    <s v="ANDERSON BARRETO"/>
    <x v="0"/>
    <n v="40"/>
    <x v="0"/>
    <n v="13500"/>
    <d v="2022-04-18T00:00:00"/>
    <x v="0"/>
    <x v="2"/>
  </r>
  <r>
    <x v="8"/>
    <n v="1400"/>
    <n v="1"/>
    <s v="Shopping Barra - Av. Centenário, 2992 - Barra, Salvador - BA, 40155-150"/>
    <x v="5"/>
    <s v="ANDRESSA NÓBREGA"/>
    <x v="1"/>
    <n v="68"/>
    <x v="1"/>
    <n v="1400"/>
    <d v="2022-02-27T00:00:00"/>
    <x v="0"/>
    <x v="4"/>
  </r>
  <r>
    <x v="8"/>
    <n v="1400"/>
    <n v="5"/>
    <s v="Av. Dom Luís, 500 - Aldeota, Fortaleza - CE, 60160-230"/>
    <x v="2"/>
    <s v="FERNANDA FIGUEIREDO"/>
    <x v="1"/>
    <n v="28"/>
    <x v="2"/>
    <n v="7000"/>
    <d v="2022-03-31T00:00:00"/>
    <x v="0"/>
    <x v="9"/>
  </r>
  <r>
    <x v="15"/>
    <n v="3000"/>
    <n v="5"/>
    <s v="R. Brasílio Itiberê, 3279 - Água Verde, Curitiba - PR, 80250-160"/>
    <x v="3"/>
    <s v="ANNA SILVA"/>
    <x v="1"/>
    <n v="69"/>
    <x v="1"/>
    <n v="15000"/>
    <d v="2022-01-06T00:00:00"/>
    <x v="0"/>
    <x v="5"/>
  </r>
  <r>
    <x v="7"/>
    <n v="2600"/>
    <n v="3"/>
    <s v="Av. Borges de Medeiros, 3120 - Praia de Belas, Porto Alegre - RS, 90110-150"/>
    <x v="8"/>
    <s v="ANA SILVA"/>
    <x v="1"/>
    <n v="56"/>
    <x v="1"/>
    <n v="7800"/>
    <d v="2022-08-08T00:00:00"/>
    <x v="0"/>
    <x v="7"/>
  </r>
  <r>
    <x v="8"/>
    <n v="1400"/>
    <n v="4"/>
    <s v="Av. Dom Luís, 500 - Aldeota, Fortaleza - CE, 60160-230"/>
    <x v="2"/>
    <s v="IZABEL LOPES"/>
    <x v="1"/>
    <n v="27"/>
    <x v="2"/>
    <n v="5600"/>
    <d v="2022-12-18T00:00:00"/>
    <x v="0"/>
    <x v="8"/>
  </r>
  <r>
    <x v="8"/>
    <n v="1400"/>
    <n v="1"/>
    <s v="R. Luíz Faccini, 212 - Centro, Guarulhos - SP, 07110-000"/>
    <x v="0"/>
    <s v="HYGOR ESSABER"/>
    <x v="0"/>
    <n v="29"/>
    <x v="2"/>
    <n v="1400"/>
    <d v="2022-10-01T00:00:00"/>
    <x v="0"/>
    <x v="6"/>
  </r>
  <r>
    <x v="17"/>
    <n v="2300"/>
    <n v="3"/>
    <s v="Av. Borges de Medeiros, 3120 - Praia de Belas, Porto Alegre - RS, 90110-150"/>
    <x v="8"/>
    <s v="MATHEUS GOMES"/>
    <x v="0"/>
    <n v="64"/>
    <x v="1"/>
    <n v="6900"/>
    <d v="2022-04-11T00:00:00"/>
    <x v="0"/>
    <x v="2"/>
  </r>
  <r>
    <x v="5"/>
    <n v="1450"/>
    <n v="5"/>
    <s v="R. Luíz Faccini, 212 - Centro, Guarulhos - SP, 07110-000"/>
    <x v="0"/>
    <s v="JULIANA BARREIRA"/>
    <x v="1"/>
    <n v="53"/>
    <x v="1"/>
    <n v="7250"/>
    <d v="2022-09-23T00:00:00"/>
    <x v="0"/>
    <x v="1"/>
  </r>
  <r>
    <x v="3"/>
    <n v="1500"/>
    <n v="4"/>
    <s v="Av. Dom Luís, 500 - Aldeota, Fortaleza - CE, 60160-230"/>
    <x v="2"/>
    <s v="MATHEUS SILVA"/>
    <x v="0"/>
    <n v="73"/>
    <x v="1"/>
    <n v="6000"/>
    <d v="2022-10-12T00:00:00"/>
    <x v="0"/>
    <x v="6"/>
  </r>
  <r>
    <x v="6"/>
    <n v="6500"/>
    <n v="5"/>
    <s v="Av. Goiás Norte, 3.592 - quadra 2.1 - St. Mal. Rondon, Goiânia - GO, 74063-010"/>
    <x v="4"/>
    <s v="GIOVANNA SANTOS"/>
    <x v="1"/>
    <n v="28"/>
    <x v="2"/>
    <n v="32500"/>
    <d v="2022-02-23T00:00:00"/>
    <x v="0"/>
    <x v="4"/>
  </r>
  <r>
    <x v="8"/>
    <n v="1400"/>
    <n v="5"/>
    <s v="Rua Quinze de Novembro, 8 - Loja 301a Loja 301b - Centro, Niterói - RJ, 24020-125"/>
    <x v="1"/>
    <s v="CLARISSA SANTOS"/>
    <x v="1"/>
    <n v="71"/>
    <x v="1"/>
    <n v="7000"/>
    <d v="2022-04-03T00:00:00"/>
    <x v="0"/>
    <x v="2"/>
  </r>
  <r>
    <x v="19"/>
    <n v="1750"/>
    <n v="1"/>
    <s v="Rua Quinze de Novembro, 8 - Loja 301a Loja 301b - Centro, Niterói - RJ, 24020-125"/>
    <x v="1"/>
    <s v="ULISSES QUINTO"/>
    <x v="0"/>
    <n v="69"/>
    <x v="1"/>
    <n v="1750"/>
    <d v="2022-11-21T00:00:00"/>
    <x v="0"/>
    <x v="10"/>
  </r>
  <r>
    <x v="18"/>
    <n v="2500"/>
    <n v="4"/>
    <s v="R. Visc. de Pirajá, 136 - Ipanema, Rio de Janeiro - RJ, 22410-000"/>
    <x v="1"/>
    <s v="VICTOR GOMES"/>
    <x v="0"/>
    <n v="47"/>
    <x v="0"/>
    <n v="10000"/>
    <d v="2022-03-19T00:00:00"/>
    <x v="0"/>
    <x v="9"/>
  </r>
  <r>
    <x v="6"/>
    <n v="6500"/>
    <n v="5"/>
    <s v="Rua Antônio Lumack do Monte, 203 - 1 - Boa Viagem, Recife - PE, 51020-350"/>
    <x v="6"/>
    <s v="JORGE CARVALHO"/>
    <x v="0"/>
    <n v="60"/>
    <x v="1"/>
    <n v="32500"/>
    <d v="2022-03-07T00:00:00"/>
    <x v="0"/>
    <x v="9"/>
  </r>
  <r>
    <x v="23"/>
    <n v="1100"/>
    <n v="2"/>
    <s v="R. Brasílio Itiberê, 3279 - Água Verde, Curitiba - PR, 80250-160"/>
    <x v="3"/>
    <s v="JOÃO COSTA"/>
    <x v="0"/>
    <n v="39"/>
    <x v="0"/>
    <n v="2200"/>
    <d v="2022-01-06T00:00:00"/>
    <x v="0"/>
    <x v="5"/>
  </r>
  <r>
    <x v="10"/>
    <n v="750"/>
    <n v="4"/>
    <s v="R. Luíz Faccini, 212 - Centro, Guarulhos - SP, 07110-000"/>
    <x v="0"/>
    <s v="RAPHAEL FERMAN"/>
    <x v="0"/>
    <n v="55"/>
    <x v="1"/>
    <n v="3000"/>
    <d v="2022-03-29T00:00:00"/>
    <x v="0"/>
    <x v="9"/>
  </r>
  <r>
    <x v="13"/>
    <n v="1550"/>
    <n v="2"/>
    <s v="Av. Borges de Medeiros, 3120 - Praia de Belas, Porto Alegre - RS, 90110-150"/>
    <x v="8"/>
    <s v="ADRIANE GOMES"/>
    <x v="1"/>
    <n v="71"/>
    <x v="1"/>
    <n v="3100"/>
    <d v="2022-06-08T00:00:00"/>
    <x v="0"/>
    <x v="3"/>
  </r>
  <r>
    <x v="10"/>
    <n v="750"/>
    <n v="2"/>
    <s v="Shopping Barra - Av. Centenário, 2992 - Barra, Salvador - BA, 40155-150"/>
    <x v="5"/>
    <s v="LUCAS DESTRI"/>
    <x v="0"/>
    <n v="38"/>
    <x v="0"/>
    <n v="1500"/>
    <d v="2022-12-10T00:00:00"/>
    <x v="0"/>
    <x v="8"/>
  </r>
  <r>
    <x v="0"/>
    <n v="4500"/>
    <n v="3"/>
    <s v="R. Visc. de Pirajá, 136 - Ipanema, Rio de Janeiro - RJ, 22410-000"/>
    <x v="1"/>
    <s v="JULIANA CORREA"/>
    <x v="1"/>
    <n v="69"/>
    <x v="1"/>
    <n v="13500"/>
    <d v="2022-05-03T00:00:00"/>
    <x v="0"/>
    <x v="11"/>
  </r>
  <r>
    <x v="20"/>
    <n v="5500"/>
    <n v="4"/>
    <s v="Rua Antônio Lumack do Monte, 203 - 1 - Boa Viagem, Recife - PE, 51020-350"/>
    <x v="6"/>
    <s v="LUIZA CABRAL"/>
    <x v="1"/>
    <n v="32"/>
    <x v="0"/>
    <n v="22000"/>
    <d v="2022-07-13T00:00:00"/>
    <x v="0"/>
    <x v="0"/>
  </r>
  <r>
    <x v="17"/>
    <n v="2300"/>
    <n v="2"/>
    <s v="Rua Quinze de Novembro, 8 - Loja 301a Loja 301b - Centro, Niterói - RJ, 24020-125"/>
    <x v="1"/>
    <s v="JOÃO MATHEUS"/>
    <x v="0"/>
    <n v="29"/>
    <x v="2"/>
    <n v="4600"/>
    <d v="2022-12-02T00:00:00"/>
    <x v="0"/>
    <x v="8"/>
  </r>
  <r>
    <x v="21"/>
    <n v="5200"/>
    <n v="4"/>
    <s v="Av. Dom Luís, 500 - Aldeota, Fortaleza - CE, 60160-230"/>
    <x v="2"/>
    <s v="GABRIEL SOARES"/>
    <x v="0"/>
    <n v="66"/>
    <x v="1"/>
    <n v="20800"/>
    <d v="2022-04-22T00:00:00"/>
    <x v="0"/>
    <x v="2"/>
  </r>
  <r>
    <x v="18"/>
    <n v="2500"/>
    <n v="1"/>
    <s v="R. Brasílio Itiberê, 3279 - Água Verde, Curitiba - PR, 80250-160"/>
    <x v="3"/>
    <s v="JÉSSICA NETTO"/>
    <x v="1"/>
    <n v="26"/>
    <x v="2"/>
    <n v="2500"/>
    <d v="2022-07-11T00:00:00"/>
    <x v="0"/>
    <x v="0"/>
  </r>
  <r>
    <x v="20"/>
    <n v="5500"/>
    <n v="3"/>
    <s v="Av. Dom Luís, 500 - Aldeota, Fortaleza - CE, 60160-230"/>
    <x v="2"/>
    <s v="FERNANDA FIGUEIREDO"/>
    <x v="1"/>
    <n v="28"/>
    <x v="2"/>
    <n v="16500"/>
    <d v="2022-02-08T00:00:00"/>
    <x v="0"/>
    <x v="4"/>
  </r>
  <r>
    <x v="20"/>
    <n v="5500"/>
    <n v="2"/>
    <s v="Av. Goiás Norte, 3.592 - quadra 2.1 - St. Mal. Rondon, Goiânia - GO, 74063-010"/>
    <x v="4"/>
    <s v="BEATRIZ LI"/>
    <x v="1"/>
    <n v="36"/>
    <x v="0"/>
    <n v="11000"/>
    <d v="2022-05-31T00:00:00"/>
    <x v="0"/>
    <x v="11"/>
  </r>
  <r>
    <x v="3"/>
    <n v="1500"/>
    <n v="2"/>
    <s v="Av. Barão Homem de Melo, 1389 - Nova Granada, Belo Horizonte - MG, 30431-425"/>
    <x v="7"/>
    <s v="MARCELO BORGES"/>
    <x v="0"/>
    <n v="45"/>
    <x v="0"/>
    <n v="3000"/>
    <d v="2022-04-01T00:00:00"/>
    <x v="0"/>
    <x v="2"/>
  </r>
  <r>
    <x v="3"/>
    <n v="1500"/>
    <n v="5"/>
    <s v="R. Teodoro Sampaio, 954 - Pinheiros, São Paulo - SP, 05406-050"/>
    <x v="0"/>
    <s v="DIEGO RODRIGUES"/>
    <x v="0"/>
    <n v="54"/>
    <x v="1"/>
    <n v="7500"/>
    <d v="2022-08-25T00:00:00"/>
    <x v="0"/>
    <x v="7"/>
  </r>
  <r>
    <x v="23"/>
    <n v="1100"/>
    <n v="1"/>
    <s v="Rua Quinze de Novembro, 8 - Loja 301a Loja 301b - Centro, Niterói - RJ, 24020-125"/>
    <x v="1"/>
    <s v="RAFAEL RAMOS"/>
    <x v="0"/>
    <n v="40"/>
    <x v="0"/>
    <n v="1100"/>
    <d v="2022-03-03T00:00:00"/>
    <x v="0"/>
    <x v="9"/>
  </r>
  <r>
    <x v="16"/>
    <n v="1200"/>
    <n v="4"/>
    <s v="Av. Barão Homem de Melo, 1389 - Nova Granada, Belo Horizonte - MG, 30431-425"/>
    <x v="7"/>
    <s v="PRISCILA GARCIA"/>
    <x v="1"/>
    <n v="33"/>
    <x v="0"/>
    <n v="4800"/>
    <d v="2022-04-06T00:00:00"/>
    <x v="0"/>
    <x v="2"/>
  </r>
  <r>
    <x v="5"/>
    <n v="1450"/>
    <n v="3"/>
    <s v="R. Visc. de Pirajá, 136 - Ipanema, Rio de Janeiro - RJ, 22410-000"/>
    <x v="1"/>
    <s v="NATALIA ANDRADE"/>
    <x v="1"/>
    <n v="73"/>
    <x v="1"/>
    <n v="4350"/>
    <d v="2022-07-17T00:00:00"/>
    <x v="0"/>
    <x v="0"/>
  </r>
  <r>
    <x v="1"/>
    <n v="1400"/>
    <n v="2"/>
    <s v="Av. Barão Homem de Melo, 1389 - Nova Granada, Belo Horizonte - MG, 30431-425"/>
    <x v="7"/>
    <s v="JULIANA HOLLANDER"/>
    <x v="1"/>
    <n v="58"/>
    <x v="1"/>
    <n v="2800"/>
    <d v="2022-03-12T00:00:00"/>
    <x v="0"/>
    <x v="9"/>
  </r>
  <r>
    <x v="10"/>
    <n v="750"/>
    <n v="2"/>
    <s v="R. Teodoro Sampaio, 954 - Pinheiros, São Paulo - SP, 05406-050"/>
    <x v="0"/>
    <s v="AMANDA DELGADO"/>
    <x v="1"/>
    <n v="31"/>
    <x v="0"/>
    <n v="1500"/>
    <d v="2022-03-03T00:00:00"/>
    <x v="0"/>
    <x v="9"/>
  </r>
  <r>
    <x v="10"/>
    <n v="750"/>
    <n v="3"/>
    <s v="Av. Borges de Medeiros, 3120 - Praia de Belas, Porto Alegre - RS, 90110-150"/>
    <x v="8"/>
    <s v="ANDERSON CAVALCANTI"/>
    <x v="0"/>
    <n v="40"/>
    <x v="0"/>
    <n v="2250"/>
    <d v="2022-08-30T00:00:00"/>
    <x v="0"/>
    <x v="7"/>
  </r>
  <r>
    <x v="3"/>
    <n v="1500"/>
    <n v="3"/>
    <s v="Rua Antônio Lumack do Monte, 203 - 1 - Boa Viagem, Recife - PE, 51020-350"/>
    <x v="6"/>
    <s v="LUIZA CABRAL"/>
    <x v="1"/>
    <n v="32"/>
    <x v="0"/>
    <n v="4500"/>
    <d v="2022-01-27T00:00:00"/>
    <x v="0"/>
    <x v="5"/>
  </r>
  <r>
    <x v="16"/>
    <n v="1200"/>
    <n v="3"/>
    <s v="R. Dr. Antônio Castro Prado, 422 - Vila Rossi e Borchi, Campinas - SP, 13076-130"/>
    <x v="0"/>
    <s v="PEDRO COSTA"/>
    <x v="0"/>
    <n v="47"/>
    <x v="0"/>
    <n v="3600"/>
    <d v="2022-12-08T00:00:00"/>
    <x v="0"/>
    <x v="8"/>
  </r>
  <r>
    <x v="22"/>
    <n v="2400"/>
    <n v="4"/>
    <s v="R. Brasílio Itiberê, 3279 - Água Verde, Curitiba - PR, 80250-160"/>
    <x v="3"/>
    <s v="RAFAELA GONÇALVES"/>
    <x v="1"/>
    <n v="67"/>
    <x v="1"/>
    <n v="9600"/>
    <d v="2022-07-24T00:00:00"/>
    <x v="0"/>
    <x v="0"/>
  </r>
  <r>
    <x v="8"/>
    <n v="1400"/>
    <n v="2"/>
    <s v="Av. Goiás Norte, 3.592 - quadra 2.1 - St. Mal. Rondon, Goiânia - GO, 74063-010"/>
    <x v="4"/>
    <s v="JULIA PENTEADO"/>
    <x v="1"/>
    <n v="76"/>
    <x v="1"/>
    <n v="2800"/>
    <d v="2022-12-09T00:00:00"/>
    <x v="0"/>
    <x v="8"/>
  </r>
  <r>
    <x v="3"/>
    <n v="1500"/>
    <n v="3"/>
    <s v="Av. Dom Luís, 500 - Aldeota, Fortaleza - CE, 60160-230"/>
    <x v="2"/>
    <s v="PRISCILA CARVALHO"/>
    <x v="1"/>
    <n v="42"/>
    <x v="0"/>
    <n v="4500"/>
    <d v="2022-02-15T00:00:00"/>
    <x v="0"/>
    <x v="4"/>
  </r>
  <r>
    <x v="12"/>
    <n v="1500"/>
    <n v="4"/>
    <s v="R. Luíz Faccini, 212 - Centro, Guarulhos - SP, 07110-000"/>
    <x v="0"/>
    <s v="CAROLINA ABRAHÃO"/>
    <x v="1"/>
    <n v="39"/>
    <x v="0"/>
    <n v="6000"/>
    <d v="2022-06-26T00:00:00"/>
    <x v="0"/>
    <x v="3"/>
  </r>
  <r>
    <x v="16"/>
    <n v="1200"/>
    <n v="1"/>
    <s v="Shopping Barra - Av. Centenário, 2992 - Barra, Salvador - BA, 40155-150"/>
    <x v="5"/>
    <s v="TIAGO PEREIRA"/>
    <x v="0"/>
    <n v="72"/>
    <x v="1"/>
    <n v="1200"/>
    <d v="2022-05-06T00:00:00"/>
    <x v="0"/>
    <x v="11"/>
  </r>
  <r>
    <x v="2"/>
    <n v="1900"/>
    <n v="5"/>
    <s v="Av. Dom Luís, 500 - Aldeota, Fortaleza - CE, 60160-230"/>
    <x v="2"/>
    <s v="LUIS VILLANOVA"/>
    <x v="1"/>
    <n v="41"/>
    <x v="0"/>
    <n v="9500"/>
    <d v="2022-12-19T00:00:00"/>
    <x v="0"/>
    <x v="8"/>
  </r>
  <r>
    <x v="14"/>
    <n v="1500"/>
    <n v="3"/>
    <s v="Av. Goiás Norte, 3.592 - quadra 2.1 - St. Mal. Rondon, Goiânia - GO, 74063-010"/>
    <x v="4"/>
    <s v="LUIS SILVA"/>
    <x v="1"/>
    <n v="27"/>
    <x v="2"/>
    <n v="4500"/>
    <d v="2022-08-29T00:00:00"/>
    <x v="0"/>
    <x v="7"/>
  </r>
  <r>
    <x v="12"/>
    <n v="1500"/>
    <n v="2"/>
    <s v="Av. Mal. Floriano Peixoto, 2248-2258 - Centro, Nova Iguaçu - RJ, 26210-000"/>
    <x v="1"/>
    <s v="STEFAN NUNES"/>
    <x v="0"/>
    <n v="64"/>
    <x v="1"/>
    <n v="3000"/>
    <d v="2022-07-24T00:00:00"/>
    <x v="0"/>
    <x v="0"/>
  </r>
  <r>
    <x v="18"/>
    <n v="2500"/>
    <n v="3"/>
    <s v="Av. Borges de Medeiros, 3120 - Praia de Belas, Porto Alegre - RS, 90110-150"/>
    <x v="8"/>
    <s v="THALES ANDRADE"/>
    <x v="0"/>
    <n v="55"/>
    <x v="1"/>
    <n v="7500"/>
    <d v="2022-04-11T00:00:00"/>
    <x v="0"/>
    <x v="2"/>
  </r>
  <r>
    <x v="20"/>
    <n v="5500"/>
    <n v="3"/>
    <s v="R. Visc. de Pirajá, 136 - Ipanema, Rio de Janeiro - RJ, 22410-000"/>
    <x v="1"/>
    <s v="NATHAN MORELLI"/>
    <x v="0"/>
    <n v="54"/>
    <x v="1"/>
    <n v="16500"/>
    <d v="2022-12-02T00:00:00"/>
    <x v="0"/>
    <x v="8"/>
  </r>
  <r>
    <x v="2"/>
    <n v="1900"/>
    <n v="1"/>
    <s v="R. Luíz Faccini, 212 - Centro, Guarulhos - SP, 07110-000"/>
    <x v="0"/>
    <s v="PATRICK SILVA"/>
    <x v="0"/>
    <n v="57"/>
    <x v="1"/>
    <n v="1900"/>
    <d v="2022-12-03T00:00:00"/>
    <x v="0"/>
    <x v="8"/>
  </r>
  <r>
    <x v="6"/>
    <n v="6500"/>
    <n v="1"/>
    <s v="R. Teodoro Sampaio, 954 - Pinheiros, São Paulo - SP, 05406-050"/>
    <x v="0"/>
    <s v="MIGUEL CARNEIRO"/>
    <x v="0"/>
    <n v="45"/>
    <x v="0"/>
    <n v="6500"/>
    <d v="2022-04-19T00:00:00"/>
    <x v="0"/>
    <x v="2"/>
  </r>
  <r>
    <x v="22"/>
    <n v="2400"/>
    <n v="5"/>
    <s v="R. Luíz Faccini, 212 - Centro, Guarulhos - SP, 07110-000"/>
    <x v="0"/>
    <s v="RACHEL SILVA"/>
    <x v="1"/>
    <n v="41"/>
    <x v="0"/>
    <n v="12000"/>
    <d v="2022-03-14T00:00:00"/>
    <x v="0"/>
    <x v="9"/>
  </r>
  <r>
    <x v="9"/>
    <n v="2000"/>
    <n v="1"/>
    <s v="R. Luíz Faccini, 212 - Centro, Guarulhos - SP, 07110-000"/>
    <x v="0"/>
    <s v="ELENA BARRETO"/>
    <x v="1"/>
    <n v="74"/>
    <x v="1"/>
    <n v="2000"/>
    <d v="2022-10-21T00:00:00"/>
    <x v="0"/>
    <x v="6"/>
  </r>
  <r>
    <x v="18"/>
    <n v="2500"/>
    <n v="2"/>
    <s v="R. Luíz Faccini, 212 - Centro, Guarulhos - SP, 07110-000"/>
    <x v="0"/>
    <s v="RAUL JUNQUEIRA"/>
    <x v="0"/>
    <n v="45"/>
    <x v="0"/>
    <n v="5000"/>
    <d v="2022-01-29T00:00:00"/>
    <x v="0"/>
    <x v="5"/>
  </r>
  <r>
    <x v="23"/>
    <n v="1100"/>
    <n v="4"/>
    <s v="Av. Goiás Norte, 3.592 - quadra 2.1 - St. Mal. Rondon, Goiânia - GO, 74063-010"/>
    <x v="4"/>
    <s v="RAFAELA FERREIRA"/>
    <x v="1"/>
    <n v="27"/>
    <x v="2"/>
    <n v="4400"/>
    <d v="2022-07-06T00:00:00"/>
    <x v="0"/>
    <x v="0"/>
  </r>
  <r>
    <x v="5"/>
    <n v="1450"/>
    <n v="1"/>
    <s v="R. Visc. de Pirajá, 136 - Ipanema, Rio de Janeiro - RJ, 22410-000"/>
    <x v="1"/>
    <s v="LUCAS LIMA"/>
    <x v="0"/>
    <n v="49"/>
    <x v="0"/>
    <n v="1450"/>
    <d v="2022-01-14T00:00:00"/>
    <x v="0"/>
    <x v="5"/>
  </r>
  <r>
    <x v="23"/>
    <n v="1100"/>
    <n v="4"/>
    <s v="R. Luíz Faccini, 212 - Centro, Guarulhos - SP, 07110-000"/>
    <x v="0"/>
    <s v="MICHELLE PEREIRA"/>
    <x v="1"/>
    <n v="55"/>
    <x v="1"/>
    <n v="4400"/>
    <d v="2022-05-19T00:00:00"/>
    <x v="0"/>
    <x v="11"/>
  </r>
  <r>
    <x v="21"/>
    <n v="5200"/>
    <n v="5"/>
    <s v="Av. Dom Luís, 500 - Aldeota, Fortaleza - CE, 60160-230"/>
    <x v="2"/>
    <s v="LÍVIA MARQUES"/>
    <x v="1"/>
    <n v="50"/>
    <x v="0"/>
    <n v="26000"/>
    <d v="2022-10-03T00:00:00"/>
    <x v="0"/>
    <x v="6"/>
  </r>
  <r>
    <x v="14"/>
    <n v="1500"/>
    <n v="2"/>
    <s v="Rua Quinze de Novembro, 8 - Loja 301a Loja 301b - Centro, Niterói - RJ, 24020-125"/>
    <x v="1"/>
    <s v="BRUNA ROSA"/>
    <x v="1"/>
    <n v="57"/>
    <x v="1"/>
    <n v="3000"/>
    <d v="2022-04-16T00:00:00"/>
    <x v="0"/>
    <x v="2"/>
  </r>
  <r>
    <x v="16"/>
    <n v="1200"/>
    <n v="2"/>
    <s v="Av. Mal. Floriano Peixoto, 2248-2258 - Centro, Nova Iguaçu - RJ, 26210-000"/>
    <x v="1"/>
    <s v="JUAN FERNANDES"/>
    <x v="0"/>
    <n v="40"/>
    <x v="0"/>
    <n v="2400"/>
    <d v="2022-05-06T00:00:00"/>
    <x v="0"/>
    <x v="11"/>
  </r>
  <r>
    <x v="22"/>
    <n v="2400"/>
    <n v="5"/>
    <s v="R. Brasílio Itiberê, 3279 - Água Verde, Curitiba - PR, 80250-160"/>
    <x v="3"/>
    <s v="DANILO ALVES"/>
    <x v="0"/>
    <n v="34"/>
    <x v="0"/>
    <n v="12000"/>
    <d v="2022-07-07T00:00:00"/>
    <x v="0"/>
    <x v="0"/>
  </r>
  <r>
    <x v="22"/>
    <n v="2400"/>
    <n v="3"/>
    <s v="R. Luíz Faccini, 212 - Centro, Guarulhos - SP, 07110-000"/>
    <x v="0"/>
    <s v="MATEUS POLASTRI"/>
    <x v="0"/>
    <n v="57"/>
    <x v="1"/>
    <n v="7200"/>
    <d v="2022-02-08T00:00:00"/>
    <x v="0"/>
    <x v="4"/>
  </r>
  <r>
    <x v="17"/>
    <n v="2300"/>
    <n v="3"/>
    <s v="R. Luíz Faccini, 212 - Centro, Guarulhos - SP, 07110-000"/>
    <x v="0"/>
    <s v="MATHEUS MORAES"/>
    <x v="0"/>
    <n v="72"/>
    <x v="1"/>
    <n v="6900"/>
    <d v="2022-11-18T00:00:00"/>
    <x v="0"/>
    <x v="10"/>
  </r>
  <r>
    <x v="9"/>
    <n v="2000"/>
    <n v="2"/>
    <s v="Av. Goiás Norte, 3.592 - quadra 2.1 - St. Mal. Rondon, Goiânia - GO, 74063-010"/>
    <x v="4"/>
    <s v="DANIEL TERRA"/>
    <x v="0"/>
    <n v="50"/>
    <x v="0"/>
    <n v="4000"/>
    <d v="2022-12-27T00:00:00"/>
    <x v="0"/>
    <x v="8"/>
  </r>
  <r>
    <x v="5"/>
    <n v="1450"/>
    <n v="4"/>
    <s v="R. Luíz Faccini, 212 - Centro, Guarulhos - SP, 07110-000"/>
    <x v="0"/>
    <s v="MARIANA MIRANDA"/>
    <x v="1"/>
    <n v="57"/>
    <x v="1"/>
    <n v="5800"/>
    <d v="2022-02-18T00:00:00"/>
    <x v="0"/>
    <x v="4"/>
  </r>
  <r>
    <x v="21"/>
    <n v="5200"/>
    <n v="1"/>
    <s v="R. Teodoro Sampaio, 954 - Pinheiros, São Paulo - SP, 05406-050"/>
    <x v="0"/>
    <s v="EDUARDO FERREIRA"/>
    <x v="0"/>
    <n v="46"/>
    <x v="0"/>
    <n v="5200"/>
    <d v="2022-10-01T00:00:00"/>
    <x v="0"/>
    <x v="6"/>
  </r>
  <r>
    <x v="5"/>
    <n v="1450"/>
    <n v="1"/>
    <s v="Av. Barão Homem de Melo, 1389 - Nova Granada, Belo Horizonte - MG, 30431-425"/>
    <x v="7"/>
    <s v="LETÍCIA ARAUJO"/>
    <x v="1"/>
    <n v="48"/>
    <x v="0"/>
    <n v="1450"/>
    <d v="2022-08-18T00:00:00"/>
    <x v="0"/>
    <x v="7"/>
  </r>
  <r>
    <x v="5"/>
    <n v="1450"/>
    <n v="4"/>
    <s v="R. Brasílio Itiberê, 3279 - Água Verde, Curitiba - PR, 80250-160"/>
    <x v="3"/>
    <s v="ANA GOMES"/>
    <x v="1"/>
    <n v="64"/>
    <x v="1"/>
    <n v="5800"/>
    <d v="2022-11-20T00:00:00"/>
    <x v="0"/>
    <x v="10"/>
  </r>
  <r>
    <x v="15"/>
    <n v="3000"/>
    <n v="1"/>
    <s v="R. Luíz Faccini, 212 - Centro, Guarulhos - SP, 07110-000"/>
    <x v="0"/>
    <s v="JÚLIA ALMEIDA"/>
    <x v="1"/>
    <n v="73"/>
    <x v="1"/>
    <n v="3000"/>
    <d v="2022-03-28T00:00:00"/>
    <x v="0"/>
    <x v="9"/>
  </r>
  <r>
    <x v="8"/>
    <n v="1400"/>
    <n v="1"/>
    <s v="Av. Barão Homem de Melo, 1389 - Nova Granada, Belo Horizonte - MG, 30431-425"/>
    <x v="7"/>
    <s v="LÁZARO NASCIMENTO"/>
    <x v="0"/>
    <n v="69"/>
    <x v="1"/>
    <n v="1400"/>
    <d v="2022-05-17T00:00:00"/>
    <x v="0"/>
    <x v="11"/>
  </r>
  <r>
    <x v="16"/>
    <n v="1200"/>
    <n v="4"/>
    <s v="Av. Barão Homem de Melo, 1389 - Nova Granada, Belo Horizonte - MG, 30431-425"/>
    <x v="7"/>
    <s v="FILLIPE ALMEIDA"/>
    <x v="0"/>
    <n v="71"/>
    <x v="1"/>
    <n v="4800"/>
    <d v="2022-09-24T00:00:00"/>
    <x v="0"/>
    <x v="1"/>
  </r>
  <r>
    <x v="10"/>
    <n v="750"/>
    <n v="2"/>
    <s v="Av. Dom Luís, 500 - Aldeota, Fortaleza - CE, 60160-230"/>
    <x v="2"/>
    <s v="ANNA MAIA"/>
    <x v="1"/>
    <n v="54"/>
    <x v="1"/>
    <n v="1500"/>
    <d v="2022-10-26T00:00:00"/>
    <x v="0"/>
    <x v="6"/>
  </r>
  <r>
    <x v="22"/>
    <n v="2400"/>
    <n v="1"/>
    <s v="Rua Antônio Lumack do Monte, 203 - 1 - Boa Viagem, Recife - PE, 51020-350"/>
    <x v="6"/>
    <s v="RUBENS VALENTE"/>
    <x v="0"/>
    <n v="76"/>
    <x v="1"/>
    <n v="2400"/>
    <d v="2022-08-11T00:00:00"/>
    <x v="0"/>
    <x v="7"/>
  </r>
  <r>
    <x v="21"/>
    <n v="5200"/>
    <n v="5"/>
    <s v="Av. Goiás Norte, 3.592 - quadra 2.1 - St. Mal. Rondon, Goiânia - GO, 74063-010"/>
    <x v="4"/>
    <s v="BRUNO BARCESSAT"/>
    <x v="0"/>
    <n v="37"/>
    <x v="0"/>
    <n v="26000"/>
    <d v="2022-03-17T00:00:00"/>
    <x v="0"/>
    <x v="9"/>
  </r>
  <r>
    <x v="16"/>
    <n v="1200"/>
    <n v="1"/>
    <s v="Rua Antônio Lumack do Monte, 203 - 1 - Boa Viagem, Recife - PE, 51020-350"/>
    <x v="6"/>
    <s v="FERNANDA RUBIM"/>
    <x v="1"/>
    <n v="74"/>
    <x v="1"/>
    <n v="1200"/>
    <d v="2022-04-12T00:00:00"/>
    <x v="0"/>
    <x v="2"/>
  </r>
  <r>
    <x v="17"/>
    <n v="2300"/>
    <n v="1"/>
    <s v="R. Brasílio Itiberê, 3279 - Água Verde, Curitiba - PR, 80250-160"/>
    <x v="3"/>
    <s v="JONATAS ESSABER"/>
    <x v="0"/>
    <n v="67"/>
    <x v="1"/>
    <n v="2300"/>
    <d v="2022-08-19T00:00:00"/>
    <x v="0"/>
    <x v="7"/>
  </r>
  <r>
    <x v="14"/>
    <n v="1500"/>
    <n v="2"/>
    <s v="Av. Dom Luís, 500 - Aldeota, Fortaleza - CE, 60160-230"/>
    <x v="2"/>
    <s v="DAVID VASCONCELOS"/>
    <x v="0"/>
    <n v="47"/>
    <x v="0"/>
    <n v="3000"/>
    <d v="2022-01-20T00:00:00"/>
    <x v="0"/>
    <x v="5"/>
  </r>
  <r>
    <x v="19"/>
    <n v="1750"/>
    <n v="5"/>
    <s v="Rua Antônio Lumack do Monte, 203 - 1 - Boa Viagem, Recife - PE, 51020-350"/>
    <x v="6"/>
    <s v="LUIZA CABRAL"/>
    <x v="1"/>
    <n v="32"/>
    <x v="0"/>
    <n v="8750"/>
    <d v="2022-03-19T00:00:00"/>
    <x v="0"/>
    <x v="9"/>
  </r>
  <r>
    <x v="10"/>
    <n v="750"/>
    <n v="4"/>
    <s v="Rua Antônio Lumack do Monte, 203 - 1 - Boa Viagem, Recife - PE, 51020-350"/>
    <x v="6"/>
    <s v="VICTOR FRANCO"/>
    <x v="0"/>
    <n v="35"/>
    <x v="0"/>
    <n v="3000"/>
    <d v="2022-05-19T00:00:00"/>
    <x v="0"/>
    <x v="11"/>
  </r>
  <r>
    <x v="16"/>
    <n v="1200"/>
    <n v="1"/>
    <s v="Rua Antônio Lumack do Monte, 203 - 1 - Boa Viagem, Recife - PE, 51020-350"/>
    <x v="6"/>
    <s v="FERNANDA SILVA"/>
    <x v="1"/>
    <n v="39"/>
    <x v="0"/>
    <n v="1200"/>
    <d v="2022-02-08T00:00:00"/>
    <x v="0"/>
    <x v="4"/>
  </r>
  <r>
    <x v="20"/>
    <n v="5500"/>
    <n v="3"/>
    <s v="Shopping Barra - Av. Centenário, 2992 - Barra, Salvador - BA, 40155-150"/>
    <x v="5"/>
    <s v="TADEU SOUSA"/>
    <x v="0"/>
    <n v="43"/>
    <x v="0"/>
    <n v="16500"/>
    <d v="2022-09-07T00:00:00"/>
    <x v="0"/>
    <x v="1"/>
  </r>
  <r>
    <x v="23"/>
    <n v="1100"/>
    <n v="4"/>
    <s v="R. Luíz Faccini, 212 - Centro, Guarulhos - SP, 07110-000"/>
    <x v="0"/>
    <s v="MARINA GAMA"/>
    <x v="1"/>
    <n v="68"/>
    <x v="1"/>
    <n v="4400"/>
    <d v="2022-03-26T00:00:00"/>
    <x v="0"/>
    <x v="9"/>
  </r>
  <r>
    <x v="13"/>
    <n v="1550"/>
    <n v="5"/>
    <s v="Rua Quinze de Novembro, 8 - Loja 301a Loja 301b - Centro, Niterói - RJ, 24020-125"/>
    <x v="1"/>
    <s v="GABRIEL AZEVEDO"/>
    <x v="0"/>
    <n v="42"/>
    <x v="0"/>
    <n v="7750"/>
    <d v="2022-07-27T00:00:00"/>
    <x v="0"/>
    <x v="0"/>
  </r>
  <r>
    <x v="7"/>
    <n v="2600"/>
    <n v="2"/>
    <s v="Av. Borges de Medeiros, 3120 - Praia de Belas, Porto Alegre - RS, 90110-150"/>
    <x v="8"/>
    <s v="DEYSIANE BACH"/>
    <x v="1"/>
    <n v="68"/>
    <x v="1"/>
    <n v="5200"/>
    <d v="2022-12-12T00:00:00"/>
    <x v="0"/>
    <x v="8"/>
  </r>
  <r>
    <x v="4"/>
    <n v="700"/>
    <n v="1"/>
    <s v="Av. Goiás Norte, 3.592 - quadra 2.1 - St. Mal. Rondon, Goiânia - GO, 74063-010"/>
    <x v="4"/>
    <s v="GIOVANNA SANTOS"/>
    <x v="1"/>
    <n v="28"/>
    <x v="2"/>
    <n v="700"/>
    <d v="2022-07-17T00:00:00"/>
    <x v="0"/>
    <x v="0"/>
  </r>
  <r>
    <x v="16"/>
    <n v="1200"/>
    <n v="5"/>
    <s v="R. Visc. de Pirajá, 136 - Ipanema, Rio de Janeiro - RJ, 22410-000"/>
    <x v="1"/>
    <s v="BEATRIZ SILVA"/>
    <x v="1"/>
    <n v="45"/>
    <x v="0"/>
    <n v="6000"/>
    <d v="2022-08-20T00:00:00"/>
    <x v="0"/>
    <x v="7"/>
  </r>
  <r>
    <x v="3"/>
    <n v="1500"/>
    <n v="1"/>
    <s v="Av. Barão Homem de Melo, 1389 - Nova Granada, Belo Horizonte - MG, 30431-425"/>
    <x v="7"/>
    <s v="PRISCILA GARCIA"/>
    <x v="1"/>
    <n v="33"/>
    <x v="0"/>
    <n v="1500"/>
    <d v="2022-05-26T00:00:00"/>
    <x v="0"/>
    <x v="11"/>
  </r>
  <r>
    <x v="7"/>
    <n v="2600"/>
    <n v="5"/>
    <s v="Av. Mal. Floriano Peixoto, 2248-2258 - Centro, Nova Iguaçu - RJ, 26210-000"/>
    <x v="1"/>
    <s v="ANA LEITE"/>
    <x v="1"/>
    <n v="67"/>
    <x v="1"/>
    <n v="13000"/>
    <d v="2022-12-09T00:00:00"/>
    <x v="0"/>
    <x v="8"/>
  </r>
  <r>
    <x v="3"/>
    <n v="1500"/>
    <n v="5"/>
    <s v="R. Luíz Faccini, 212 - Centro, Guarulhos - SP, 07110-000"/>
    <x v="0"/>
    <s v="SANDY MOREIRA"/>
    <x v="1"/>
    <n v="52"/>
    <x v="1"/>
    <n v="7500"/>
    <d v="2022-12-06T00:00:00"/>
    <x v="0"/>
    <x v="8"/>
  </r>
  <r>
    <x v="1"/>
    <n v="1400"/>
    <n v="3"/>
    <s v="R. Brasílio Itiberê, 3279 - Água Verde, Curitiba - PR, 80250-160"/>
    <x v="3"/>
    <s v="CAROLINA ROCHA"/>
    <x v="1"/>
    <n v="34"/>
    <x v="0"/>
    <n v="4200"/>
    <d v="2022-09-08T00:00:00"/>
    <x v="0"/>
    <x v="1"/>
  </r>
  <r>
    <x v="3"/>
    <n v="1500"/>
    <n v="1"/>
    <s v="R. Visc. de Pirajá, 136 - Ipanema, Rio de Janeiro - RJ, 22410-000"/>
    <x v="1"/>
    <s v="JOSÉ JESUS"/>
    <x v="0"/>
    <n v="73"/>
    <x v="1"/>
    <n v="1500"/>
    <d v="2022-08-24T00:00:00"/>
    <x v="0"/>
    <x v="7"/>
  </r>
  <r>
    <x v="23"/>
    <n v="1100"/>
    <n v="1"/>
    <s v="Rua Antônio Lumack do Monte, 203 - 1 - Boa Viagem, Recife - PE, 51020-350"/>
    <x v="6"/>
    <s v="ANA FELIPPE"/>
    <x v="1"/>
    <n v="55"/>
    <x v="1"/>
    <n v="1100"/>
    <d v="2022-12-29T00:00:00"/>
    <x v="0"/>
    <x v="8"/>
  </r>
  <r>
    <x v="18"/>
    <n v="2500"/>
    <n v="5"/>
    <s v="Av. Barão Homem de Melo, 1389 - Nova Granada, Belo Horizonte - MG, 30431-425"/>
    <x v="7"/>
    <s v="RAFAEL WAJNSZTOK"/>
    <x v="0"/>
    <n v="33"/>
    <x v="0"/>
    <n v="12500"/>
    <d v="2022-10-02T00:00:00"/>
    <x v="0"/>
    <x v="6"/>
  </r>
  <r>
    <x v="1"/>
    <n v="1400"/>
    <n v="2"/>
    <s v="Av. Barão Homem de Melo, 1389 - Nova Granada, Belo Horizonte - MG, 30431-425"/>
    <x v="7"/>
    <s v="ALEX FERNANDES"/>
    <x v="0"/>
    <n v="51"/>
    <x v="1"/>
    <n v="2800"/>
    <d v="2022-01-01T00:00:00"/>
    <x v="0"/>
    <x v="5"/>
  </r>
  <r>
    <x v="3"/>
    <n v="1500"/>
    <n v="4"/>
    <s v="Av. Dom Luís, 500 - Aldeota, Fortaleza - CE, 60160-230"/>
    <x v="2"/>
    <s v="RAFAELA RODRIGUES"/>
    <x v="1"/>
    <n v="34"/>
    <x v="0"/>
    <n v="6000"/>
    <d v="2022-05-15T00:00:00"/>
    <x v="0"/>
    <x v="11"/>
  </r>
  <r>
    <x v="19"/>
    <n v="1750"/>
    <n v="5"/>
    <s v="Rua Quinze de Novembro, 8 - Loja 301a Loja 301b - Centro, Niterói - RJ, 24020-125"/>
    <x v="1"/>
    <s v="STEPHANIE OLIVEIRA"/>
    <x v="1"/>
    <n v="32"/>
    <x v="0"/>
    <n v="8750"/>
    <d v="2022-11-19T00:00:00"/>
    <x v="0"/>
    <x v="10"/>
  </r>
  <r>
    <x v="4"/>
    <n v="700"/>
    <n v="4"/>
    <s v="Av. Borges de Medeiros, 3120 - Praia de Belas, Porto Alegre - RS, 90110-150"/>
    <x v="8"/>
    <s v="CAIO SILVA"/>
    <x v="0"/>
    <n v="31"/>
    <x v="0"/>
    <n v="2800"/>
    <d v="2022-03-20T00:00:00"/>
    <x v="0"/>
    <x v="9"/>
  </r>
  <r>
    <x v="10"/>
    <n v="750"/>
    <n v="2"/>
    <s v="Av. Borges de Medeiros, 3120 - Praia de Belas, Porto Alegre - RS, 90110-150"/>
    <x v="8"/>
    <s v="RAFAEL GUIMARÃES"/>
    <x v="0"/>
    <n v="28"/>
    <x v="2"/>
    <n v="1500"/>
    <d v="2022-06-09T00:00:00"/>
    <x v="0"/>
    <x v="3"/>
  </r>
  <r>
    <x v="22"/>
    <n v="2400"/>
    <n v="5"/>
    <s v="Av. Mal. Floriano Peixoto, 2248-2258 - Centro, Nova Iguaçu - RJ, 26210-000"/>
    <x v="1"/>
    <s v="MARIA CORREA"/>
    <x v="1"/>
    <n v="34"/>
    <x v="0"/>
    <n v="12000"/>
    <d v="2022-01-29T00:00:00"/>
    <x v="0"/>
    <x v="5"/>
  </r>
  <r>
    <x v="23"/>
    <n v="1100"/>
    <n v="2"/>
    <s v="Av. Mal. Floriano Peixoto, 2248-2258 - Centro, Nova Iguaçu - RJ, 26210-000"/>
    <x v="1"/>
    <s v="MANUELA FERREIRA"/>
    <x v="1"/>
    <n v="63"/>
    <x v="1"/>
    <n v="2200"/>
    <d v="2022-12-03T00:00:00"/>
    <x v="0"/>
    <x v="8"/>
  </r>
  <r>
    <x v="12"/>
    <n v="1500"/>
    <n v="2"/>
    <s v="R. Luíz Faccini, 212 - Centro, Guarulhos - SP, 07110-000"/>
    <x v="0"/>
    <s v="LÍVIA TANAKA"/>
    <x v="1"/>
    <n v="48"/>
    <x v="0"/>
    <n v="3000"/>
    <d v="2022-01-25T00:00:00"/>
    <x v="0"/>
    <x v="5"/>
  </r>
  <r>
    <x v="8"/>
    <n v="1400"/>
    <n v="5"/>
    <s v="R. Dr. Antônio Castro Prado, 422 - Vila Rossi e Borchi, Campinas - SP, 13076-130"/>
    <x v="0"/>
    <s v="PATRÍCIA FERNANDES"/>
    <x v="1"/>
    <n v="49"/>
    <x v="0"/>
    <n v="7000"/>
    <d v="2022-07-27T00:00:00"/>
    <x v="0"/>
    <x v="0"/>
  </r>
  <r>
    <x v="6"/>
    <n v="6500"/>
    <n v="1"/>
    <s v="Rua Quinze de Novembro, 8 - Loja 301a Loja 301b - Centro, Niterói - RJ, 24020-125"/>
    <x v="1"/>
    <s v="CÍCERO LIMA"/>
    <x v="0"/>
    <n v="74"/>
    <x v="1"/>
    <n v="6500"/>
    <d v="2022-02-04T00:00:00"/>
    <x v="0"/>
    <x v="4"/>
  </r>
  <r>
    <x v="18"/>
    <n v="2500"/>
    <n v="5"/>
    <s v="R. Luíz Faccini, 212 - Centro, Guarulhos - SP, 07110-000"/>
    <x v="0"/>
    <s v="JOÃO BACH"/>
    <x v="0"/>
    <n v="45"/>
    <x v="0"/>
    <n v="12500"/>
    <d v="2022-02-05T00:00:00"/>
    <x v="0"/>
    <x v="4"/>
  </r>
  <r>
    <x v="18"/>
    <n v="2500"/>
    <n v="2"/>
    <s v="R. Visc. de Pirajá, 136 - Ipanema, Rio de Janeiro - RJ, 22410-000"/>
    <x v="1"/>
    <s v="VICTOR GOMES"/>
    <x v="0"/>
    <n v="47"/>
    <x v="0"/>
    <n v="5000"/>
    <d v="2022-01-11T00:00:00"/>
    <x v="0"/>
    <x v="5"/>
  </r>
  <r>
    <x v="16"/>
    <n v="1200"/>
    <n v="4"/>
    <s v="Rua Quinze de Novembro, 8 - Loja 301a Loja 301b - Centro, Niterói - RJ, 24020-125"/>
    <x v="1"/>
    <s v="ALEXANDRE DANTAS"/>
    <x v="0"/>
    <n v="53"/>
    <x v="1"/>
    <n v="4800"/>
    <d v="2022-08-02T00:00:00"/>
    <x v="0"/>
    <x v="7"/>
  </r>
  <r>
    <x v="6"/>
    <n v="6500"/>
    <n v="4"/>
    <s v="R. Luíz Faccini, 212 - Centro, Guarulhos - SP, 07110-000"/>
    <x v="0"/>
    <s v="DANILO MENDONÇA"/>
    <x v="0"/>
    <n v="64"/>
    <x v="1"/>
    <n v="26000"/>
    <d v="2022-09-30T00:00:00"/>
    <x v="0"/>
    <x v="1"/>
  </r>
  <r>
    <x v="18"/>
    <n v="2500"/>
    <n v="1"/>
    <s v="R. Visc. de Pirajá, 136 - Ipanema, Rio de Janeiro - RJ, 22410-000"/>
    <x v="1"/>
    <s v="JOSÉ FONSECA"/>
    <x v="0"/>
    <n v="75"/>
    <x v="1"/>
    <n v="2500"/>
    <d v="2022-09-25T00:00:00"/>
    <x v="0"/>
    <x v="1"/>
  </r>
  <r>
    <x v="20"/>
    <n v="5500"/>
    <n v="1"/>
    <s v="Av. Barão Homem de Melo, 1389 - Nova Granada, Belo Horizonte - MG, 30431-425"/>
    <x v="7"/>
    <s v="CAROLINE PINTO"/>
    <x v="1"/>
    <n v="66"/>
    <x v="1"/>
    <n v="5500"/>
    <d v="2022-01-26T00:00:00"/>
    <x v="0"/>
    <x v="5"/>
  </r>
  <r>
    <x v="17"/>
    <n v="2300"/>
    <n v="2"/>
    <s v="R. Luíz Faccini, 212 - Centro, Guarulhos - SP, 07110-000"/>
    <x v="0"/>
    <s v="VICTOR LIRA"/>
    <x v="0"/>
    <n v="38"/>
    <x v="0"/>
    <n v="4600"/>
    <d v="2022-05-22T00:00:00"/>
    <x v="0"/>
    <x v="11"/>
  </r>
  <r>
    <x v="13"/>
    <n v="1550"/>
    <n v="2"/>
    <s v="R. Luíz Faccini, 212 - Centro, Guarulhos - SP, 07110-000"/>
    <x v="0"/>
    <s v="RAUL JUNQUEIRA"/>
    <x v="0"/>
    <n v="45"/>
    <x v="0"/>
    <n v="3100"/>
    <d v="2022-11-14T00:00:00"/>
    <x v="0"/>
    <x v="10"/>
  </r>
  <r>
    <x v="7"/>
    <n v="2600"/>
    <n v="1"/>
    <s v="Av. Dom Luís, 500 - Aldeota, Fortaleza - CE, 60160-230"/>
    <x v="2"/>
    <s v="CAROLINE AQUINO"/>
    <x v="1"/>
    <n v="41"/>
    <x v="0"/>
    <n v="2600"/>
    <d v="2022-05-06T00:00:00"/>
    <x v="0"/>
    <x v="11"/>
  </r>
  <r>
    <x v="11"/>
    <n v="2000"/>
    <n v="4"/>
    <s v="R. Dr. Antônio Castro Prado, 422 - Vila Rossi e Borchi, Campinas - SP, 13076-130"/>
    <x v="0"/>
    <s v="LETICIA MESQUITA"/>
    <x v="1"/>
    <n v="66"/>
    <x v="1"/>
    <n v="8000"/>
    <d v="2022-11-03T00:00:00"/>
    <x v="0"/>
    <x v="10"/>
  </r>
  <r>
    <x v="18"/>
    <n v="2500"/>
    <n v="3"/>
    <s v="Rua Quinze de Novembro, 8 - Loja 301a Loja 301b - Centro, Niterói - RJ, 24020-125"/>
    <x v="1"/>
    <s v="ALEXANDRE DANTAS"/>
    <x v="0"/>
    <n v="53"/>
    <x v="1"/>
    <n v="7500"/>
    <d v="2022-09-24T00:00:00"/>
    <x v="0"/>
    <x v="1"/>
  </r>
  <r>
    <x v="3"/>
    <n v="1500"/>
    <n v="5"/>
    <s v="Rua Quinze de Novembro, 8 - Loja 301a Loja 301b - Centro, Niterói - RJ, 24020-125"/>
    <x v="1"/>
    <s v="THAÍS PEREIRA"/>
    <x v="1"/>
    <n v="56"/>
    <x v="1"/>
    <n v="7500"/>
    <d v="2022-06-12T00:00:00"/>
    <x v="0"/>
    <x v="3"/>
  </r>
  <r>
    <x v="2"/>
    <n v="1900"/>
    <n v="4"/>
    <s v="R. Luíz Faccini, 212 - Centro, Guarulhos - SP, 07110-000"/>
    <x v="0"/>
    <s v="MATHEUS MORAES"/>
    <x v="0"/>
    <n v="72"/>
    <x v="1"/>
    <n v="7600"/>
    <d v="2022-06-21T00:00:00"/>
    <x v="0"/>
    <x v="3"/>
  </r>
  <r>
    <x v="1"/>
    <n v="1400"/>
    <n v="5"/>
    <s v="R. Brasílio Itiberê, 3279 - Água Verde, Curitiba - PR, 80250-160"/>
    <x v="3"/>
    <s v="ROGÉRIO PEREIRA"/>
    <x v="0"/>
    <n v="27"/>
    <x v="2"/>
    <n v="7000"/>
    <d v="2022-06-02T00:00:00"/>
    <x v="0"/>
    <x v="3"/>
  </r>
  <r>
    <x v="10"/>
    <n v="750"/>
    <n v="2"/>
    <s v="R. Luíz Faccini, 212 - Centro, Guarulhos - SP, 07110-000"/>
    <x v="0"/>
    <s v="VICTOR LIRA"/>
    <x v="0"/>
    <n v="38"/>
    <x v="0"/>
    <n v="1500"/>
    <d v="2022-07-29T00:00:00"/>
    <x v="0"/>
    <x v="0"/>
  </r>
  <r>
    <x v="12"/>
    <n v="1500"/>
    <n v="1"/>
    <s v="Rua Antônio Lumack do Monte, 203 - 1 - Boa Viagem, Recife - PE, 51020-350"/>
    <x v="6"/>
    <s v="MYLLENA CORRÊA"/>
    <x v="1"/>
    <n v="32"/>
    <x v="0"/>
    <n v="1500"/>
    <d v="2022-04-07T00:00:00"/>
    <x v="0"/>
    <x v="2"/>
  </r>
  <r>
    <x v="2"/>
    <n v="1900"/>
    <n v="3"/>
    <s v="Shopping Barra - Av. Centenário, 2992 - Barra, Salvador - BA, 40155-150"/>
    <x v="5"/>
    <s v="JULIA TEIXEIRA"/>
    <x v="1"/>
    <n v="25"/>
    <x v="2"/>
    <n v="5700"/>
    <d v="2022-06-28T00:00:00"/>
    <x v="0"/>
    <x v="3"/>
  </r>
  <r>
    <x v="12"/>
    <n v="1500"/>
    <n v="4"/>
    <s v="Av. Barão Homem de Melo, 1389 - Nova Granada, Belo Horizonte - MG, 30431-425"/>
    <x v="7"/>
    <s v="IGOR LIMA"/>
    <x v="0"/>
    <n v="41"/>
    <x v="0"/>
    <n v="6000"/>
    <d v="2022-03-17T00:00:00"/>
    <x v="0"/>
    <x v="9"/>
  </r>
  <r>
    <x v="15"/>
    <n v="3000"/>
    <n v="2"/>
    <s v="R. Luíz Faccini, 212 - Centro, Guarulhos - SP, 07110-000"/>
    <x v="0"/>
    <s v="HANNA FONSECA"/>
    <x v="1"/>
    <n v="40"/>
    <x v="0"/>
    <n v="6000"/>
    <d v="2022-01-17T00:00:00"/>
    <x v="0"/>
    <x v="5"/>
  </r>
  <r>
    <x v="8"/>
    <n v="1400"/>
    <n v="2"/>
    <s v="R. Teodoro Sampaio, 954 - Pinheiros, São Paulo - SP, 05406-050"/>
    <x v="0"/>
    <s v="LUIZ CONCEIÇÃO"/>
    <x v="0"/>
    <n v="34"/>
    <x v="0"/>
    <n v="2800"/>
    <d v="2022-12-04T00:00:00"/>
    <x v="0"/>
    <x v="8"/>
  </r>
  <r>
    <x v="19"/>
    <n v="1750"/>
    <n v="1"/>
    <s v="R. Visc. de Pirajá, 136 - Ipanema, Rio de Janeiro - RJ, 22410-000"/>
    <x v="1"/>
    <s v="CARLOS SILVA"/>
    <x v="0"/>
    <n v="60"/>
    <x v="1"/>
    <n v="1750"/>
    <d v="2022-08-25T00:00:00"/>
    <x v="0"/>
    <x v="7"/>
  </r>
  <r>
    <x v="10"/>
    <n v="750"/>
    <n v="2"/>
    <s v="R. Visc. de Pirajá, 136 - Ipanema, Rio de Janeiro - RJ, 22410-000"/>
    <x v="1"/>
    <s v="CAMILLA GUIMARÃES"/>
    <x v="1"/>
    <n v="57"/>
    <x v="1"/>
    <n v="1500"/>
    <d v="2022-02-06T00:00:00"/>
    <x v="0"/>
    <x v="4"/>
  </r>
  <r>
    <x v="23"/>
    <n v="1100"/>
    <n v="4"/>
    <s v="Rua Antônio Lumack do Monte, 203 - 1 - Boa Viagem, Recife - PE, 51020-350"/>
    <x v="6"/>
    <s v="RAFAELA GOMES"/>
    <x v="1"/>
    <n v="35"/>
    <x v="0"/>
    <n v="4400"/>
    <d v="2022-10-10T00:00:00"/>
    <x v="0"/>
    <x v="6"/>
  </r>
  <r>
    <x v="22"/>
    <n v="2400"/>
    <n v="5"/>
    <s v="Av. Mal. Floriano Peixoto, 2248-2258 - Centro, Nova Iguaçu - RJ, 26210-000"/>
    <x v="1"/>
    <s v="THOMÁZ VANNIER"/>
    <x v="0"/>
    <n v="53"/>
    <x v="1"/>
    <n v="12000"/>
    <d v="2022-10-20T00:00:00"/>
    <x v="0"/>
    <x v="6"/>
  </r>
  <r>
    <x v="10"/>
    <n v="750"/>
    <n v="3"/>
    <s v="R. Luíz Faccini, 212 - Centro, Guarulhos - SP, 07110-000"/>
    <x v="0"/>
    <s v="MARCELO PEREIRA"/>
    <x v="0"/>
    <n v="49"/>
    <x v="0"/>
    <n v="2250"/>
    <d v="2022-09-11T00:00:00"/>
    <x v="0"/>
    <x v="1"/>
  </r>
  <r>
    <x v="19"/>
    <n v="1750"/>
    <n v="4"/>
    <s v="Av. Dom Luís, 500 - Aldeota, Fortaleza - CE, 60160-230"/>
    <x v="2"/>
    <s v="JOÃO MONTEIRO"/>
    <x v="0"/>
    <n v="42"/>
    <x v="0"/>
    <n v="7000"/>
    <d v="2022-07-21T00:00:00"/>
    <x v="0"/>
    <x v="0"/>
  </r>
  <r>
    <x v="16"/>
    <n v="1200"/>
    <n v="4"/>
    <s v="Rua Quinze de Novembro, 8 - Loja 301a Loja 301b - Centro, Niterói - RJ, 24020-125"/>
    <x v="1"/>
    <s v="DYKSON SILVA"/>
    <x v="0"/>
    <n v="38"/>
    <x v="0"/>
    <n v="4800"/>
    <d v="2022-05-26T00:00:00"/>
    <x v="0"/>
    <x v="11"/>
  </r>
  <r>
    <x v="1"/>
    <n v="1400"/>
    <n v="3"/>
    <s v="R. Visc. de Pirajá, 136 - Ipanema, Rio de Janeiro - RJ, 22410-000"/>
    <x v="1"/>
    <s v="GABRIELA CAVALCANTI"/>
    <x v="1"/>
    <n v="54"/>
    <x v="1"/>
    <n v="4200"/>
    <d v="2022-06-16T00:00:00"/>
    <x v="0"/>
    <x v="3"/>
  </r>
  <r>
    <x v="2"/>
    <n v="1900"/>
    <n v="4"/>
    <s v="Av. Borges de Medeiros, 3120 - Praia de Belas, Porto Alegre - RS, 90110-150"/>
    <x v="8"/>
    <s v="RAFAEL GUIMARÃES"/>
    <x v="0"/>
    <n v="28"/>
    <x v="2"/>
    <n v="7600"/>
    <d v="2022-03-09T00:00:00"/>
    <x v="0"/>
    <x v="9"/>
  </r>
  <r>
    <x v="0"/>
    <n v="4500"/>
    <n v="2"/>
    <s v="R. Teodoro Sampaio, 954 - Pinheiros, São Paulo - SP, 05406-050"/>
    <x v="0"/>
    <s v="EDUARDO FERREIRA"/>
    <x v="0"/>
    <n v="46"/>
    <x v="0"/>
    <n v="9000"/>
    <d v="2022-02-13T00:00:00"/>
    <x v="0"/>
    <x v="4"/>
  </r>
  <r>
    <x v="6"/>
    <n v="6500"/>
    <n v="3"/>
    <s v="Rua Antônio Lumack do Monte, 203 - 1 - Boa Viagem, Recife - PE, 51020-350"/>
    <x v="6"/>
    <s v="CAIO VIANNA"/>
    <x v="0"/>
    <n v="33"/>
    <x v="0"/>
    <n v="19500"/>
    <d v="2022-04-04T00:00:00"/>
    <x v="0"/>
    <x v="2"/>
  </r>
  <r>
    <x v="0"/>
    <n v="4500"/>
    <n v="1"/>
    <s v="Av. Mal. Floriano Peixoto, 2248-2258 - Centro, Nova Iguaçu - RJ, 26210-000"/>
    <x v="1"/>
    <s v="MANUELA MEREGE"/>
    <x v="1"/>
    <n v="25"/>
    <x v="2"/>
    <n v="4500"/>
    <d v="2022-12-21T00:00:00"/>
    <x v="0"/>
    <x v="8"/>
  </r>
  <r>
    <x v="14"/>
    <n v="1500"/>
    <n v="2"/>
    <s v="R. Luíz Faccini, 212 - Centro, Guarulhos - SP, 07110-000"/>
    <x v="0"/>
    <s v="JULIE FERREIRA"/>
    <x v="1"/>
    <n v="34"/>
    <x v="0"/>
    <n v="3000"/>
    <d v="2022-05-03T00:00:00"/>
    <x v="0"/>
    <x v="11"/>
  </r>
  <r>
    <x v="4"/>
    <n v="700"/>
    <n v="2"/>
    <s v="R. Teodoro Sampaio, 954 - Pinheiros, São Paulo - SP, 05406-050"/>
    <x v="0"/>
    <s v="LUCAS COSTA"/>
    <x v="0"/>
    <n v="75"/>
    <x v="1"/>
    <n v="1400"/>
    <d v="2022-06-02T00:00:00"/>
    <x v="0"/>
    <x v="3"/>
  </r>
  <r>
    <x v="15"/>
    <n v="3000"/>
    <n v="5"/>
    <s v="Av. Mal. Floriano Peixoto, 2248-2258 - Centro, Nova Iguaçu - RJ, 26210-000"/>
    <x v="1"/>
    <s v="CARLOS BARBOSA"/>
    <x v="0"/>
    <n v="43"/>
    <x v="0"/>
    <n v="15000"/>
    <d v="2022-03-17T00:00:00"/>
    <x v="0"/>
    <x v="9"/>
  </r>
  <r>
    <x v="10"/>
    <n v="750"/>
    <n v="2"/>
    <s v="Av. Borges de Medeiros, 3120 - Praia de Belas, Porto Alegre - RS, 90110-150"/>
    <x v="8"/>
    <s v="GABRIEL THOME"/>
    <x v="0"/>
    <n v="42"/>
    <x v="0"/>
    <n v="1500"/>
    <d v="2022-12-22T00:00:00"/>
    <x v="0"/>
    <x v="8"/>
  </r>
  <r>
    <x v="15"/>
    <n v="3000"/>
    <n v="1"/>
    <s v="R. Brasílio Itiberê, 3279 - Água Verde, Curitiba - PR, 80250-160"/>
    <x v="3"/>
    <s v="CAMILLA CARDEMAN"/>
    <x v="1"/>
    <n v="56"/>
    <x v="1"/>
    <n v="3000"/>
    <d v="2022-05-15T00:00:00"/>
    <x v="0"/>
    <x v="11"/>
  </r>
  <r>
    <x v="1"/>
    <n v="1400"/>
    <n v="4"/>
    <s v="Av. Mal. Floriano Peixoto, 2248-2258 - Centro, Nova Iguaçu - RJ, 26210-000"/>
    <x v="1"/>
    <s v="HÉRCULES MOREIRA"/>
    <x v="0"/>
    <n v="72"/>
    <x v="1"/>
    <n v="5600"/>
    <d v="2022-05-29T00:00:00"/>
    <x v="0"/>
    <x v="11"/>
  </r>
  <r>
    <x v="14"/>
    <n v="1500"/>
    <n v="3"/>
    <s v="Shopping Barra - Av. Centenário, 2992 - Barra, Salvador - BA, 40155-150"/>
    <x v="5"/>
    <s v="WILSON VIANNA"/>
    <x v="0"/>
    <n v="54"/>
    <x v="1"/>
    <n v="4500"/>
    <d v="2022-09-11T00:00:00"/>
    <x v="0"/>
    <x v="1"/>
  </r>
  <r>
    <x v="17"/>
    <n v="2300"/>
    <n v="3"/>
    <s v="R. Brasílio Itiberê, 3279 - Água Verde, Curitiba - PR, 80250-160"/>
    <x v="3"/>
    <s v="ALINE MORAIS"/>
    <x v="1"/>
    <n v="45"/>
    <x v="0"/>
    <n v="6900"/>
    <d v="2022-12-06T00:00:00"/>
    <x v="0"/>
    <x v="8"/>
  </r>
  <r>
    <x v="13"/>
    <n v="1550"/>
    <n v="3"/>
    <s v="Av. Dom Luís, 500 - Aldeota, Fortaleza - CE, 60160-230"/>
    <x v="2"/>
    <s v="IZABEL LOPES"/>
    <x v="1"/>
    <n v="27"/>
    <x v="2"/>
    <n v="4650"/>
    <d v="2022-12-02T00:00:00"/>
    <x v="0"/>
    <x v="8"/>
  </r>
  <r>
    <x v="15"/>
    <n v="3000"/>
    <n v="4"/>
    <s v="R. Visc. de Pirajá, 136 - Ipanema, Rio de Janeiro - RJ, 22410-000"/>
    <x v="1"/>
    <s v="VICTOR GOMES"/>
    <x v="0"/>
    <n v="47"/>
    <x v="0"/>
    <n v="12000"/>
    <d v="2022-07-09T00:00:00"/>
    <x v="0"/>
    <x v="0"/>
  </r>
  <r>
    <x v="19"/>
    <n v="1750"/>
    <n v="5"/>
    <s v="Rua Quinze de Novembro, 8 - Loja 301a Loja 301b - Centro, Niterói - RJ, 24020-125"/>
    <x v="1"/>
    <s v="JOÃO MATHEUS"/>
    <x v="0"/>
    <n v="29"/>
    <x v="2"/>
    <n v="8750"/>
    <d v="2022-04-10T00:00:00"/>
    <x v="0"/>
    <x v="2"/>
  </r>
  <r>
    <x v="17"/>
    <n v="2300"/>
    <n v="4"/>
    <s v="R. Visc. de Pirajá, 136 - Ipanema, Rio de Janeiro - RJ, 22410-000"/>
    <x v="1"/>
    <s v="ISABELLE FIRMINO"/>
    <x v="1"/>
    <n v="58"/>
    <x v="1"/>
    <n v="9200"/>
    <d v="2022-08-20T00:00:00"/>
    <x v="0"/>
    <x v="7"/>
  </r>
  <r>
    <x v="12"/>
    <n v="1500"/>
    <n v="1"/>
    <s v="R. Luíz Faccini, 212 - Centro, Guarulhos - SP, 07110-000"/>
    <x v="0"/>
    <s v="LORENA KOHN"/>
    <x v="1"/>
    <n v="60"/>
    <x v="1"/>
    <n v="1500"/>
    <d v="2022-02-10T00:00:00"/>
    <x v="0"/>
    <x v="4"/>
  </r>
  <r>
    <x v="16"/>
    <n v="1200"/>
    <n v="2"/>
    <s v="R. Luíz Faccini, 212 - Centro, Guarulhos - SP, 07110-000"/>
    <x v="0"/>
    <s v="GABRIEL ALMEIDA"/>
    <x v="0"/>
    <n v="28"/>
    <x v="2"/>
    <n v="2400"/>
    <d v="2022-11-15T00:00:00"/>
    <x v="0"/>
    <x v="10"/>
  </r>
  <r>
    <x v="15"/>
    <n v="3000"/>
    <n v="1"/>
    <s v="Rua Antônio Lumack do Monte, 203 - 1 - Boa Viagem, Recife - PE, 51020-350"/>
    <x v="6"/>
    <s v="ALON PALMEIRA"/>
    <x v="0"/>
    <n v="34"/>
    <x v="0"/>
    <n v="3000"/>
    <d v="2022-03-10T00:00:00"/>
    <x v="0"/>
    <x v="9"/>
  </r>
  <r>
    <x v="19"/>
    <n v="1750"/>
    <n v="5"/>
    <s v="Rua Antônio Lumack do Monte, 203 - 1 - Boa Viagem, Recife - PE, 51020-350"/>
    <x v="6"/>
    <s v="RAFAEL CARNEIRO"/>
    <x v="0"/>
    <n v="75"/>
    <x v="1"/>
    <n v="8750"/>
    <d v="2022-08-18T00:00:00"/>
    <x v="0"/>
    <x v="7"/>
  </r>
  <r>
    <x v="18"/>
    <n v="2500"/>
    <n v="3"/>
    <s v="Av. Barão Homem de Melo, 1389 - Nova Granada, Belo Horizonte - MG, 30431-425"/>
    <x v="7"/>
    <s v="VIVIANNE RODRIGUES"/>
    <x v="1"/>
    <n v="49"/>
    <x v="0"/>
    <n v="7500"/>
    <d v="2022-01-01T00:00:00"/>
    <x v="0"/>
    <x v="5"/>
  </r>
  <r>
    <x v="8"/>
    <n v="1400"/>
    <n v="2"/>
    <s v="R. Brasílio Itiberê, 3279 - Água Verde, Curitiba - PR, 80250-160"/>
    <x v="3"/>
    <s v="VICTOR MAGALHÃES"/>
    <x v="0"/>
    <n v="56"/>
    <x v="1"/>
    <n v="2800"/>
    <d v="2022-05-12T00:00:00"/>
    <x v="0"/>
    <x v="11"/>
  </r>
  <r>
    <x v="7"/>
    <n v="2600"/>
    <n v="4"/>
    <s v="R. Luíz Faccini, 212 - Centro, Guarulhos - SP, 07110-000"/>
    <x v="0"/>
    <s v="FERNANDA JUNIOR"/>
    <x v="1"/>
    <n v="51"/>
    <x v="1"/>
    <n v="10400"/>
    <d v="2022-09-14T00:00:00"/>
    <x v="0"/>
    <x v="1"/>
  </r>
  <r>
    <x v="16"/>
    <n v="1200"/>
    <n v="2"/>
    <s v="Rua Quinze de Novembro, 8 - Loja 301a Loja 301b - Centro, Niterói - RJ, 24020-125"/>
    <x v="1"/>
    <s v="GABRIELLE WANDERLEY"/>
    <x v="1"/>
    <n v="69"/>
    <x v="1"/>
    <n v="2400"/>
    <d v="2022-08-13T00:00:00"/>
    <x v="0"/>
    <x v="7"/>
  </r>
  <r>
    <x v="15"/>
    <n v="3000"/>
    <n v="3"/>
    <s v="Rua Quinze de Novembro, 8 - Loja 301a Loja 301b - Centro, Niterói - RJ, 24020-125"/>
    <x v="1"/>
    <s v="SYLVIO BERNHARDT"/>
    <x v="0"/>
    <n v="47"/>
    <x v="0"/>
    <n v="9000"/>
    <d v="2022-11-25T00:00:00"/>
    <x v="0"/>
    <x v="10"/>
  </r>
  <r>
    <x v="22"/>
    <n v="2400"/>
    <n v="2"/>
    <s v="Av. Goiás Norte, 3.592 - quadra 2.1 - St. Mal. Rondon, Goiânia - GO, 74063-010"/>
    <x v="4"/>
    <s v="MATHEUS RAMOS"/>
    <x v="0"/>
    <n v="56"/>
    <x v="1"/>
    <n v="4800"/>
    <d v="2022-01-14T00:00:00"/>
    <x v="0"/>
    <x v="5"/>
  </r>
  <r>
    <x v="7"/>
    <n v="2600"/>
    <n v="4"/>
    <s v="R. Teodoro Sampaio, 954 - Pinheiros, São Paulo - SP, 05406-050"/>
    <x v="0"/>
    <s v="LUCAS BAPTISTA"/>
    <x v="0"/>
    <n v="49"/>
    <x v="0"/>
    <n v="10400"/>
    <d v="2022-09-13T00:00:00"/>
    <x v="0"/>
    <x v="1"/>
  </r>
  <r>
    <x v="16"/>
    <n v="1200"/>
    <n v="5"/>
    <s v="R. Luíz Faccini, 212 - Centro, Guarulhos - SP, 07110-000"/>
    <x v="0"/>
    <s v="DAVID CAMPELO"/>
    <x v="0"/>
    <n v="29"/>
    <x v="2"/>
    <n v="6000"/>
    <d v="2022-07-06T00:00:00"/>
    <x v="0"/>
    <x v="0"/>
  </r>
  <r>
    <x v="19"/>
    <n v="1750"/>
    <n v="3"/>
    <s v="R. Luíz Faccini, 212 - Centro, Guarulhos - SP, 07110-000"/>
    <x v="0"/>
    <s v="GABRIEL THONI"/>
    <x v="0"/>
    <n v="34"/>
    <x v="0"/>
    <n v="5250"/>
    <d v="2022-08-04T00:00:00"/>
    <x v="0"/>
    <x v="7"/>
  </r>
  <r>
    <x v="12"/>
    <n v="1500"/>
    <n v="1"/>
    <s v="R. Luíz Faccini, 212 - Centro, Guarulhos - SP, 07110-000"/>
    <x v="0"/>
    <s v="CAROLINE CAVALCANTI"/>
    <x v="1"/>
    <n v="37"/>
    <x v="0"/>
    <n v="1500"/>
    <d v="2022-11-10T00:00:00"/>
    <x v="0"/>
    <x v="10"/>
  </r>
  <r>
    <x v="1"/>
    <n v="1400"/>
    <n v="1"/>
    <s v="Shopping Barra - Av. Centenário, 2992 - Barra, Salvador - BA, 40155-150"/>
    <x v="5"/>
    <s v="GABRIEL PEREIRA"/>
    <x v="0"/>
    <n v="42"/>
    <x v="0"/>
    <n v="1400"/>
    <d v="2022-05-16T00:00:00"/>
    <x v="0"/>
    <x v="11"/>
  </r>
  <r>
    <x v="17"/>
    <n v="2300"/>
    <n v="2"/>
    <s v="R. Luíz Faccini, 212 - Centro, Guarulhos - SP, 07110-000"/>
    <x v="0"/>
    <s v="GIOVANA VILELA"/>
    <x v="1"/>
    <n v="53"/>
    <x v="1"/>
    <n v="4600"/>
    <d v="2022-03-07T00:00:00"/>
    <x v="0"/>
    <x v="9"/>
  </r>
  <r>
    <x v="14"/>
    <n v="1500"/>
    <n v="3"/>
    <s v="Rua Quinze de Novembro, 8 - Loja 301a Loja 301b - Centro, Niterói - RJ, 24020-125"/>
    <x v="1"/>
    <s v="DYKSON SILVA"/>
    <x v="0"/>
    <n v="38"/>
    <x v="0"/>
    <n v="4500"/>
    <d v="2022-02-13T00:00:00"/>
    <x v="0"/>
    <x v="4"/>
  </r>
  <r>
    <x v="1"/>
    <n v="1400"/>
    <n v="1"/>
    <s v="R. Dr. Antônio Castro Prado, 422 - Vila Rossi e Borchi, Campinas - SP, 13076-130"/>
    <x v="0"/>
    <s v="WENDELA VELOSO"/>
    <x v="1"/>
    <n v="30"/>
    <x v="0"/>
    <n v="1400"/>
    <d v="2022-11-06T00:00:00"/>
    <x v="0"/>
    <x v="10"/>
  </r>
  <r>
    <x v="7"/>
    <n v="2600"/>
    <n v="1"/>
    <s v="R. Teodoro Sampaio, 954 - Pinheiros, São Paulo - SP, 05406-050"/>
    <x v="0"/>
    <s v="MARINA PERDOMO"/>
    <x v="1"/>
    <n v="32"/>
    <x v="0"/>
    <n v="2600"/>
    <d v="2022-06-07T00:00:00"/>
    <x v="0"/>
    <x v="3"/>
  </r>
  <r>
    <x v="14"/>
    <n v="1500"/>
    <n v="4"/>
    <s v="R. Luíz Faccini, 212 - Centro, Guarulhos - SP, 07110-000"/>
    <x v="0"/>
    <s v="EDUARDO PACHECO"/>
    <x v="0"/>
    <n v="33"/>
    <x v="0"/>
    <n v="6000"/>
    <d v="2022-05-10T00:00:00"/>
    <x v="0"/>
    <x v="11"/>
  </r>
  <r>
    <x v="16"/>
    <n v="1200"/>
    <n v="4"/>
    <s v="Rua Antônio Lumack do Monte, 203 - 1 - Boa Viagem, Recife - PE, 51020-350"/>
    <x v="6"/>
    <s v="BRUNA LONDERO"/>
    <x v="1"/>
    <n v="64"/>
    <x v="1"/>
    <n v="4800"/>
    <d v="2022-12-17T00:00:00"/>
    <x v="0"/>
    <x v="8"/>
  </r>
  <r>
    <x v="7"/>
    <n v="2600"/>
    <n v="2"/>
    <s v="R. Luíz Faccini, 212 - Centro, Guarulhos - SP, 07110-000"/>
    <x v="0"/>
    <s v="THAIS RODRIGUES"/>
    <x v="1"/>
    <n v="58"/>
    <x v="1"/>
    <n v="5200"/>
    <d v="2022-09-11T00:00:00"/>
    <x v="0"/>
    <x v="1"/>
  </r>
  <r>
    <x v="5"/>
    <n v="1450"/>
    <n v="5"/>
    <s v="R. Dr. Antônio Castro Prado, 422 - Vila Rossi e Borchi, Campinas - SP, 13076-130"/>
    <x v="0"/>
    <s v="JOSÉ MARQUES"/>
    <x v="0"/>
    <n v="37"/>
    <x v="0"/>
    <n v="7250"/>
    <d v="2022-11-12T00:00:00"/>
    <x v="0"/>
    <x v="10"/>
  </r>
  <r>
    <x v="12"/>
    <n v="1500"/>
    <n v="5"/>
    <s v="R. Luíz Faccini, 212 - Centro, Guarulhos - SP, 07110-000"/>
    <x v="0"/>
    <s v="GUILHERME MONTEIRO"/>
    <x v="0"/>
    <n v="36"/>
    <x v="0"/>
    <n v="7500"/>
    <d v="2022-03-31T00:00:00"/>
    <x v="0"/>
    <x v="9"/>
  </r>
  <r>
    <x v="1"/>
    <n v="1400"/>
    <n v="4"/>
    <s v="R. Visc. de Pirajá, 136 - Ipanema, Rio de Janeiro - RJ, 22410-000"/>
    <x v="1"/>
    <s v="GABRIEL BRITO"/>
    <x v="0"/>
    <n v="75"/>
    <x v="1"/>
    <n v="5600"/>
    <d v="2022-01-16T00:00:00"/>
    <x v="0"/>
    <x v="5"/>
  </r>
  <r>
    <x v="21"/>
    <n v="5200"/>
    <n v="1"/>
    <s v="Shopping Barra - Av. Centenário, 2992 - Barra, Salvador - BA, 40155-150"/>
    <x v="5"/>
    <s v="ANDRESSA NÓBREGA"/>
    <x v="1"/>
    <n v="68"/>
    <x v="1"/>
    <n v="5200"/>
    <d v="2022-05-06T00:00:00"/>
    <x v="0"/>
    <x v="11"/>
  </r>
  <r>
    <x v="17"/>
    <n v="2300"/>
    <n v="3"/>
    <s v="Av. Mal. Floriano Peixoto, 2248-2258 - Centro, Nova Iguaçu - RJ, 26210-000"/>
    <x v="1"/>
    <s v="ANDREZA RAMOS"/>
    <x v="1"/>
    <n v="63"/>
    <x v="1"/>
    <n v="6900"/>
    <d v="2022-06-20T00:00:00"/>
    <x v="0"/>
    <x v="3"/>
  </r>
  <r>
    <x v="20"/>
    <n v="5500"/>
    <n v="3"/>
    <s v="Av. Goiás Norte, 3.592 - quadra 2.1 - St. Mal. Rondon, Goiânia - GO, 74063-010"/>
    <x v="4"/>
    <s v="GUILHERME SEIXAS"/>
    <x v="0"/>
    <n v="52"/>
    <x v="1"/>
    <n v="16500"/>
    <d v="2022-09-12T00:00:00"/>
    <x v="0"/>
    <x v="1"/>
  </r>
  <r>
    <x v="7"/>
    <n v="2600"/>
    <n v="2"/>
    <s v="Shopping Barra - Av. Centenário, 2992 - Barra, Salvador - BA, 40155-150"/>
    <x v="5"/>
    <s v="JOÃO LUZ"/>
    <x v="0"/>
    <n v="25"/>
    <x v="2"/>
    <n v="5200"/>
    <d v="2022-06-29T00:00:00"/>
    <x v="0"/>
    <x v="3"/>
  </r>
  <r>
    <x v="17"/>
    <n v="2300"/>
    <n v="3"/>
    <s v="R. Luíz Faccini, 212 - Centro, Guarulhos - SP, 07110-000"/>
    <x v="0"/>
    <s v="JEFERSON SONE"/>
    <x v="0"/>
    <n v="46"/>
    <x v="0"/>
    <n v="6900"/>
    <d v="2022-07-07T00:00:00"/>
    <x v="0"/>
    <x v="0"/>
  </r>
  <r>
    <x v="8"/>
    <n v="1400"/>
    <n v="4"/>
    <s v="Av. Barão Homem de Melo, 1389 - Nova Granada, Belo Horizonte - MG, 30431-425"/>
    <x v="7"/>
    <s v="GUILHERME VIANNA"/>
    <x v="0"/>
    <n v="35"/>
    <x v="0"/>
    <n v="5600"/>
    <d v="2022-08-24T00:00:00"/>
    <x v="0"/>
    <x v="7"/>
  </r>
  <r>
    <x v="13"/>
    <n v="1550"/>
    <n v="5"/>
    <s v="Av. Barão Homem de Melo, 1389 - Nova Granada, Belo Horizonte - MG, 30431-425"/>
    <x v="7"/>
    <s v="REBECA REIS"/>
    <x v="1"/>
    <n v="66"/>
    <x v="1"/>
    <n v="7750"/>
    <d v="2022-04-04T00:00:00"/>
    <x v="0"/>
    <x v="2"/>
  </r>
  <r>
    <x v="7"/>
    <n v="2600"/>
    <n v="3"/>
    <s v="Av. Mal. Floriano Peixoto, 2248-2258 - Centro, Nova Iguaçu - RJ, 26210-000"/>
    <x v="1"/>
    <s v="ERICK SOARES"/>
    <x v="0"/>
    <n v="36"/>
    <x v="0"/>
    <n v="7800"/>
    <d v="2022-02-23T00:00:00"/>
    <x v="0"/>
    <x v="4"/>
  </r>
  <r>
    <x v="6"/>
    <n v="6500"/>
    <n v="5"/>
    <s v="Av. Dom Luís, 500 - Aldeota, Fortaleza - CE, 60160-230"/>
    <x v="2"/>
    <s v="MARINA CORREA"/>
    <x v="1"/>
    <n v="42"/>
    <x v="0"/>
    <n v="32500"/>
    <d v="2022-04-07T00:00:00"/>
    <x v="0"/>
    <x v="2"/>
  </r>
  <r>
    <x v="6"/>
    <n v="6500"/>
    <n v="2"/>
    <s v="R. Dr. Antônio Castro Prado, 422 - Vila Rossi e Borchi, Campinas - SP, 13076-130"/>
    <x v="0"/>
    <s v="PATRÍCIA FERNANDES"/>
    <x v="1"/>
    <n v="49"/>
    <x v="0"/>
    <n v="13000"/>
    <d v="2022-03-08T00:00:00"/>
    <x v="0"/>
    <x v="9"/>
  </r>
  <r>
    <x v="14"/>
    <n v="1500"/>
    <n v="5"/>
    <s v="Rua Antônio Lumack do Monte, 203 - 1 - Boa Viagem, Recife - PE, 51020-350"/>
    <x v="6"/>
    <s v="RAÍSA RODRIGUES"/>
    <x v="1"/>
    <n v="68"/>
    <x v="1"/>
    <n v="7500"/>
    <d v="2022-12-23T00:00:00"/>
    <x v="0"/>
    <x v="8"/>
  </r>
  <r>
    <x v="20"/>
    <n v="5500"/>
    <n v="1"/>
    <s v="Shopping Barra - Av. Centenário, 2992 - Barra, Salvador - BA, 40155-150"/>
    <x v="5"/>
    <s v="ULISSES FILHO"/>
    <x v="0"/>
    <n v="70"/>
    <x v="1"/>
    <n v="5500"/>
    <d v="2022-07-25T00:00:00"/>
    <x v="0"/>
    <x v="0"/>
  </r>
  <r>
    <x v="0"/>
    <n v="4500"/>
    <n v="3"/>
    <s v="R. Dr. Antônio Castro Prado, 422 - Vila Rossi e Borchi, Campinas - SP, 13076-130"/>
    <x v="0"/>
    <s v="WENDELA VELOSO"/>
    <x v="1"/>
    <n v="30"/>
    <x v="0"/>
    <n v="13500"/>
    <d v="2022-04-02T00:00:00"/>
    <x v="0"/>
    <x v="2"/>
  </r>
  <r>
    <x v="10"/>
    <n v="750"/>
    <n v="3"/>
    <s v="Rua Antônio Lumack do Monte, 203 - 1 - Boa Viagem, Recife - PE, 51020-350"/>
    <x v="6"/>
    <s v="FERNANDA SILVA"/>
    <x v="1"/>
    <n v="39"/>
    <x v="0"/>
    <n v="2250"/>
    <d v="2022-07-30T00:00:00"/>
    <x v="0"/>
    <x v="0"/>
  </r>
  <r>
    <x v="6"/>
    <n v="6500"/>
    <n v="3"/>
    <s v="Shopping Barra - Av. Centenário, 2992 - Barra, Salvador - BA, 40155-150"/>
    <x v="5"/>
    <s v="HENRIQUE OLIVEIRA"/>
    <x v="0"/>
    <n v="55"/>
    <x v="1"/>
    <n v="19500"/>
    <d v="2022-02-02T00:00:00"/>
    <x v="0"/>
    <x v="4"/>
  </r>
  <r>
    <x v="6"/>
    <n v="6500"/>
    <n v="4"/>
    <s v="R. Visc. de Pirajá, 136 - Ipanema, Rio de Janeiro - RJ, 22410-000"/>
    <x v="1"/>
    <s v="BIANCA ALLEVATO"/>
    <x v="1"/>
    <n v="42"/>
    <x v="0"/>
    <n v="26000"/>
    <d v="2022-05-17T00:00:00"/>
    <x v="0"/>
    <x v="11"/>
  </r>
  <r>
    <x v="5"/>
    <n v="1450"/>
    <n v="4"/>
    <s v="R. Dr. Antônio Castro Prado, 422 - Vila Rossi e Borchi, Campinas - SP, 13076-130"/>
    <x v="0"/>
    <s v="LUCAS RODRIGUES"/>
    <x v="0"/>
    <n v="40"/>
    <x v="0"/>
    <n v="5800"/>
    <d v="2022-08-09T00:00:00"/>
    <x v="0"/>
    <x v="7"/>
  </r>
  <r>
    <x v="9"/>
    <n v="2000"/>
    <n v="5"/>
    <s v="Av. Barão Homem de Melo, 1389 - Nova Granada, Belo Horizonte - MG, 30431-425"/>
    <x v="7"/>
    <s v="KIMBERLY SAD"/>
    <x v="1"/>
    <n v="43"/>
    <x v="0"/>
    <n v="10000"/>
    <d v="2022-12-29T00:00:00"/>
    <x v="0"/>
    <x v="8"/>
  </r>
  <r>
    <x v="15"/>
    <n v="3000"/>
    <n v="5"/>
    <s v="R. Brasílio Itiberê, 3279 - Água Verde, Curitiba - PR, 80250-160"/>
    <x v="3"/>
    <s v="MARCOS NUCCI"/>
    <x v="0"/>
    <n v="26"/>
    <x v="2"/>
    <n v="15000"/>
    <d v="2022-06-24T00:00:00"/>
    <x v="0"/>
    <x v="3"/>
  </r>
  <r>
    <x v="1"/>
    <n v="1400"/>
    <n v="4"/>
    <s v="Av. Borges de Medeiros, 3120 - Praia de Belas, Porto Alegre - RS, 90110-150"/>
    <x v="8"/>
    <s v="LUIZA CAVALCANTI"/>
    <x v="1"/>
    <n v="51"/>
    <x v="1"/>
    <n v="5600"/>
    <d v="2022-12-02T00:00:00"/>
    <x v="0"/>
    <x v="8"/>
  </r>
  <r>
    <x v="0"/>
    <n v="4500"/>
    <n v="2"/>
    <s v="Rua Quinze de Novembro, 8 - Loja 301a Loja 301b - Centro, Niterói - RJ, 24020-125"/>
    <x v="1"/>
    <s v="WILLIAM MENDONÇA"/>
    <x v="0"/>
    <n v="28"/>
    <x v="2"/>
    <n v="9000"/>
    <d v="2022-08-12T00:00:00"/>
    <x v="0"/>
    <x v="7"/>
  </r>
  <r>
    <x v="8"/>
    <n v="1400"/>
    <n v="5"/>
    <s v="R. Visc. de Pirajá, 136 - Ipanema, Rio de Janeiro - RJ, 22410-000"/>
    <x v="1"/>
    <s v="CAROLINA MOTTA"/>
    <x v="1"/>
    <n v="29"/>
    <x v="2"/>
    <n v="7000"/>
    <d v="2022-12-22T00:00:00"/>
    <x v="0"/>
    <x v="8"/>
  </r>
  <r>
    <x v="23"/>
    <n v="1100"/>
    <n v="4"/>
    <s v="Rua Quinze de Novembro, 8 - Loja 301a Loja 301b - Centro, Niterói - RJ, 24020-125"/>
    <x v="1"/>
    <s v="CAROLINA FIGUEIREDO"/>
    <x v="1"/>
    <n v="57"/>
    <x v="1"/>
    <n v="4400"/>
    <d v="2022-05-15T00:00:00"/>
    <x v="0"/>
    <x v="11"/>
  </r>
  <r>
    <x v="16"/>
    <n v="1200"/>
    <n v="1"/>
    <s v="Av. Dom Luís, 500 - Aldeota, Fortaleza - CE, 60160-230"/>
    <x v="2"/>
    <s v="ANNA SILVA"/>
    <x v="1"/>
    <n v="42"/>
    <x v="0"/>
    <n v="1200"/>
    <d v="2022-10-08T00:00:00"/>
    <x v="0"/>
    <x v="6"/>
  </r>
  <r>
    <x v="5"/>
    <n v="1450"/>
    <n v="5"/>
    <s v="Shopping Barra - Av. Centenário, 2992 - Barra, Salvador - BA, 40155-150"/>
    <x v="5"/>
    <s v="BRUNO TEMPORAL"/>
    <x v="0"/>
    <n v="60"/>
    <x v="1"/>
    <n v="7250"/>
    <d v="2022-01-17T00:00:00"/>
    <x v="0"/>
    <x v="5"/>
  </r>
  <r>
    <x v="7"/>
    <n v="2600"/>
    <n v="3"/>
    <s v="R. Luíz Faccini, 212 - Centro, Guarulhos - SP, 07110-000"/>
    <x v="0"/>
    <s v="DAVID CAMPELO"/>
    <x v="0"/>
    <n v="29"/>
    <x v="2"/>
    <n v="7800"/>
    <d v="2022-11-04T00:00:00"/>
    <x v="0"/>
    <x v="10"/>
  </r>
  <r>
    <x v="6"/>
    <n v="6500"/>
    <n v="5"/>
    <s v="Av. Mal. Floriano Peixoto, 2248-2258 - Centro, Nova Iguaçu - RJ, 26210-000"/>
    <x v="1"/>
    <s v="THOMÁZ VANNIER"/>
    <x v="0"/>
    <n v="53"/>
    <x v="1"/>
    <n v="32500"/>
    <d v="2022-05-02T00:00:00"/>
    <x v="0"/>
    <x v="11"/>
  </r>
  <r>
    <x v="6"/>
    <n v="6500"/>
    <n v="3"/>
    <s v="Shopping Barra - Av. Centenário, 2992 - Barra, Salvador - BA, 40155-150"/>
    <x v="5"/>
    <s v="JOANA CALMON"/>
    <x v="1"/>
    <n v="27"/>
    <x v="2"/>
    <n v="19500"/>
    <d v="2022-09-19T00:00:00"/>
    <x v="0"/>
    <x v="1"/>
  </r>
  <r>
    <x v="0"/>
    <n v="4500"/>
    <n v="1"/>
    <s v="R. Dr. Antônio Castro Prado, 422 - Vila Rossi e Borchi, Campinas - SP, 13076-130"/>
    <x v="0"/>
    <s v="RAISSA PINHEIRO"/>
    <x v="1"/>
    <n v="76"/>
    <x v="1"/>
    <n v="4500"/>
    <d v="2022-01-28T00:00:00"/>
    <x v="0"/>
    <x v="5"/>
  </r>
  <r>
    <x v="16"/>
    <n v="1200"/>
    <n v="3"/>
    <s v="Av. Goiás Norte, 3.592 - quadra 2.1 - St. Mal. Rondon, Goiânia - GO, 74063-010"/>
    <x v="4"/>
    <s v="IVES PINHEIRO"/>
    <x v="1"/>
    <n v="36"/>
    <x v="0"/>
    <n v="3600"/>
    <d v="2022-05-24T00:00:00"/>
    <x v="0"/>
    <x v="11"/>
  </r>
  <r>
    <x v="13"/>
    <n v="1550"/>
    <n v="3"/>
    <s v="R. Teodoro Sampaio, 954 - Pinheiros, São Paulo - SP, 05406-050"/>
    <x v="0"/>
    <s v="MARINA MESQUITA"/>
    <x v="1"/>
    <n v="40"/>
    <x v="0"/>
    <n v="4650"/>
    <d v="2022-07-10T00:00:00"/>
    <x v="0"/>
    <x v="0"/>
  </r>
  <r>
    <x v="20"/>
    <n v="5500"/>
    <n v="3"/>
    <s v="Av. Barão Homem de Melo, 1389 - Nova Granada, Belo Horizonte - MG, 30431-425"/>
    <x v="7"/>
    <s v="VICTOR GOMES"/>
    <x v="0"/>
    <n v="71"/>
    <x v="1"/>
    <n v="16500"/>
    <d v="2022-03-01T00:00:00"/>
    <x v="0"/>
    <x v="9"/>
  </r>
  <r>
    <x v="20"/>
    <n v="5500"/>
    <n v="1"/>
    <s v="Shopping Barra - Av. Centenário, 2992 - Barra, Salvador - BA, 40155-150"/>
    <x v="5"/>
    <s v="PEDRO SENA"/>
    <x v="0"/>
    <n v="44"/>
    <x v="0"/>
    <n v="5500"/>
    <d v="2022-11-05T00:00:00"/>
    <x v="0"/>
    <x v="10"/>
  </r>
  <r>
    <x v="11"/>
    <n v="2000"/>
    <n v="1"/>
    <s v="R. Visc. de Pirajá, 136 - Ipanema, Rio de Janeiro - RJ, 22410-000"/>
    <x v="1"/>
    <s v="CAMILLA GUIMARÃES"/>
    <x v="1"/>
    <n v="57"/>
    <x v="1"/>
    <n v="2000"/>
    <d v="2022-01-07T00:00:00"/>
    <x v="0"/>
    <x v="5"/>
  </r>
  <r>
    <x v="2"/>
    <n v="1900"/>
    <n v="5"/>
    <s v="Av. Goiás Norte, 3.592 - quadra 2.1 - St. Mal. Rondon, Goiânia - GO, 74063-010"/>
    <x v="4"/>
    <s v="ARTHUR SOUZA"/>
    <x v="0"/>
    <n v="45"/>
    <x v="0"/>
    <n v="9500"/>
    <d v="2022-08-20T00:00:00"/>
    <x v="0"/>
    <x v="7"/>
  </r>
  <r>
    <x v="12"/>
    <n v="1500"/>
    <n v="4"/>
    <s v="Rua Quinze de Novembro, 8 - Loja 301a Loja 301b - Centro, Niterói - RJ, 24020-125"/>
    <x v="1"/>
    <s v="JOÃO RODRIGUES"/>
    <x v="0"/>
    <n v="59"/>
    <x v="1"/>
    <n v="6000"/>
    <d v="2022-10-17T00:00:00"/>
    <x v="0"/>
    <x v="6"/>
  </r>
  <r>
    <x v="21"/>
    <n v="5200"/>
    <n v="2"/>
    <s v="Rua Quinze de Novembro, 8 - Loja 301a Loja 301b - Centro, Niterói - RJ, 24020-125"/>
    <x v="1"/>
    <s v="LUIZA MARQUES"/>
    <x v="1"/>
    <n v="30"/>
    <x v="0"/>
    <n v="10400"/>
    <d v="2022-09-21T00:00:00"/>
    <x v="0"/>
    <x v="1"/>
  </r>
  <r>
    <x v="13"/>
    <n v="1550"/>
    <n v="5"/>
    <s v="R. Brasílio Itiberê, 3279 - Água Verde, Curitiba - PR, 80250-160"/>
    <x v="3"/>
    <s v="ELAINE SANTOS"/>
    <x v="1"/>
    <n v="53"/>
    <x v="1"/>
    <n v="7750"/>
    <d v="2022-10-03T00:00:00"/>
    <x v="0"/>
    <x v="6"/>
  </r>
  <r>
    <x v="18"/>
    <n v="2500"/>
    <n v="3"/>
    <s v="Rua Antônio Lumack do Monte, 203 - 1 - Boa Viagem, Recife - PE, 51020-350"/>
    <x v="6"/>
    <s v="RUBENS VALENTE"/>
    <x v="0"/>
    <n v="76"/>
    <x v="1"/>
    <n v="7500"/>
    <d v="2022-10-27T00:00:00"/>
    <x v="0"/>
    <x v="6"/>
  </r>
  <r>
    <x v="20"/>
    <n v="5500"/>
    <n v="3"/>
    <s v="Av. Goiás Norte, 3.592 - quadra 2.1 - St. Mal. Rondon, Goiânia - GO, 74063-010"/>
    <x v="4"/>
    <s v="LEANDRO FERREIRA"/>
    <x v="0"/>
    <n v="38"/>
    <x v="0"/>
    <n v="16500"/>
    <d v="2022-06-25T00:00:00"/>
    <x v="0"/>
    <x v="3"/>
  </r>
  <r>
    <x v="9"/>
    <n v="2000"/>
    <n v="5"/>
    <s v="Shopping Barra - Av. Centenário, 2992 - Barra, Salvador - BA, 40155-150"/>
    <x v="5"/>
    <s v="GIUSEPPE BHERING"/>
    <x v="0"/>
    <n v="53"/>
    <x v="1"/>
    <n v="10000"/>
    <d v="2022-01-21T00:00:00"/>
    <x v="0"/>
    <x v="5"/>
  </r>
  <r>
    <x v="3"/>
    <n v="1500"/>
    <n v="4"/>
    <s v="R. Teodoro Sampaio, 954 - Pinheiros, São Paulo - SP, 05406-050"/>
    <x v="0"/>
    <s v="PEDRO RONFINI"/>
    <x v="0"/>
    <n v="42"/>
    <x v="0"/>
    <n v="6000"/>
    <d v="2022-09-12T00:00:00"/>
    <x v="0"/>
    <x v="1"/>
  </r>
  <r>
    <x v="16"/>
    <n v="1200"/>
    <n v="2"/>
    <s v="Shopping Barra - Av. Centenário, 2992 - Barra, Salvador - BA, 40155-150"/>
    <x v="5"/>
    <s v="RAISSA SALES"/>
    <x v="1"/>
    <n v="46"/>
    <x v="0"/>
    <n v="2400"/>
    <d v="2022-05-01T00:00:00"/>
    <x v="0"/>
    <x v="11"/>
  </r>
  <r>
    <x v="6"/>
    <n v="6500"/>
    <n v="3"/>
    <s v="Av. Dom Luís, 500 - Aldeota, Fortaleza - CE, 60160-230"/>
    <x v="2"/>
    <s v="MATHEUS MIRANDA"/>
    <x v="0"/>
    <n v="58"/>
    <x v="1"/>
    <n v="19500"/>
    <d v="2022-08-23T00:00:00"/>
    <x v="0"/>
    <x v="7"/>
  </r>
  <r>
    <x v="8"/>
    <n v="1400"/>
    <n v="5"/>
    <s v="R. Dr. Antônio Castro Prado, 422 - Vila Rossi e Borchi, Campinas - SP, 13076-130"/>
    <x v="0"/>
    <s v="GABRIELLE SILVA"/>
    <x v="1"/>
    <n v="75"/>
    <x v="1"/>
    <n v="7000"/>
    <d v="2022-02-14T00:00:00"/>
    <x v="0"/>
    <x v="4"/>
  </r>
  <r>
    <x v="14"/>
    <n v="1500"/>
    <n v="5"/>
    <s v="R. Luíz Faccini, 212 - Centro, Guarulhos - SP, 07110-000"/>
    <x v="0"/>
    <s v="GABRIEL ALMEIDA"/>
    <x v="0"/>
    <n v="28"/>
    <x v="2"/>
    <n v="7500"/>
    <d v="2022-12-06T00:00:00"/>
    <x v="0"/>
    <x v="8"/>
  </r>
  <r>
    <x v="11"/>
    <n v="2000"/>
    <n v="4"/>
    <s v="Rua Antônio Lumack do Monte, 203 - 1 - Boa Viagem, Recife - PE, 51020-350"/>
    <x v="6"/>
    <s v="ALON PALMEIRA"/>
    <x v="0"/>
    <n v="34"/>
    <x v="0"/>
    <n v="8000"/>
    <d v="2022-05-23T00:00:00"/>
    <x v="0"/>
    <x v="11"/>
  </r>
  <r>
    <x v="16"/>
    <n v="1200"/>
    <n v="4"/>
    <s v="R. Dr. Antônio Castro Prado, 422 - Vila Rossi e Borchi, Campinas - SP, 13076-130"/>
    <x v="0"/>
    <s v="JOSÉ MARQUES"/>
    <x v="0"/>
    <n v="37"/>
    <x v="0"/>
    <n v="4800"/>
    <d v="2022-07-10T00:00:00"/>
    <x v="0"/>
    <x v="0"/>
  </r>
  <r>
    <x v="15"/>
    <n v="3000"/>
    <n v="4"/>
    <s v="R. Luíz Faccini, 212 - Centro, Guarulhos - SP, 07110-000"/>
    <x v="0"/>
    <s v="SANDY FIGUEIREDO"/>
    <x v="1"/>
    <n v="35"/>
    <x v="0"/>
    <n v="12000"/>
    <d v="2022-09-29T00:00:00"/>
    <x v="0"/>
    <x v="1"/>
  </r>
  <r>
    <x v="1"/>
    <n v="1400"/>
    <n v="3"/>
    <s v="Av. Dom Luís, 500 - Aldeota, Fortaleza - CE, 60160-230"/>
    <x v="2"/>
    <s v="PRISCILA CARVALHO"/>
    <x v="1"/>
    <n v="42"/>
    <x v="0"/>
    <n v="4200"/>
    <d v="2022-08-28T00:00:00"/>
    <x v="0"/>
    <x v="7"/>
  </r>
  <r>
    <x v="8"/>
    <n v="1400"/>
    <n v="1"/>
    <s v="R. Luíz Faccini, 212 - Centro, Guarulhos - SP, 07110-000"/>
    <x v="0"/>
    <s v="SANDY FIGUEIREDO"/>
    <x v="1"/>
    <n v="35"/>
    <x v="0"/>
    <n v="1400"/>
    <d v="2022-10-05T00:00:00"/>
    <x v="0"/>
    <x v="6"/>
  </r>
  <r>
    <x v="0"/>
    <n v="4500"/>
    <n v="1"/>
    <s v="Av. Mal. Floriano Peixoto, 2248-2258 - Centro, Nova Iguaçu - RJ, 26210-000"/>
    <x v="1"/>
    <s v="PLATINI HEIMLICH"/>
    <x v="0"/>
    <n v="48"/>
    <x v="0"/>
    <n v="4500"/>
    <d v="2022-08-07T00:00:00"/>
    <x v="0"/>
    <x v="7"/>
  </r>
  <r>
    <x v="19"/>
    <n v="1750"/>
    <n v="1"/>
    <s v="R. Luíz Faccini, 212 - Centro, Guarulhos - SP, 07110-000"/>
    <x v="0"/>
    <s v="GABRIELLE PORTO"/>
    <x v="1"/>
    <n v="40"/>
    <x v="0"/>
    <n v="1750"/>
    <d v="2022-11-01T00:00:00"/>
    <x v="0"/>
    <x v="10"/>
  </r>
  <r>
    <x v="1"/>
    <n v="1400"/>
    <n v="2"/>
    <s v="Shopping Barra - Av. Centenário, 2992 - Barra, Salvador - BA, 40155-150"/>
    <x v="5"/>
    <s v="CAIO CALDAS"/>
    <x v="0"/>
    <n v="33"/>
    <x v="0"/>
    <n v="2800"/>
    <d v="2022-10-15T00:00:00"/>
    <x v="0"/>
    <x v="6"/>
  </r>
  <r>
    <x v="21"/>
    <n v="5200"/>
    <n v="3"/>
    <s v="Av. Barão Homem de Melo, 1389 - Nova Granada, Belo Horizonte - MG, 30431-425"/>
    <x v="7"/>
    <s v="IVES TEIXEIRA"/>
    <x v="1"/>
    <n v="71"/>
    <x v="1"/>
    <n v="15600"/>
    <d v="2022-05-31T00:00:00"/>
    <x v="0"/>
    <x v="11"/>
  </r>
  <r>
    <x v="21"/>
    <n v="5200"/>
    <n v="5"/>
    <s v="R. Visc. de Pirajá, 136 - Ipanema, Rio de Janeiro - RJ, 22410-000"/>
    <x v="1"/>
    <s v="RENAN NASCIMENTO"/>
    <x v="0"/>
    <n v="37"/>
    <x v="0"/>
    <n v="26000"/>
    <d v="2022-10-05T00:00:00"/>
    <x v="0"/>
    <x v="6"/>
  </r>
  <r>
    <x v="11"/>
    <n v="2000"/>
    <n v="1"/>
    <s v="Rua Quinze de Novembro, 8 - Loja 301a Loja 301b - Centro, Niterói - RJ, 24020-125"/>
    <x v="1"/>
    <s v="DYKSON SILVA"/>
    <x v="0"/>
    <n v="38"/>
    <x v="0"/>
    <n v="2000"/>
    <d v="2022-10-04T00:00:00"/>
    <x v="0"/>
    <x v="6"/>
  </r>
  <r>
    <x v="13"/>
    <n v="1550"/>
    <n v="2"/>
    <s v="R. Luíz Faccini, 212 - Centro, Guarulhos - SP, 07110-000"/>
    <x v="0"/>
    <s v="ANA CARVALHO"/>
    <x v="1"/>
    <n v="61"/>
    <x v="1"/>
    <n v="3100"/>
    <d v="2022-06-01T00:00:00"/>
    <x v="0"/>
    <x v="3"/>
  </r>
  <r>
    <x v="5"/>
    <n v="1450"/>
    <n v="1"/>
    <s v="R. Luíz Faccini, 212 - Centro, Guarulhos - SP, 07110-000"/>
    <x v="0"/>
    <s v="PATRICK SILVA"/>
    <x v="0"/>
    <n v="57"/>
    <x v="1"/>
    <n v="1450"/>
    <d v="2022-04-01T00:00:00"/>
    <x v="0"/>
    <x v="2"/>
  </r>
  <r>
    <x v="4"/>
    <n v="700"/>
    <n v="4"/>
    <s v="Av. Goiás Norte, 3.592 - quadra 2.1 - St. Mal. Rondon, Goiânia - GO, 74063-010"/>
    <x v="4"/>
    <s v="GABRIELLE VASCONCELOS"/>
    <x v="1"/>
    <n v="43"/>
    <x v="0"/>
    <n v="2800"/>
    <d v="2022-01-06T00:00:00"/>
    <x v="0"/>
    <x v="5"/>
  </r>
  <r>
    <x v="14"/>
    <n v="1500"/>
    <n v="1"/>
    <s v="R. Brasílio Itiberê, 3279 - Água Verde, Curitiba - PR, 80250-160"/>
    <x v="3"/>
    <s v="BRUNO OLIVEIRA"/>
    <x v="0"/>
    <n v="76"/>
    <x v="1"/>
    <n v="1500"/>
    <d v="2022-04-03T00:00:00"/>
    <x v="0"/>
    <x v="2"/>
  </r>
  <r>
    <x v="12"/>
    <n v="1500"/>
    <n v="3"/>
    <s v="Av. Barão Homem de Melo, 1389 - Nova Granada, Belo Horizonte - MG, 30431-425"/>
    <x v="7"/>
    <s v="ANA SOLEDADE"/>
    <x v="1"/>
    <n v="76"/>
    <x v="1"/>
    <n v="4500"/>
    <d v="2022-02-05T00:00:00"/>
    <x v="0"/>
    <x v="4"/>
  </r>
  <r>
    <x v="22"/>
    <n v="2400"/>
    <n v="3"/>
    <s v="Rua Quinze de Novembro, 8 - Loja 301a Loja 301b - Centro, Niterói - RJ, 24020-125"/>
    <x v="1"/>
    <s v="CAMILLE SILVA"/>
    <x v="1"/>
    <n v="73"/>
    <x v="1"/>
    <n v="7200"/>
    <d v="2022-10-09T00:00:00"/>
    <x v="0"/>
    <x v="6"/>
  </r>
  <r>
    <x v="5"/>
    <n v="1450"/>
    <n v="1"/>
    <s v="Av. Dom Luís, 500 - Aldeota, Fortaleza - CE, 60160-230"/>
    <x v="2"/>
    <s v="DAVID VASCONCELOS"/>
    <x v="0"/>
    <n v="47"/>
    <x v="0"/>
    <n v="1450"/>
    <d v="2022-03-05T00:00:00"/>
    <x v="0"/>
    <x v="9"/>
  </r>
  <r>
    <x v="8"/>
    <n v="1400"/>
    <n v="2"/>
    <s v="Av. Goiás Norte, 3.592 - quadra 2.1 - St. Mal. Rondon, Goiânia - GO, 74063-010"/>
    <x v="4"/>
    <s v="RODRIGO SILVA"/>
    <x v="0"/>
    <n v="31"/>
    <x v="0"/>
    <n v="2800"/>
    <d v="2022-04-16T00:00:00"/>
    <x v="0"/>
    <x v="2"/>
  </r>
  <r>
    <x v="3"/>
    <n v="1500"/>
    <n v="5"/>
    <s v="R. Luíz Faccini, 212 - Centro, Guarulhos - SP, 07110-000"/>
    <x v="0"/>
    <s v="JEFERSON SONE"/>
    <x v="0"/>
    <n v="46"/>
    <x v="0"/>
    <n v="7500"/>
    <d v="2022-05-28T00:00:00"/>
    <x v="0"/>
    <x v="11"/>
  </r>
  <r>
    <x v="7"/>
    <n v="2600"/>
    <n v="2"/>
    <s v="R. Brasílio Itiberê, 3279 - Água Verde, Curitiba - PR, 80250-160"/>
    <x v="3"/>
    <s v="ROGER ROSA"/>
    <x v="0"/>
    <n v="72"/>
    <x v="1"/>
    <n v="5200"/>
    <d v="2022-05-26T00:00:00"/>
    <x v="0"/>
    <x v="11"/>
  </r>
  <r>
    <x v="12"/>
    <n v="1500"/>
    <n v="3"/>
    <s v="Rua Quinze de Novembro, 8 - Loja 301a Loja 301b - Centro, Niterói - RJ, 24020-125"/>
    <x v="1"/>
    <s v="BRUNO SALOMÃO"/>
    <x v="0"/>
    <n v="53"/>
    <x v="1"/>
    <n v="4500"/>
    <d v="2022-08-08T00:00:00"/>
    <x v="0"/>
    <x v="7"/>
  </r>
  <r>
    <x v="16"/>
    <n v="1200"/>
    <n v="2"/>
    <s v="R. Teodoro Sampaio, 954 - Pinheiros, São Paulo - SP, 05406-050"/>
    <x v="0"/>
    <s v="ROBERTO MATTOS"/>
    <x v="0"/>
    <n v="76"/>
    <x v="1"/>
    <n v="2400"/>
    <d v="2022-03-07T00:00:00"/>
    <x v="0"/>
    <x v="9"/>
  </r>
  <r>
    <x v="7"/>
    <n v="2600"/>
    <n v="1"/>
    <s v="R. Luíz Faccini, 212 - Centro, Guarulhos - SP, 07110-000"/>
    <x v="0"/>
    <s v="LÍVIA TANAKA"/>
    <x v="1"/>
    <n v="48"/>
    <x v="0"/>
    <n v="2600"/>
    <d v="2022-06-09T00:00:00"/>
    <x v="0"/>
    <x v="3"/>
  </r>
  <r>
    <x v="14"/>
    <n v="1500"/>
    <n v="3"/>
    <s v="Rua Quinze de Novembro, 8 - Loja 301a Loja 301b - Centro, Niterói - RJ, 24020-125"/>
    <x v="1"/>
    <s v="CAMILLE SILVA"/>
    <x v="1"/>
    <n v="73"/>
    <x v="1"/>
    <n v="4500"/>
    <d v="2022-02-02T00:00:00"/>
    <x v="0"/>
    <x v="4"/>
  </r>
  <r>
    <x v="20"/>
    <n v="5500"/>
    <n v="2"/>
    <s v="R. Visc. de Pirajá, 136 - Ipanema, Rio de Janeiro - RJ, 22410-000"/>
    <x v="1"/>
    <s v="CAROLINA MOTTA"/>
    <x v="1"/>
    <n v="29"/>
    <x v="2"/>
    <n v="11000"/>
    <d v="2022-05-28T00:00:00"/>
    <x v="0"/>
    <x v="11"/>
  </r>
  <r>
    <x v="12"/>
    <n v="1500"/>
    <n v="4"/>
    <s v="Av. Mal. Floriano Peixoto, 2248-2258 - Centro, Nova Iguaçu - RJ, 26210-000"/>
    <x v="1"/>
    <s v="MANUELA MEREGE"/>
    <x v="1"/>
    <n v="25"/>
    <x v="2"/>
    <n v="6000"/>
    <d v="2022-08-27T00:00:00"/>
    <x v="0"/>
    <x v="7"/>
  </r>
  <r>
    <x v="18"/>
    <n v="2500"/>
    <n v="2"/>
    <s v="R. Luíz Faccini, 212 - Centro, Guarulhos - SP, 07110-000"/>
    <x v="0"/>
    <s v="JOÃO FONSECA"/>
    <x v="0"/>
    <n v="34"/>
    <x v="0"/>
    <n v="5000"/>
    <d v="2022-09-29T00:00:00"/>
    <x v="0"/>
    <x v="1"/>
  </r>
  <r>
    <x v="8"/>
    <n v="1400"/>
    <n v="2"/>
    <s v="R. Brasílio Itiberê, 3279 - Água Verde, Curitiba - PR, 80250-160"/>
    <x v="3"/>
    <s v="ROGER ROSA"/>
    <x v="0"/>
    <n v="72"/>
    <x v="1"/>
    <n v="2800"/>
    <d v="2022-02-25T00:00:00"/>
    <x v="0"/>
    <x v="4"/>
  </r>
  <r>
    <x v="7"/>
    <n v="2600"/>
    <n v="3"/>
    <s v="Av. Goiás Norte, 3.592 - quadra 2.1 - St. Mal. Rondon, Goiânia - GO, 74063-010"/>
    <x v="4"/>
    <s v="LORENA CARVALHO"/>
    <x v="1"/>
    <n v="55"/>
    <x v="1"/>
    <n v="7800"/>
    <d v="2022-06-27T00:00:00"/>
    <x v="0"/>
    <x v="3"/>
  </r>
  <r>
    <x v="6"/>
    <n v="6500"/>
    <n v="1"/>
    <s v="R. Teodoro Sampaio, 954 - Pinheiros, São Paulo - SP, 05406-050"/>
    <x v="0"/>
    <s v="CAROLINA SANTOS"/>
    <x v="1"/>
    <n v="72"/>
    <x v="1"/>
    <n v="6500"/>
    <d v="2022-01-07T00:00:00"/>
    <x v="0"/>
    <x v="5"/>
  </r>
  <r>
    <x v="16"/>
    <n v="1200"/>
    <n v="5"/>
    <s v="Rua Antônio Lumack do Monte, 203 - 1 - Boa Viagem, Recife - PE, 51020-350"/>
    <x v="6"/>
    <s v="GLENDA SANTOS"/>
    <x v="1"/>
    <n v="27"/>
    <x v="2"/>
    <n v="6000"/>
    <d v="2022-01-20T00:00:00"/>
    <x v="0"/>
    <x v="5"/>
  </r>
  <r>
    <x v="16"/>
    <n v="1200"/>
    <n v="1"/>
    <s v="R. Luíz Faccini, 212 - Centro, Guarulhos - SP, 07110-000"/>
    <x v="0"/>
    <s v="THIAGO VELOSO"/>
    <x v="0"/>
    <n v="44"/>
    <x v="0"/>
    <n v="1200"/>
    <d v="2022-12-17T00:00:00"/>
    <x v="0"/>
    <x v="8"/>
  </r>
  <r>
    <x v="0"/>
    <n v="4500"/>
    <n v="5"/>
    <s v="Rua Quinze de Novembro, 8 - Loja 301a Loja 301b - Centro, Niterói - RJ, 24020-125"/>
    <x v="1"/>
    <s v="FERNANDA BHERING"/>
    <x v="1"/>
    <n v="41"/>
    <x v="0"/>
    <n v="22500"/>
    <d v="2022-09-11T00:00:00"/>
    <x v="0"/>
    <x v="1"/>
  </r>
  <r>
    <x v="19"/>
    <n v="1750"/>
    <n v="5"/>
    <s v="R. Brasílio Itiberê, 3279 - Água Verde, Curitiba - PR, 80250-160"/>
    <x v="3"/>
    <s v="MATHEUS DELGADO"/>
    <x v="0"/>
    <n v="44"/>
    <x v="0"/>
    <n v="8750"/>
    <d v="2022-09-02T00:00:00"/>
    <x v="0"/>
    <x v="1"/>
  </r>
  <r>
    <x v="3"/>
    <n v="1500"/>
    <n v="3"/>
    <s v="R. Teodoro Sampaio, 954 - Pinheiros, São Paulo - SP, 05406-050"/>
    <x v="0"/>
    <s v="JÉSSICA TEIXEIRA"/>
    <x v="1"/>
    <n v="33"/>
    <x v="0"/>
    <n v="4500"/>
    <d v="2022-11-15T00:00:00"/>
    <x v="0"/>
    <x v="10"/>
  </r>
  <r>
    <x v="2"/>
    <n v="1900"/>
    <n v="1"/>
    <s v="Rua Antônio Lumack do Monte, 203 - 1 - Boa Viagem, Recife - PE, 51020-350"/>
    <x v="6"/>
    <s v="LUCAS JUNIOR"/>
    <x v="0"/>
    <n v="35"/>
    <x v="0"/>
    <n v="1900"/>
    <d v="2022-03-06T00:00:00"/>
    <x v="0"/>
    <x v="9"/>
  </r>
  <r>
    <x v="14"/>
    <n v="1500"/>
    <n v="2"/>
    <s v="R. Luíz Faccini, 212 - Centro, Guarulhos - SP, 07110-000"/>
    <x v="0"/>
    <s v="PEDRO RODRIGUES"/>
    <x v="0"/>
    <n v="41"/>
    <x v="0"/>
    <n v="3000"/>
    <d v="2022-11-18T00:00:00"/>
    <x v="0"/>
    <x v="10"/>
  </r>
  <r>
    <x v="6"/>
    <n v="6500"/>
    <n v="2"/>
    <s v="Av. Mal. Floriano Peixoto, 2248-2258 - Centro, Nova Iguaçu - RJ, 26210-000"/>
    <x v="1"/>
    <s v="JUAN FERNANDES"/>
    <x v="0"/>
    <n v="40"/>
    <x v="0"/>
    <n v="13000"/>
    <d v="2022-03-05T00:00:00"/>
    <x v="0"/>
    <x v="9"/>
  </r>
  <r>
    <x v="22"/>
    <n v="2400"/>
    <n v="2"/>
    <s v="R. Luíz Faccini, 212 - Centro, Guarulhos - SP, 07110-000"/>
    <x v="0"/>
    <s v="JEFERSON SONE"/>
    <x v="0"/>
    <n v="46"/>
    <x v="0"/>
    <n v="4800"/>
    <d v="2022-06-01T00:00:00"/>
    <x v="0"/>
    <x v="3"/>
  </r>
  <r>
    <x v="12"/>
    <n v="1500"/>
    <n v="1"/>
    <s v="R. Brasílio Itiberê, 3279 - Água Verde, Curitiba - PR, 80250-160"/>
    <x v="3"/>
    <s v="MARIANA BAPTISTA"/>
    <x v="1"/>
    <n v="34"/>
    <x v="0"/>
    <n v="1500"/>
    <d v="2022-05-04T00:00:00"/>
    <x v="0"/>
    <x v="11"/>
  </r>
  <r>
    <x v="1"/>
    <n v="1400"/>
    <n v="3"/>
    <s v="R. Luíz Faccini, 212 - Centro, Guarulhos - SP, 07110-000"/>
    <x v="0"/>
    <s v="BEATRIZ RODRIGUES"/>
    <x v="1"/>
    <n v="44"/>
    <x v="0"/>
    <n v="4200"/>
    <d v="2022-06-24T00:00:00"/>
    <x v="0"/>
    <x v="3"/>
  </r>
  <r>
    <x v="1"/>
    <n v="1400"/>
    <n v="3"/>
    <s v="R. Luíz Faccini, 212 - Centro, Guarulhos - SP, 07110-000"/>
    <x v="0"/>
    <s v="LORENA KOHN"/>
    <x v="1"/>
    <n v="60"/>
    <x v="1"/>
    <n v="4200"/>
    <d v="2022-01-02T00:00:00"/>
    <x v="0"/>
    <x v="5"/>
  </r>
  <r>
    <x v="21"/>
    <n v="5200"/>
    <n v="2"/>
    <s v="Av. Goiás Norte, 3.592 - quadra 2.1 - St. Mal. Rondon, Goiânia - GO, 74063-010"/>
    <x v="4"/>
    <s v="JOÃO GUADAGNINO"/>
    <x v="0"/>
    <n v="75"/>
    <x v="1"/>
    <n v="10400"/>
    <d v="2022-04-03T00:00:00"/>
    <x v="0"/>
    <x v="2"/>
  </r>
  <r>
    <x v="9"/>
    <n v="2000"/>
    <n v="3"/>
    <s v="Av. Barão Homem de Melo, 1389 - Nova Granada, Belo Horizonte - MG, 30431-425"/>
    <x v="7"/>
    <s v="CAROLINE PINTO"/>
    <x v="1"/>
    <n v="66"/>
    <x v="1"/>
    <n v="6000"/>
    <d v="2022-11-28T00:00:00"/>
    <x v="0"/>
    <x v="10"/>
  </r>
  <r>
    <x v="19"/>
    <n v="1750"/>
    <n v="1"/>
    <s v="R. Luíz Faccini, 212 - Centro, Guarulhos - SP, 07110-000"/>
    <x v="0"/>
    <s v="ADRIELLE VIEIRA"/>
    <x v="1"/>
    <n v="49"/>
    <x v="0"/>
    <n v="1750"/>
    <d v="2022-02-04T00:00:00"/>
    <x v="0"/>
    <x v="4"/>
  </r>
  <r>
    <x v="18"/>
    <n v="2500"/>
    <n v="5"/>
    <s v="R. Dr. Antônio Castro Prado, 422 - Vila Rossi e Borchi, Campinas - SP, 13076-130"/>
    <x v="0"/>
    <s v="LUÍZA MELO"/>
    <x v="1"/>
    <n v="66"/>
    <x v="1"/>
    <n v="12500"/>
    <d v="2022-02-23T00:00:00"/>
    <x v="0"/>
    <x v="4"/>
  </r>
  <r>
    <x v="21"/>
    <n v="5200"/>
    <n v="4"/>
    <s v="Av. Mal. Floriano Peixoto, 2248-2258 - Centro, Nova Iguaçu - RJ, 26210-000"/>
    <x v="1"/>
    <s v="JOÃO TABET"/>
    <x v="0"/>
    <n v="44"/>
    <x v="0"/>
    <n v="20800"/>
    <d v="2022-04-13T00:00:00"/>
    <x v="0"/>
    <x v="2"/>
  </r>
  <r>
    <x v="18"/>
    <n v="2500"/>
    <n v="1"/>
    <s v="R. Luíz Faccini, 212 - Centro, Guarulhos - SP, 07110-000"/>
    <x v="0"/>
    <s v="FELIPE MELLO"/>
    <x v="0"/>
    <n v="57"/>
    <x v="1"/>
    <n v="2500"/>
    <d v="2022-06-02T00:00:00"/>
    <x v="0"/>
    <x v="3"/>
  </r>
  <r>
    <x v="2"/>
    <n v="1900"/>
    <n v="4"/>
    <s v="Rua Antônio Lumack do Monte, 203 - 1 - Boa Viagem, Recife - PE, 51020-350"/>
    <x v="6"/>
    <s v="GABRIELLE FIGUEIREDO"/>
    <x v="1"/>
    <n v="49"/>
    <x v="0"/>
    <n v="7600"/>
    <d v="2022-09-06T00:00:00"/>
    <x v="0"/>
    <x v="1"/>
  </r>
  <r>
    <x v="4"/>
    <n v="700"/>
    <n v="4"/>
    <s v="Av. Goiás Norte, 3.592 - quadra 2.1 - St. Mal. Rondon, Goiânia - GO, 74063-010"/>
    <x v="4"/>
    <s v="JULIA LEITE"/>
    <x v="1"/>
    <n v="36"/>
    <x v="0"/>
    <n v="2800"/>
    <d v="2022-11-12T00:00:00"/>
    <x v="0"/>
    <x v="10"/>
  </r>
  <r>
    <x v="10"/>
    <n v="750"/>
    <n v="4"/>
    <s v="R. Visc. de Pirajá, 136 - Ipanema, Rio de Janeiro - RJ, 22410-000"/>
    <x v="1"/>
    <s v="SILVIO PROVENZANO"/>
    <x v="0"/>
    <n v="37"/>
    <x v="0"/>
    <n v="3000"/>
    <d v="2022-10-30T00:00:00"/>
    <x v="0"/>
    <x v="6"/>
  </r>
  <r>
    <x v="23"/>
    <n v="1100"/>
    <n v="2"/>
    <s v="Shopping Barra - Av. Centenário, 2992 - Barra, Salvador - BA, 40155-150"/>
    <x v="5"/>
    <s v="AMANDA FELIPPE"/>
    <x v="1"/>
    <n v="32"/>
    <x v="0"/>
    <n v="2200"/>
    <d v="2022-11-01T00:00:00"/>
    <x v="0"/>
    <x v="10"/>
  </r>
  <r>
    <x v="20"/>
    <n v="5500"/>
    <n v="1"/>
    <s v="Av. Dom Luís, 500 - Aldeota, Fortaleza - CE, 60160-230"/>
    <x v="2"/>
    <s v="KARINA CAMARA"/>
    <x v="1"/>
    <n v="63"/>
    <x v="1"/>
    <n v="5500"/>
    <d v="2022-09-18T00:00:00"/>
    <x v="0"/>
    <x v="1"/>
  </r>
  <r>
    <x v="11"/>
    <n v="2000"/>
    <n v="1"/>
    <s v="Av. Borges de Medeiros, 3120 - Praia de Belas, Porto Alegre - RS, 90110-150"/>
    <x v="8"/>
    <s v="MATHEUS SAPIR"/>
    <x v="0"/>
    <n v="70"/>
    <x v="1"/>
    <n v="2000"/>
    <d v="2022-08-12T00:00:00"/>
    <x v="0"/>
    <x v="7"/>
  </r>
  <r>
    <x v="15"/>
    <n v="3000"/>
    <n v="1"/>
    <s v="R. Luíz Faccini, 212 - Centro, Guarulhos - SP, 07110-000"/>
    <x v="0"/>
    <s v="GABRIELA FERNANDES"/>
    <x v="1"/>
    <n v="46"/>
    <x v="0"/>
    <n v="3000"/>
    <d v="2022-09-23T00:00:00"/>
    <x v="0"/>
    <x v="1"/>
  </r>
  <r>
    <x v="19"/>
    <n v="1750"/>
    <n v="1"/>
    <s v="Av. Dom Luís, 500 - Aldeota, Fortaleza - CE, 60160-230"/>
    <x v="2"/>
    <s v="FABIO SEPÚLVEDA"/>
    <x v="0"/>
    <n v="57"/>
    <x v="1"/>
    <n v="1750"/>
    <d v="2022-07-18T00:00:00"/>
    <x v="0"/>
    <x v="0"/>
  </r>
  <r>
    <x v="12"/>
    <n v="1500"/>
    <n v="5"/>
    <s v="Rua Quinze de Novembro, 8 - Loja 301a Loja 301b - Centro, Niterói - RJ, 24020-125"/>
    <x v="1"/>
    <s v="DYKSON SILVA"/>
    <x v="0"/>
    <n v="38"/>
    <x v="0"/>
    <n v="7500"/>
    <d v="2022-10-04T00:00:00"/>
    <x v="0"/>
    <x v="6"/>
  </r>
  <r>
    <x v="12"/>
    <n v="1500"/>
    <n v="2"/>
    <s v="Av. Goiás Norte, 3.592 - quadra 2.1 - St. Mal. Rondon, Goiânia - GO, 74063-010"/>
    <x v="4"/>
    <s v="WEN SANTOS"/>
    <x v="1"/>
    <n v="52"/>
    <x v="1"/>
    <n v="3000"/>
    <d v="2022-08-13T00:00:00"/>
    <x v="0"/>
    <x v="7"/>
  </r>
  <r>
    <x v="7"/>
    <n v="2600"/>
    <n v="2"/>
    <s v="R. Brasílio Itiberê, 3279 - Água Verde, Curitiba - PR, 80250-160"/>
    <x v="3"/>
    <s v="IZABEL MIURA"/>
    <x v="1"/>
    <n v="72"/>
    <x v="1"/>
    <n v="5200"/>
    <d v="2022-07-03T00:00:00"/>
    <x v="0"/>
    <x v="0"/>
  </r>
  <r>
    <x v="9"/>
    <n v="2000"/>
    <n v="2"/>
    <s v="R. Visc. de Pirajá, 136 - Ipanema, Rio de Janeiro - RJ, 22410-000"/>
    <x v="1"/>
    <s v="ISABELLE FIRMINO"/>
    <x v="1"/>
    <n v="58"/>
    <x v="1"/>
    <n v="4000"/>
    <d v="2022-08-06T00:00:00"/>
    <x v="0"/>
    <x v="7"/>
  </r>
  <r>
    <x v="5"/>
    <n v="1450"/>
    <n v="1"/>
    <s v="R. Brasílio Itiberê, 3279 - Água Verde, Curitiba - PR, 80250-160"/>
    <x v="3"/>
    <s v="JONATAS ESSABER"/>
    <x v="0"/>
    <n v="67"/>
    <x v="1"/>
    <n v="1450"/>
    <d v="2022-09-21T00:00:00"/>
    <x v="0"/>
    <x v="1"/>
  </r>
  <r>
    <x v="4"/>
    <n v="700"/>
    <n v="5"/>
    <s v="R. Luíz Faccini, 212 - Centro, Guarulhos - SP, 07110-000"/>
    <x v="0"/>
    <s v="PEDRO RODRIGUES"/>
    <x v="0"/>
    <n v="41"/>
    <x v="0"/>
    <n v="3500"/>
    <d v="2022-03-27T00:00:00"/>
    <x v="0"/>
    <x v="9"/>
  </r>
  <r>
    <x v="19"/>
    <n v="1750"/>
    <n v="3"/>
    <s v="Av. Mal. Floriano Peixoto, 2248-2258 - Centro, Nova Iguaçu - RJ, 26210-000"/>
    <x v="1"/>
    <s v="RAÍZA LOPES"/>
    <x v="1"/>
    <n v="43"/>
    <x v="0"/>
    <n v="5250"/>
    <d v="2022-01-24T00:00:00"/>
    <x v="0"/>
    <x v="5"/>
  </r>
  <r>
    <x v="8"/>
    <n v="1400"/>
    <n v="3"/>
    <s v="R. Dr. Antônio Castro Prado, 422 - Vila Rossi e Borchi, Campinas - SP, 13076-130"/>
    <x v="0"/>
    <s v="LETICIA MESQUITA"/>
    <x v="1"/>
    <n v="66"/>
    <x v="1"/>
    <n v="4200"/>
    <d v="2022-09-29T00:00:00"/>
    <x v="0"/>
    <x v="1"/>
  </r>
  <r>
    <x v="22"/>
    <n v="2400"/>
    <n v="2"/>
    <s v="R. Visc. de Pirajá, 136 - Ipanema, Rio de Janeiro - RJ, 22410-000"/>
    <x v="1"/>
    <s v="CAROLINA RACHIDE"/>
    <x v="1"/>
    <n v="45"/>
    <x v="0"/>
    <n v="4800"/>
    <d v="2022-12-27T00:00:00"/>
    <x v="0"/>
    <x v="8"/>
  </r>
  <r>
    <x v="10"/>
    <n v="750"/>
    <n v="1"/>
    <s v="Shopping Barra - Av. Centenário, 2992 - Barra, Salvador - BA, 40155-150"/>
    <x v="5"/>
    <s v="GABRIELLE VIRÍSSIMO"/>
    <x v="1"/>
    <n v="26"/>
    <x v="2"/>
    <n v="750"/>
    <d v="2022-12-10T00:00:00"/>
    <x v="0"/>
    <x v="8"/>
  </r>
  <r>
    <x v="22"/>
    <n v="2400"/>
    <n v="3"/>
    <s v="Rua Quinze de Novembro, 8 - Loja 301a Loja 301b - Centro, Niterói - RJ, 24020-125"/>
    <x v="1"/>
    <s v="NATALIA ACCIOLY"/>
    <x v="1"/>
    <n v="28"/>
    <x v="2"/>
    <n v="7200"/>
    <d v="2022-07-27T00:00:00"/>
    <x v="0"/>
    <x v="0"/>
  </r>
  <r>
    <x v="20"/>
    <n v="5500"/>
    <n v="4"/>
    <s v="Shopping Barra - Av. Centenário, 2992 - Barra, Salvador - BA, 40155-150"/>
    <x v="5"/>
    <s v="JEFERSON COSTA"/>
    <x v="0"/>
    <n v="41"/>
    <x v="0"/>
    <n v="22000"/>
    <d v="2022-07-22T00:00:00"/>
    <x v="0"/>
    <x v="0"/>
  </r>
  <r>
    <x v="8"/>
    <n v="1400"/>
    <n v="3"/>
    <s v="R. Teodoro Sampaio, 954 - Pinheiros, São Paulo - SP, 05406-050"/>
    <x v="0"/>
    <s v="GABRIEL ASSIS"/>
    <x v="0"/>
    <n v="44"/>
    <x v="0"/>
    <n v="4200"/>
    <d v="2022-02-20T00:00:00"/>
    <x v="0"/>
    <x v="4"/>
  </r>
  <r>
    <x v="14"/>
    <n v="1500"/>
    <n v="1"/>
    <s v="R. Visc. de Pirajá, 136 - Ipanema, Rio de Janeiro - RJ, 22410-000"/>
    <x v="1"/>
    <s v="REBECA MANHÃES"/>
    <x v="1"/>
    <n v="29"/>
    <x v="2"/>
    <n v="1500"/>
    <d v="2022-07-09T00:00:00"/>
    <x v="0"/>
    <x v="0"/>
  </r>
  <r>
    <x v="8"/>
    <n v="1400"/>
    <n v="2"/>
    <s v="Av. Borges de Medeiros, 3120 - Praia de Belas, Porto Alegre - RS, 90110-150"/>
    <x v="8"/>
    <s v="DIEGO MELLO"/>
    <x v="0"/>
    <n v="38"/>
    <x v="0"/>
    <n v="2800"/>
    <d v="2022-02-03T00:00:00"/>
    <x v="0"/>
    <x v="4"/>
  </r>
  <r>
    <x v="1"/>
    <n v="1400"/>
    <n v="1"/>
    <s v="Av. Goiás Norte, 3.592 - quadra 2.1 - St. Mal. Rondon, Goiânia - GO, 74063-010"/>
    <x v="4"/>
    <s v="CAROLINA COSTA"/>
    <x v="1"/>
    <n v="44"/>
    <x v="0"/>
    <n v="1400"/>
    <d v="2022-11-07T00:00:00"/>
    <x v="0"/>
    <x v="10"/>
  </r>
  <r>
    <x v="4"/>
    <n v="700"/>
    <n v="4"/>
    <s v="R. Dr. Antônio Castro Prado, 422 - Vila Rossi e Borchi, Campinas - SP, 13076-130"/>
    <x v="0"/>
    <s v="VINÍCIUS ANTUNES"/>
    <x v="0"/>
    <n v="40"/>
    <x v="0"/>
    <n v="2800"/>
    <d v="2022-11-05T00:00:00"/>
    <x v="0"/>
    <x v="10"/>
  </r>
  <r>
    <x v="4"/>
    <n v="700"/>
    <n v="2"/>
    <s v="R. Dr. Antônio Castro Prado, 422 - Vila Rossi e Borchi, Campinas - SP, 13076-130"/>
    <x v="0"/>
    <s v="CARLOS ARAUJO"/>
    <x v="0"/>
    <n v="61"/>
    <x v="1"/>
    <n v="1400"/>
    <d v="2022-09-04T00:00:00"/>
    <x v="0"/>
    <x v="1"/>
  </r>
  <r>
    <x v="15"/>
    <n v="3000"/>
    <n v="5"/>
    <s v="Shopping Barra - Av. Centenário, 2992 - Barra, Salvador - BA, 40155-150"/>
    <x v="5"/>
    <s v="PAOLA ABREU"/>
    <x v="1"/>
    <n v="31"/>
    <x v="0"/>
    <n v="15000"/>
    <d v="2022-08-29T00:00:00"/>
    <x v="0"/>
    <x v="7"/>
  </r>
  <r>
    <x v="16"/>
    <n v="1200"/>
    <n v="4"/>
    <s v="R. Visc. de Pirajá, 136 - Ipanema, Rio de Janeiro - RJ, 22410-000"/>
    <x v="1"/>
    <s v="BEATRIZ SILVA"/>
    <x v="1"/>
    <n v="45"/>
    <x v="0"/>
    <n v="4800"/>
    <d v="2022-06-15T00:00:00"/>
    <x v="0"/>
    <x v="3"/>
  </r>
  <r>
    <x v="18"/>
    <n v="2500"/>
    <n v="5"/>
    <s v="R. Brasílio Itiberê, 3279 - Água Verde, Curitiba - PR, 80250-160"/>
    <x v="3"/>
    <s v="LEANDRO MELO"/>
    <x v="0"/>
    <n v="27"/>
    <x v="2"/>
    <n v="12500"/>
    <d v="2022-02-03T00:00:00"/>
    <x v="0"/>
    <x v="4"/>
  </r>
  <r>
    <x v="4"/>
    <n v="700"/>
    <n v="2"/>
    <s v="Av. Dom Luís, 500 - Aldeota, Fortaleza - CE, 60160-230"/>
    <x v="2"/>
    <s v="WEN BRAGA"/>
    <x v="1"/>
    <n v="67"/>
    <x v="1"/>
    <n v="1400"/>
    <d v="2022-12-14T00:00:00"/>
    <x v="0"/>
    <x v="8"/>
  </r>
  <r>
    <x v="21"/>
    <n v="5200"/>
    <n v="2"/>
    <s v="Av. Barão Homem de Melo, 1389 - Nova Granada, Belo Horizonte - MG, 30431-425"/>
    <x v="7"/>
    <s v="DANIELA ROSA"/>
    <x v="1"/>
    <n v="67"/>
    <x v="1"/>
    <n v="10400"/>
    <d v="2022-01-13T00:00:00"/>
    <x v="0"/>
    <x v="5"/>
  </r>
  <r>
    <x v="14"/>
    <n v="1500"/>
    <n v="1"/>
    <s v="Shopping Barra - Av. Centenário, 2992 - Barra, Salvador - BA, 40155-150"/>
    <x v="5"/>
    <s v="GABRIELA MELLO"/>
    <x v="1"/>
    <n v="58"/>
    <x v="1"/>
    <n v="1500"/>
    <d v="2022-03-10T00:00:00"/>
    <x v="0"/>
    <x v="9"/>
  </r>
  <r>
    <x v="15"/>
    <n v="3000"/>
    <n v="4"/>
    <s v="Av. Dom Luís, 500 - Aldeota, Fortaleza - CE, 60160-230"/>
    <x v="2"/>
    <s v="CAMILA BASTAZINI"/>
    <x v="1"/>
    <n v="40"/>
    <x v="0"/>
    <n v="12000"/>
    <d v="2022-02-11T00:00:00"/>
    <x v="0"/>
    <x v="4"/>
  </r>
  <r>
    <x v="13"/>
    <n v="1550"/>
    <n v="2"/>
    <s v="Av. Borges de Medeiros, 3120 - Praia de Belas, Porto Alegre - RS, 90110-150"/>
    <x v="8"/>
    <s v="PAULA ISBELLE"/>
    <x v="1"/>
    <n v="61"/>
    <x v="1"/>
    <n v="3100"/>
    <d v="2022-11-03T00:00:00"/>
    <x v="0"/>
    <x v="10"/>
  </r>
  <r>
    <x v="3"/>
    <n v="1500"/>
    <n v="3"/>
    <s v="R. Brasílio Itiberê, 3279 - Água Verde, Curitiba - PR, 80250-160"/>
    <x v="3"/>
    <s v="GIULIA LOPES"/>
    <x v="1"/>
    <n v="59"/>
    <x v="1"/>
    <n v="4500"/>
    <d v="2022-06-23T00:00:00"/>
    <x v="0"/>
    <x v="3"/>
  </r>
  <r>
    <x v="18"/>
    <n v="2500"/>
    <n v="3"/>
    <s v="Shopping Barra - Av. Centenário, 2992 - Barra, Salvador - BA, 40155-150"/>
    <x v="5"/>
    <s v="JOÃO JÚNIOR"/>
    <x v="0"/>
    <n v="57"/>
    <x v="1"/>
    <n v="7500"/>
    <d v="2022-05-27T00:00:00"/>
    <x v="0"/>
    <x v="11"/>
  </r>
  <r>
    <x v="4"/>
    <n v="700"/>
    <n v="1"/>
    <s v="Av. Barão Homem de Melo, 1389 - Nova Granada, Belo Horizonte - MG, 30431-425"/>
    <x v="7"/>
    <s v="LUIZ CAMPISTA"/>
    <x v="0"/>
    <n v="64"/>
    <x v="1"/>
    <n v="700"/>
    <d v="2022-03-14T00:00:00"/>
    <x v="0"/>
    <x v="9"/>
  </r>
  <r>
    <x v="2"/>
    <n v="1900"/>
    <n v="1"/>
    <s v="R. Visc. de Pirajá, 136 - Ipanema, Rio de Janeiro - RJ, 22410-000"/>
    <x v="1"/>
    <s v="BERNARDO NAUENBERG"/>
    <x v="0"/>
    <n v="32"/>
    <x v="0"/>
    <n v="1900"/>
    <d v="2022-09-16T00:00:00"/>
    <x v="0"/>
    <x v="1"/>
  </r>
  <r>
    <x v="8"/>
    <n v="1400"/>
    <n v="1"/>
    <s v="Shopping Barra - Av. Centenário, 2992 - Barra, Salvador - BA, 40155-150"/>
    <x v="5"/>
    <s v="MARIA CARDOSO"/>
    <x v="1"/>
    <n v="56"/>
    <x v="1"/>
    <n v="1400"/>
    <d v="2022-04-29T00:00:00"/>
    <x v="0"/>
    <x v="2"/>
  </r>
  <r>
    <x v="17"/>
    <n v="2300"/>
    <n v="4"/>
    <s v="R. Dr. Antônio Castro Prado, 422 - Vila Rossi e Borchi, Campinas - SP, 13076-130"/>
    <x v="0"/>
    <s v="LUCAS RODRIGUES"/>
    <x v="0"/>
    <n v="40"/>
    <x v="0"/>
    <n v="9200"/>
    <d v="2022-04-29T00:00:00"/>
    <x v="0"/>
    <x v="2"/>
  </r>
  <r>
    <x v="21"/>
    <n v="5200"/>
    <n v="4"/>
    <s v="Av. Borges de Medeiros, 3120 - Praia de Belas, Porto Alegre - RS, 90110-150"/>
    <x v="8"/>
    <s v="NATHALIA VENTURA"/>
    <x v="1"/>
    <n v="27"/>
    <x v="2"/>
    <n v="20800"/>
    <d v="2022-01-22T00:00:00"/>
    <x v="0"/>
    <x v="5"/>
  </r>
  <r>
    <x v="23"/>
    <n v="1100"/>
    <n v="5"/>
    <s v="Rua Quinze de Novembro, 8 - Loja 301a Loja 301b - Centro, Niterói - RJ, 24020-125"/>
    <x v="1"/>
    <s v="FABIO BOCCALETTI"/>
    <x v="0"/>
    <n v="64"/>
    <x v="1"/>
    <n v="5500"/>
    <d v="2022-12-14T00:00:00"/>
    <x v="0"/>
    <x v="8"/>
  </r>
  <r>
    <x v="22"/>
    <n v="2400"/>
    <n v="1"/>
    <s v="R. Luíz Faccini, 212 - Centro, Guarulhos - SP, 07110-000"/>
    <x v="0"/>
    <s v="AMANDA BRAGA"/>
    <x v="1"/>
    <n v="71"/>
    <x v="1"/>
    <n v="2400"/>
    <d v="2022-06-20T00:00:00"/>
    <x v="0"/>
    <x v="3"/>
  </r>
  <r>
    <x v="15"/>
    <n v="3000"/>
    <n v="5"/>
    <s v="Av. Borges de Medeiros, 3120 - Praia de Belas, Porto Alegre - RS, 90110-150"/>
    <x v="8"/>
    <s v="JUAN BARBOSA"/>
    <x v="0"/>
    <n v="61"/>
    <x v="1"/>
    <n v="15000"/>
    <d v="2022-10-23T00:00:00"/>
    <x v="0"/>
    <x v="6"/>
  </r>
  <r>
    <x v="21"/>
    <n v="5200"/>
    <n v="5"/>
    <s v="Rua Antônio Lumack do Monte, 203 - 1 - Boa Viagem, Recife - PE, 51020-350"/>
    <x v="6"/>
    <s v="BRUNA LONDERO"/>
    <x v="1"/>
    <n v="64"/>
    <x v="1"/>
    <n v="26000"/>
    <d v="2022-06-23T00:00:00"/>
    <x v="0"/>
    <x v="3"/>
  </r>
  <r>
    <x v="13"/>
    <n v="1550"/>
    <n v="5"/>
    <s v="Rua Antônio Lumack do Monte, 203 - 1 - Boa Viagem, Recife - PE, 51020-350"/>
    <x v="6"/>
    <s v="DEYSIANE MEDRONHO"/>
    <x v="1"/>
    <n v="47"/>
    <x v="0"/>
    <n v="7750"/>
    <d v="2022-08-17T00:00:00"/>
    <x v="0"/>
    <x v="7"/>
  </r>
  <r>
    <x v="23"/>
    <n v="1100"/>
    <n v="3"/>
    <s v="R. Teodoro Sampaio, 954 - Pinheiros, São Paulo - SP, 05406-050"/>
    <x v="0"/>
    <s v="LUCAS MACHADO"/>
    <x v="0"/>
    <n v="49"/>
    <x v="0"/>
    <n v="3300"/>
    <d v="2022-05-24T00:00:00"/>
    <x v="0"/>
    <x v="11"/>
  </r>
  <r>
    <x v="10"/>
    <n v="750"/>
    <n v="1"/>
    <s v="R. Teodoro Sampaio, 954 - Pinheiros, São Paulo - SP, 05406-050"/>
    <x v="0"/>
    <s v="LETÍCIA LEAL"/>
    <x v="1"/>
    <n v="45"/>
    <x v="0"/>
    <n v="750"/>
    <d v="2022-02-26T00:00:00"/>
    <x v="0"/>
    <x v="4"/>
  </r>
  <r>
    <x v="19"/>
    <n v="1750"/>
    <n v="3"/>
    <s v="Rua Antônio Lumack do Monte, 203 - 1 - Boa Viagem, Recife - PE, 51020-350"/>
    <x v="6"/>
    <s v="JOYCE SOUZA"/>
    <x v="1"/>
    <n v="65"/>
    <x v="1"/>
    <n v="5250"/>
    <d v="2022-10-31T00:00:00"/>
    <x v="0"/>
    <x v="6"/>
  </r>
  <r>
    <x v="22"/>
    <n v="2400"/>
    <n v="1"/>
    <s v="R. Teodoro Sampaio, 954 - Pinheiros, São Paulo - SP, 05406-050"/>
    <x v="0"/>
    <s v="JOÃO ABRAÇADO"/>
    <x v="0"/>
    <n v="42"/>
    <x v="0"/>
    <n v="2400"/>
    <d v="2022-07-09T00:00:00"/>
    <x v="0"/>
    <x v="0"/>
  </r>
  <r>
    <x v="13"/>
    <n v="1550"/>
    <n v="4"/>
    <s v="Shopping Barra - Av. Centenário, 2992 - Barra, Salvador - BA, 40155-150"/>
    <x v="5"/>
    <s v="LETÍCIA RODRIGUES"/>
    <x v="1"/>
    <n v="35"/>
    <x v="0"/>
    <n v="6200"/>
    <d v="2022-09-24T00:00:00"/>
    <x v="0"/>
    <x v="1"/>
  </r>
  <r>
    <x v="11"/>
    <n v="2000"/>
    <n v="1"/>
    <s v="Rua Quinze de Novembro, 8 - Loja 301a Loja 301b - Centro, Niterói - RJ, 24020-125"/>
    <x v="1"/>
    <s v="CARLOS SOUZA"/>
    <x v="0"/>
    <n v="39"/>
    <x v="0"/>
    <n v="2000"/>
    <d v="2022-09-26T00:00:00"/>
    <x v="0"/>
    <x v="1"/>
  </r>
  <r>
    <x v="16"/>
    <n v="1200"/>
    <n v="1"/>
    <s v="R. Luíz Faccini, 212 - Centro, Guarulhos - SP, 07110-000"/>
    <x v="0"/>
    <s v="BRENO QUINTO"/>
    <x v="0"/>
    <n v="49"/>
    <x v="0"/>
    <n v="1200"/>
    <d v="2022-12-09T00:00:00"/>
    <x v="0"/>
    <x v="8"/>
  </r>
  <r>
    <x v="7"/>
    <n v="2600"/>
    <n v="1"/>
    <s v="Av. Dom Luís, 500 - Aldeota, Fortaleza - CE, 60160-230"/>
    <x v="2"/>
    <s v="LIVIA CODECEIRA"/>
    <x v="1"/>
    <n v="35"/>
    <x v="0"/>
    <n v="2600"/>
    <d v="2022-09-14T00:00:00"/>
    <x v="0"/>
    <x v="1"/>
  </r>
  <r>
    <x v="10"/>
    <n v="750"/>
    <n v="5"/>
    <s v="Rua Antônio Lumack do Monte, 203 - 1 - Boa Viagem, Recife - PE, 51020-350"/>
    <x v="6"/>
    <s v="FERNANDA SILVA"/>
    <x v="1"/>
    <n v="39"/>
    <x v="0"/>
    <n v="3750"/>
    <d v="2022-08-14T00:00:00"/>
    <x v="0"/>
    <x v="7"/>
  </r>
  <r>
    <x v="15"/>
    <n v="3000"/>
    <n v="4"/>
    <s v="Rua Quinze de Novembro, 8 - Loja 301a Loja 301b - Centro, Niterói - RJ, 24020-125"/>
    <x v="1"/>
    <s v="ROBERTO NOGUEIRA"/>
    <x v="0"/>
    <n v="51"/>
    <x v="1"/>
    <n v="12000"/>
    <d v="2022-01-28T00:00:00"/>
    <x v="0"/>
    <x v="5"/>
  </r>
  <r>
    <x v="1"/>
    <n v="1400"/>
    <n v="5"/>
    <s v="R. Visc. de Pirajá, 136 - Ipanema, Rio de Janeiro - RJ, 22410-000"/>
    <x v="1"/>
    <s v="GUILHERME RACHIDE"/>
    <x v="0"/>
    <n v="66"/>
    <x v="1"/>
    <n v="7000"/>
    <d v="2022-04-20T00:00:00"/>
    <x v="0"/>
    <x v="2"/>
  </r>
  <r>
    <x v="2"/>
    <n v="1900"/>
    <n v="5"/>
    <s v="Av. Goiás Norte, 3.592 - quadra 2.1 - St. Mal. Rondon, Goiânia - GO, 74063-010"/>
    <x v="4"/>
    <s v="DANIEL ORTIZ"/>
    <x v="0"/>
    <n v="58"/>
    <x v="1"/>
    <n v="9500"/>
    <d v="2022-05-10T00:00:00"/>
    <x v="0"/>
    <x v="11"/>
  </r>
  <r>
    <x v="1"/>
    <n v="1400"/>
    <n v="4"/>
    <s v="Av. Dom Luís, 500 - Aldeota, Fortaleza - CE, 60160-230"/>
    <x v="2"/>
    <s v="THOMÁZ RODRIGUEZ"/>
    <x v="0"/>
    <n v="53"/>
    <x v="1"/>
    <n v="5600"/>
    <d v="2022-04-06T00:00:00"/>
    <x v="0"/>
    <x v="2"/>
  </r>
  <r>
    <x v="23"/>
    <n v="1100"/>
    <n v="5"/>
    <s v="Av. Goiás Norte, 3.592 - quadra 2.1 - St. Mal. Rondon, Goiânia - GO, 74063-010"/>
    <x v="4"/>
    <s v="LUIS SILVA"/>
    <x v="1"/>
    <n v="27"/>
    <x v="2"/>
    <n v="5500"/>
    <d v="2022-10-03T00:00:00"/>
    <x v="0"/>
    <x v="6"/>
  </r>
  <r>
    <x v="9"/>
    <n v="2000"/>
    <n v="5"/>
    <s v="Av. Barão Homem de Melo, 1389 - Nova Granada, Belo Horizonte - MG, 30431-425"/>
    <x v="7"/>
    <s v="LUIZ ALMEIDA"/>
    <x v="0"/>
    <n v="71"/>
    <x v="1"/>
    <n v="10000"/>
    <d v="2022-07-15T00:00:00"/>
    <x v="0"/>
    <x v="0"/>
  </r>
  <r>
    <x v="22"/>
    <n v="2400"/>
    <n v="5"/>
    <s v="R. Dr. Antônio Castro Prado, 422 - Vila Rossi e Borchi, Campinas - SP, 13076-130"/>
    <x v="0"/>
    <s v="JOSÉ MARQUES"/>
    <x v="0"/>
    <n v="37"/>
    <x v="0"/>
    <n v="12000"/>
    <d v="2022-05-08T00:00:00"/>
    <x v="0"/>
    <x v="11"/>
  </r>
  <r>
    <x v="1"/>
    <n v="1400"/>
    <n v="1"/>
    <s v="R. Luíz Faccini, 212 - Centro, Guarulhos - SP, 07110-000"/>
    <x v="0"/>
    <s v="RAUL JUNQUEIRA"/>
    <x v="0"/>
    <n v="45"/>
    <x v="0"/>
    <n v="1400"/>
    <d v="2022-07-09T00:00:00"/>
    <x v="0"/>
    <x v="0"/>
  </r>
  <r>
    <x v="21"/>
    <n v="5200"/>
    <n v="4"/>
    <s v="R. Visc. de Pirajá, 136 - Ipanema, Rio de Janeiro - RJ, 22410-000"/>
    <x v="1"/>
    <s v="GABRIEL ROCHA"/>
    <x v="0"/>
    <n v="66"/>
    <x v="1"/>
    <n v="20800"/>
    <d v="2022-02-09T00:00:00"/>
    <x v="0"/>
    <x v="4"/>
  </r>
  <r>
    <x v="0"/>
    <n v="4500"/>
    <n v="1"/>
    <s v="R. Teodoro Sampaio, 954 - Pinheiros, São Paulo - SP, 05406-050"/>
    <x v="0"/>
    <s v="LENON FERNANDES"/>
    <x v="0"/>
    <n v="50"/>
    <x v="0"/>
    <n v="4500"/>
    <d v="2022-06-28T00:00:00"/>
    <x v="0"/>
    <x v="3"/>
  </r>
  <r>
    <x v="17"/>
    <n v="2300"/>
    <n v="2"/>
    <s v="Av. Borges de Medeiros, 3120 - Praia de Belas, Porto Alegre - RS, 90110-150"/>
    <x v="8"/>
    <s v="ANDRE NÓBREGA"/>
    <x v="0"/>
    <n v="36"/>
    <x v="0"/>
    <n v="4600"/>
    <d v="2022-07-19T00:00:00"/>
    <x v="0"/>
    <x v="0"/>
  </r>
  <r>
    <x v="12"/>
    <n v="1500"/>
    <n v="4"/>
    <s v="Av. Goiás Norte, 3.592 - quadra 2.1 - St. Mal. Rondon, Goiânia - GO, 74063-010"/>
    <x v="4"/>
    <s v="BEATRIZ LI"/>
    <x v="1"/>
    <n v="36"/>
    <x v="0"/>
    <n v="6000"/>
    <d v="2022-11-04T00:00:00"/>
    <x v="0"/>
    <x v="10"/>
  </r>
  <r>
    <x v="13"/>
    <n v="1550"/>
    <n v="4"/>
    <s v="R. Dr. Antônio Castro Prado, 422 - Vila Rossi e Borchi, Campinas - SP, 13076-130"/>
    <x v="0"/>
    <s v="ANA FELIPPE"/>
    <x v="1"/>
    <n v="32"/>
    <x v="0"/>
    <n v="6200"/>
    <d v="2022-01-29T00:00:00"/>
    <x v="0"/>
    <x v="5"/>
  </r>
  <r>
    <x v="11"/>
    <n v="2000"/>
    <n v="3"/>
    <s v="Av. Goiás Norte, 3.592 - quadra 2.1 - St. Mal. Rondon, Goiânia - GO, 74063-010"/>
    <x v="4"/>
    <s v="JÔNATAS TANAKA"/>
    <x v="0"/>
    <n v="31"/>
    <x v="0"/>
    <n v="6000"/>
    <d v="2022-09-24T00:00:00"/>
    <x v="0"/>
    <x v="1"/>
  </r>
  <r>
    <x v="16"/>
    <n v="1200"/>
    <n v="2"/>
    <s v="Rua Quinze de Novembro, 8 - Loja 301a Loja 301b - Centro, Niterói - RJ, 24020-125"/>
    <x v="1"/>
    <s v="VICTOR OLIVEIRA"/>
    <x v="0"/>
    <n v="73"/>
    <x v="1"/>
    <n v="2400"/>
    <d v="2022-03-06T00:00:00"/>
    <x v="0"/>
    <x v="9"/>
  </r>
  <r>
    <x v="9"/>
    <n v="2000"/>
    <n v="5"/>
    <s v="R. Visc. de Pirajá, 136 - Ipanema, Rio de Janeiro - RJ, 22410-000"/>
    <x v="1"/>
    <s v="LUCAS LIMA"/>
    <x v="0"/>
    <n v="49"/>
    <x v="0"/>
    <n v="10000"/>
    <d v="2022-10-02T00:00:00"/>
    <x v="0"/>
    <x v="6"/>
  </r>
  <r>
    <x v="4"/>
    <n v="700"/>
    <n v="1"/>
    <s v="R. Brasílio Itiberê, 3279 - Água Verde, Curitiba - PR, 80250-160"/>
    <x v="3"/>
    <s v="FELIPE MENDONÇA"/>
    <x v="0"/>
    <n v="75"/>
    <x v="1"/>
    <n v="700"/>
    <d v="2022-09-25T00:00:00"/>
    <x v="0"/>
    <x v="1"/>
  </r>
  <r>
    <x v="21"/>
    <n v="5200"/>
    <n v="3"/>
    <s v="Rua Quinze de Novembro, 8 - Loja 301a Loja 301b - Centro, Niterói - RJ, 24020-125"/>
    <x v="1"/>
    <s v="GABRIELLE WANDERLEY"/>
    <x v="1"/>
    <n v="69"/>
    <x v="1"/>
    <n v="15600"/>
    <d v="2022-03-10T00:00:00"/>
    <x v="0"/>
    <x v="9"/>
  </r>
  <r>
    <x v="21"/>
    <n v="5200"/>
    <n v="4"/>
    <s v="Av. Goiás Norte, 3.592 - quadra 2.1 - St. Mal. Rondon, Goiânia - GO, 74063-010"/>
    <x v="4"/>
    <s v="CAROLINA VASCONCELOS"/>
    <x v="1"/>
    <n v="42"/>
    <x v="0"/>
    <n v="20800"/>
    <d v="2022-09-26T00:00:00"/>
    <x v="0"/>
    <x v="1"/>
  </r>
  <r>
    <x v="18"/>
    <n v="2500"/>
    <n v="3"/>
    <s v="Rua Quinze de Novembro, 8 - Loja 301a Loja 301b - Centro, Niterói - RJ, 24020-125"/>
    <x v="1"/>
    <s v="VITOR ARRUDA"/>
    <x v="0"/>
    <n v="31"/>
    <x v="0"/>
    <n v="7500"/>
    <d v="2022-12-03T00:00:00"/>
    <x v="0"/>
    <x v="8"/>
  </r>
  <r>
    <x v="6"/>
    <n v="6500"/>
    <n v="5"/>
    <s v="Rua Quinze de Novembro, 8 - Loja 301a Loja 301b - Centro, Niterói - RJ, 24020-125"/>
    <x v="1"/>
    <s v="CAROLINA SIQUEIRA"/>
    <x v="1"/>
    <n v="45"/>
    <x v="0"/>
    <n v="32500"/>
    <d v="2022-04-23T00:00:00"/>
    <x v="0"/>
    <x v="2"/>
  </r>
  <r>
    <x v="2"/>
    <n v="1900"/>
    <n v="3"/>
    <s v="R. Teodoro Sampaio, 954 - Pinheiros, São Paulo - SP, 05406-050"/>
    <x v="0"/>
    <s v="LUCAS WANDERLEY"/>
    <x v="0"/>
    <n v="42"/>
    <x v="0"/>
    <n v="5700"/>
    <d v="2022-05-29T00:00:00"/>
    <x v="0"/>
    <x v="11"/>
  </r>
  <r>
    <x v="7"/>
    <n v="2600"/>
    <n v="3"/>
    <s v="R. Luíz Faccini, 212 - Centro, Guarulhos - SP, 07110-000"/>
    <x v="0"/>
    <s v="JULIE FERREIRA"/>
    <x v="1"/>
    <n v="34"/>
    <x v="0"/>
    <n v="7800"/>
    <d v="2022-06-24T00:00:00"/>
    <x v="0"/>
    <x v="3"/>
  </r>
  <r>
    <x v="8"/>
    <n v="1400"/>
    <n v="2"/>
    <s v="R. Visc. de Pirajá, 136 - Ipanema, Rio de Janeiro - RJ, 22410-000"/>
    <x v="1"/>
    <s v="CAROLINA MOTTA"/>
    <x v="1"/>
    <n v="29"/>
    <x v="2"/>
    <n v="2800"/>
    <d v="2022-03-13T00:00:00"/>
    <x v="0"/>
    <x v="9"/>
  </r>
  <r>
    <x v="5"/>
    <n v="1450"/>
    <n v="1"/>
    <s v="Av. Goiás Norte, 3.592 - quadra 2.1 - St. Mal. Rondon, Goiânia - GO, 74063-010"/>
    <x v="4"/>
    <s v="RAFAELA FERREIRA"/>
    <x v="1"/>
    <n v="27"/>
    <x v="2"/>
    <n v="1450"/>
    <d v="2022-05-22T00:00:00"/>
    <x v="0"/>
    <x v="11"/>
  </r>
  <r>
    <x v="5"/>
    <n v="1450"/>
    <n v="2"/>
    <s v="R. Luíz Faccini, 212 - Centro, Guarulhos - SP, 07110-000"/>
    <x v="0"/>
    <s v="ADRIELLE VIEIRA"/>
    <x v="1"/>
    <n v="49"/>
    <x v="0"/>
    <n v="2900"/>
    <d v="2022-11-08T00:00:00"/>
    <x v="0"/>
    <x v="10"/>
  </r>
  <r>
    <x v="20"/>
    <n v="5500"/>
    <n v="3"/>
    <s v="Rua Quinze de Novembro, 8 - Loja 301a Loja 301b - Centro, Niterói - RJ, 24020-125"/>
    <x v="1"/>
    <s v="CÍCERO LIMA"/>
    <x v="0"/>
    <n v="74"/>
    <x v="1"/>
    <n v="16500"/>
    <d v="2022-01-10T00:00:00"/>
    <x v="0"/>
    <x v="5"/>
  </r>
  <r>
    <x v="6"/>
    <n v="6500"/>
    <n v="5"/>
    <s v="R. Visc. de Pirajá, 136 - Ipanema, Rio de Janeiro - RJ, 22410-000"/>
    <x v="1"/>
    <s v="CAMILLA GUIMARÃES"/>
    <x v="1"/>
    <n v="57"/>
    <x v="1"/>
    <n v="32500"/>
    <d v="2022-01-14T00:00:00"/>
    <x v="0"/>
    <x v="5"/>
  </r>
  <r>
    <x v="4"/>
    <n v="700"/>
    <n v="2"/>
    <s v="Av. Mal. Floriano Peixoto, 2248-2258 - Centro, Nova Iguaçu - RJ, 26210-000"/>
    <x v="1"/>
    <s v="FERNANDA COUTINHO"/>
    <x v="1"/>
    <n v="63"/>
    <x v="1"/>
    <n v="1400"/>
    <d v="2022-04-04T00:00:00"/>
    <x v="0"/>
    <x v="2"/>
  </r>
  <r>
    <x v="3"/>
    <n v="1500"/>
    <n v="4"/>
    <s v="Rua Antônio Lumack do Monte, 203 - 1 - Boa Viagem, Recife - PE, 51020-350"/>
    <x v="6"/>
    <s v="CAROLINA BERNARDES"/>
    <x v="1"/>
    <n v="66"/>
    <x v="1"/>
    <n v="6000"/>
    <d v="2022-09-09T00:00:00"/>
    <x v="0"/>
    <x v="1"/>
  </r>
  <r>
    <x v="13"/>
    <n v="1550"/>
    <n v="4"/>
    <s v="R. Teodoro Sampaio, 954 - Pinheiros, São Paulo - SP, 05406-050"/>
    <x v="0"/>
    <s v="LENON FERNANDES"/>
    <x v="0"/>
    <n v="50"/>
    <x v="0"/>
    <n v="6200"/>
    <d v="2022-09-27T00:00:00"/>
    <x v="0"/>
    <x v="1"/>
  </r>
  <r>
    <x v="11"/>
    <n v="2000"/>
    <n v="2"/>
    <s v="Av. Borges de Medeiros, 3120 - Praia de Belas, Porto Alegre - RS, 90110-150"/>
    <x v="8"/>
    <s v="PEDRO BURACO"/>
    <x v="0"/>
    <n v="64"/>
    <x v="1"/>
    <n v="4000"/>
    <d v="2022-04-26T00:00:00"/>
    <x v="0"/>
    <x v="2"/>
  </r>
  <r>
    <x v="20"/>
    <n v="5500"/>
    <n v="3"/>
    <s v="R. Teodoro Sampaio, 954 - Pinheiros, São Paulo - SP, 05406-050"/>
    <x v="0"/>
    <s v="DIEGO RODRIGUES"/>
    <x v="0"/>
    <n v="54"/>
    <x v="1"/>
    <n v="16500"/>
    <d v="2022-10-24T00:00:00"/>
    <x v="0"/>
    <x v="6"/>
  </r>
  <r>
    <x v="17"/>
    <n v="2300"/>
    <n v="5"/>
    <s v="Shopping Barra - Av. Centenário, 2992 - Barra, Salvador - BA, 40155-150"/>
    <x v="5"/>
    <s v="TIAGO PEREIRA"/>
    <x v="0"/>
    <n v="72"/>
    <x v="1"/>
    <n v="11500"/>
    <d v="2022-08-09T00:00:00"/>
    <x v="0"/>
    <x v="7"/>
  </r>
  <r>
    <x v="9"/>
    <n v="2000"/>
    <n v="3"/>
    <s v="Av. Dom Luís, 500 - Aldeota, Fortaleza - CE, 60160-230"/>
    <x v="2"/>
    <s v="GUSTAVO ACCARDO"/>
    <x v="0"/>
    <n v="50"/>
    <x v="0"/>
    <n v="6000"/>
    <d v="2022-10-05T00:00:00"/>
    <x v="0"/>
    <x v="6"/>
  </r>
  <r>
    <x v="9"/>
    <n v="2000"/>
    <n v="2"/>
    <s v="Av. Barão Homem de Melo, 1389 - Nova Granada, Belo Horizonte - MG, 30431-425"/>
    <x v="7"/>
    <s v="MARIA COSTA"/>
    <x v="1"/>
    <n v="54"/>
    <x v="1"/>
    <n v="4000"/>
    <d v="2022-11-09T00:00:00"/>
    <x v="0"/>
    <x v="10"/>
  </r>
  <r>
    <x v="5"/>
    <n v="1450"/>
    <n v="5"/>
    <s v="Rua Quinze de Novembro, 8 - Loja 301a Loja 301b - Centro, Niterói - RJ, 24020-125"/>
    <x v="1"/>
    <s v="LUIZ FREIRE"/>
    <x v="0"/>
    <n v="32"/>
    <x v="0"/>
    <n v="7250"/>
    <d v="2022-07-30T00:00:00"/>
    <x v="0"/>
    <x v="0"/>
  </r>
  <r>
    <x v="5"/>
    <n v="1450"/>
    <n v="5"/>
    <s v="R. Visc. de Pirajá, 136 - Ipanema, Rio de Janeiro - RJ, 22410-000"/>
    <x v="1"/>
    <s v="JULIANA GOES"/>
    <x v="1"/>
    <n v="53"/>
    <x v="1"/>
    <n v="7250"/>
    <d v="2022-03-12T00:00:00"/>
    <x v="0"/>
    <x v="9"/>
  </r>
  <r>
    <x v="5"/>
    <n v="1450"/>
    <n v="4"/>
    <s v="Av. Borges de Medeiros, 3120 - Praia de Belas, Porto Alegre - RS, 90110-150"/>
    <x v="8"/>
    <s v="BRUNA CHEIN"/>
    <x v="1"/>
    <n v="40"/>
    <x v="0"/>
    <n v="5800"/>
    <d v="2022-08-23T00:00:00"/>
    <x v="0"/>
    <x v="7"/>
  </r>
  <r>
    <x v="8"/>
    <n v="1400"/>
    <n v="5"/>
    <s v="R. Brasílio Itiberê, 3279 - Água Verde, Curitiba - PR, 80250-160"/>
    <x v="3"/>
    <s v="MATHEUS SANTOS"/>
    <x v="0"/>
    <n v="36"/>
    <x v="0"/>
    <n v="7000"/>
    <d v="2022-09-12T00:00:00"/>
    <x v="0"/>
    <x v="1"/>
  </r>
  <r>
    <x v="3"/>
    <n v="1500"/>
    <n v="5"/>
    <s v="R. Luíz Faccini, 212 - Centro, Guarulhos - SP, 07110-000"/>
    <x v="0"/>
    <s v="LARISSA JESUS"/>
    <x v="1"/>
    <n v="29"/>
    <x v="2"/>
    <n v="7500"/>
    <d v="2022-06-11T00:00:00"/>
    <x v="0"/>
    <x v="3"/>
  </r>
  <r>
    <x v="16"/>
    <n v="1200"/>
    <n v="4"/>
    <s v="Shopping Barra - Av. Centenário, 2992 - Barra, Salvador - BA, 40155-150"/>
    <x v="5"/>
    <s v="ANDRESSA NÓBREGA"/>
    <x v="1"/>
    <n v="68"/>
    <x v="1"/>
    <n v="4800"/>
    <d v="2022-03-22T00:00:00"/>
    <x v="0"/>
    <x v="9"/>
  </r>
  <r>
    <x v="15"/>
    <n v="3000"/>
    <n v="5"/>
    <s v="Rua Antônio Lumack do Monte, 203 - 1 - Boa Viagem, Recife - PE, 51020-350"/>
    <x v="6"/>
    <s v="GABRIELLE FIGUEIREDO"/>
    <x v="1"/>
    <n v="49"/>
    <x v="0"/>
    <n v="15000"/>
    <d v="2022-10-03T00:00:00"/>
    <x v="0"/>
    <x v="6"/>
  </r>
  <r>
    <x v="13"/>
    <n v="1550"/>
    <n v="4"/>
    <s v="Av. Mal. Floriano Peixoto, 2248-2258 - Centro, Nova Iguaçu - RJ, 26210-000"/>
    <x v="1"/>
    <s v="TADEU NAKAYAMA"/>
    <x v="0"/>
    <n v="42"/>
    <x v="0"/>
    <n v="6200"/>
    <d v="2022-12-27T00:00:00"/>
    <x v="0"/>
    <x v="8"/>
  </r>
  <r>
    <x v="12"/>
    <n v="1500"/>
    <n v="5"/>
    <s v="Av. Borges de Medeiros, 3120 - Praia de Belas, Porto Alegre - RS, 90110-150"/>
    <x v="8"/>
    <s v="DANIEL CARDOSO"/>
    <x v="0"/>
    <n v="49"/>
    <x v="0"/>
    <n v="7500"/>
    <d v="2022-09-27T00:00:00"/>
    <x v="0"/>
    <x v="1"/>
  </r>
  <r>
    <x v="18"/>
    <n v="2500"/>
    <n v="1"/>
    <s v="Av. Borges de Medeiros, 3120 - Praia de Belas, Porto Alegre - RS, 90110-150"/>
    <x v="8"/>
    <s v="DANIEL CARDOSO"/>
    <x v="0"/>
    <n v="49"/>
    <x v="0"/>
    <n v="2500"/>
    <d v="2022-01-07T00:00:00"/>
    <x v="0"/>
    <x v="5"/>
  </r>
  <r>
    <x v="18"/>
    <n v="2500"/>
    <n v="1"/>
    <s v="Av. Mal. Floriano Peixoto, 2248-2258 - Centro, Nova Iguaçu - RJ, 26210-000"/>
    <x v="1"/>
    <s v="EDUARDO SILVA"/>
    <x v="0"/>
    <n v="70"/>
    <x v="1"/>
    <n v="2500"/>
    <d v="2022-06-13T00:00:00"/>
    <x v="0"/>
    <x v="3"/>
  </r>
  <r>
    <x v="1"/>
    <n v="1400"/>
    <n v="3"/>
    <s v="Rua Quinze de Novembro, 8 - Loja 301a Loja 301b - Centro, Niterói - RJ, 24020-125"/>
    <x v="1"/>
    <s v="ANDERSON BARRETO"/>
    <x v="0"/>
    <n v="40"/>
    <x v="0"/>
    <n v="4200"/>
    <d v="2022-09-18T00:00:00"/>
    <x v="0"/>
    <x v="1"/>
  </r>
  <r>
    <x v="9"/>
    <n v="2000"/>
    <n v="4"/>
    <s v="Rua Quinze de Novembro, 8 - Loja 301a Loja 301b - Centro, Niterói - RJ, 24020-125"/>
    <x v="1"/>
    <s v="NATALIA ACCIOLY"/>
    <x v="1"/>
    <n v="28"/>
    <x v="2"/>
    <n v="8000"/>
    <d v="2022-03-02T00:00:00"/>
    <x v="0"/>
    <x v="9"/>
  </r>
  <r>
    <x v="0"/>
    <n v="4500"/>
    <n v="1"/>
    <s v="Rua Antônio Lumack do Monte, 203 - 1 - Boa Viagem, Recife - PE, 51020-350"/>
    <x v="6"/>
    <s v="HÉRCULES JÚNIOR"/>
    <x v="0"/>
    <n v="56"/>
    <x v="1"/>
    <n v="4500"/>
    <d v="2022-10-16T00:00:00"/>
    <x v="0"/>
    <x v="6"/>
  </r>
  <r>
    <x v="2"/>
    <n v="1900"/>
    <n v="2"/>
    <s v="R. Dr. Antônio Castro Prado, 422 - Vila Rossi e Borchi, Campinas - SP, 13076-130"/>
    <x v="0"/>
    <s v="BRENO FARIAS"/>
    <x v="0"/>
    <n v="47"/>
    <x v="0"/>
    <n v="3800"/>
    <d v="2022-12-17T00:00:00"/>
    <x v="0"/>
    <x v="8"/>
  </r>
  <r>
    <x v="1"/>
    <n v="1400"/>
    <n v="3"/>
    <s v="R. Teodoro Sampaio, 954 - Pinheiros, São Paulo - SP, 05406-050"/>
    <x v="0"/>
    <s v="CAIO MORAES"/>
    <x v="0"/>
    <n v="69"/>
    <x v="1"/>
    <n v="4200"/>
    <d v="2022-06-02T00:00:00"/>
    <x v="0"/>
    <x v="3"/>
  </r>
  <r>
    <x v="10"/>
    <n v="750"/>
    <n v="1"/>
    <s v="R. Visc. de Pirajá, 136 - Ipanema, Rio de Janeiro - RJ, 22410-000"/>
    <x v="1"/>
    <s v="RODRIGO BRUNO"/>
    <x v="0"/>
    <n v="64"/>
    <x v="1"/>
    <n v="750"/>
    <d v="2022-04-05T00:00:00"/>
    <x v="0"/>
    <x v="2"/>
  </r>
  <r>
    <x v="8"/>
    <n v="1400"/>
    <n v="2"/>
    <s v="Rua Antônio Lumack do Monte, 203 - 1 - Boa Viagem, Recife - PE, 51020-350"/>
    <x v="6"/>
    <s v="JOSÉ CARVALHO"/>
    <x v="0"/>
    <n v="41"/>
    <x v="0"/>
    <n v="2800"/>
    <d v="2022-03-10T00:00:00"/>
    <x v="0"/>
    <x v="9"/>
  </r>
  <r>
    <x v="2"/>
    <n v="1900"/>
    <n v="1"/>
    <s v="Av. Dom Luís, 500 - Aldeota, Fortaleza - CE, 60160-230"/>
    <x v="2"/>
    <s v="JULIA ALIANI"/>
    <x v="1"/>
    <n v="40"/>
    <x v="0"/>
    <n v="1900"/>
    <d v="2022-02-28T00:00:00"/>
    <x v="0"/>
    <x v="4"/>
  </r>
  <r>
    <x v="10"/>
    <n v="750"/>
    <n v="5"/>
    <s v="Av. Borges de Medeiros, 3120 - Praia de Belas, Porto Alegre - RS, 90110-150"/>
    <x v="8"/>
    <s v="FELIPE JORGE"/>
    <x v="0"/>
    <n v="59"/>
    <x v="1"/>
    <n v="3750"/>
    <d v="2022-06-12T00:00:00"/>
    <x v="0"/>
    <x v="3"/>
  </r>
  <r>
    <x v="1"/>
    <n v="1400"/>
    <n v="1"/>
    <s v="Rua Quinze de Novembro, 8 - Loja 301a Loja 301b - Centro, Niterói - RJ, 24020-125"/>
    <x v="1"/>
    <s v="GABRIELLA LOPES"/>
    <x v="1"/>
    <n v="45"/>
    <x v="0"/>
    <n v="1400"/>
    <d v="2022-09-25T00:00:00"/>
    <x v="0"/>
    <x v="1"/>
  </r>
  <r>
    <x v="22"/>
    <n v="2400"/>
    <n v="4"/>
    <s v="Av. Dom Luís, 500 - Aldeota, Fortaleza - CE, 60160-230"/>
    <x v="2"/>
    <s v="ANNA MAIA"/>
    <x v="1"/>
    <n v="54"/>
    <x v="1"/>
    <n v="9600"/>
    <d v="2022-08-04T00:00:00"/>
    <x v="0"/>
    <x v="7"/>
  </r>
  <r>
    <x v="21"/>
    <n v="5200"/>
    <n v="2"/>
    <s v="R. Teodoro Sampaio, 954 - Pinheiros, São Paulo - SP, 05406-050"/>
    <x v="0"/>
    <s v="MATHEUS SILVA"/>
    <x v="0"/>
    <n v="33"/>
    <x v="0"/>
    <n v="10400"/>
    <d v="2022-08-27T00:00:00"/>
    <x v="0"/>
    <x v="7"/>
  </r>
  <r>
    <x v="12"/>
    <n v="1500"/>
    <n v="2"/>
    <s v="R. Luíz Faccini, 212 - Centro, Guarulhos - SP, 07110-000"/>
    <x v="0"/>
    <s v="BEATRIZ PERDOMO"/>
    <x v="1"/>
    <n v="50"/>
    <x v="0"/>
    <n v="3000"/>
    <d v="2022-11-20T00:00:00"/>
    <x v="0"/>
    <x v="10"/>
  </r>
  <r>
    <x v="15"/>
    <n v="3000"/>
    <n v="4"/>
    <s v="Rua Antônio Lumack do Monte, 203 - 1 - Boa Viagem, Recife - PE, 51020-350"/>
    <x v="6"/>
    <s v="STEPHANIE GONÇALVES"/>
    <x v="1"/>
    <n v="26"/>
    <x v="2"/>
    <n v="12000"/>
    <d v="2022-03-03T00:00:00"/>
    <x v="0"/>
    <x v="9"/>
  </r>
  <r>
    <x v="2"/>
    <n v="1900"/>
    <n v="4"/>
    <s v="Av. Borges de Medeiros, 3120 - Praia de Belas, Porto Alegre - RS, 90110-150"/>
    <x v="8"/>
    <s v="DANIEL CARDOSO"/>
    <x v="0"/>
    <n v="49"/>
    <x v="0"/>
    <n v="7600"/>
    <d v="2022-10-17T00:00:00"/>
    <x v="0"/>
    <x v="6"/>
  </r>
  <r>
    <x v="18"/>
    <n v="2500"/>
    <n v="4"/>
    <s v="Av. Mal. Floriano Peixoto, 2248-2258 - Centro, Nova Iguaçu - RJ, 26210-000"/>
    <x v="1"/>
    <s v="GUILHERME SANTOS"/>
    <x v="0"/>
    <n v="44"/>
    <x v="0"/>
    <n v="10000"/>
    <d v="2022-08-03T00:00:00"/>
    <x v="0"/>
    <x v="7"/>
  </r>
  <r>
    <x v="15"/>
    <n v="3000"/>
    <n v="5"/>
    <s v="R. Luíz Faccini, 212 - Centro, Guarulhos - SP, 07110-000"/>
    <x v="0"/>
    <s v="EDUARDO PACHECO"/>
    <x v="0"/>
    <n v="33"/>
    <x v="0"/>
    <n v="15000"/>
    <d v="2022-06-13T00:00:00"/>
    <x v="0"/>
    <x v="3"/>
  </r>
  <r>
    <x v="20"/>
    <n v="5500"/>
    <n v="1"/>
    <s v="Av. Barão Homem de Melo, 1389 - Nova Granada, Belo Horizonte - MG, 30431-425"/>
    <x v="7"/>
    <s v="GABRIEL PUNTEL"/>
    <x v="0"/>
    <n v="26"/>
    <x v="2"/>
    <n v="5500"/>
    <d v="2022-06-03T00:00:00"/>
    <x v="0"/>
    <x v="3"/>
  </r>
  <r>
    <x v="8"/>
    <n v="1400"/>
    <n v="5"/>
    <s v="R. Dr. Antônio Castro Prado, 422 - Vila Rossi e Borchi, Campinas - SP, 13076-130"/>
    <x v="0"/>
    <s v="JONATAS PASSOS"/>
    <x v="0"/>
    <n v="52"/>
    <x v="1"/>
    <n v="7000"/>
    <d v="2022-03-15T00:00:00"/>
    <x v="0"/>
    <x v="9"/>
  </r>
  <r>
    <x v="6"/>
    <n v="6500"/>
    <n v="4"/>
    <s v="R. Brasílio Itiberê, 3279 - Água Verde, Curitiba - PR, 80250-160"/>
    <x v="3"/>
    <s v="MILENA ALMEIDA"/>
    <x v="1"/>
    <n v="44"/>
    <x v="0"/>
    <n v="26000"/>
    <d v="2022-05-07T00:00:00"/>
    <x v="0"/>
    <x v="11"/>
  </r>
  <r>
    <x v="7"/>
    <n v="2600"/>
    <n v="3"/>
    <s v="Av. Mal. Floriano Peixoto, 2248-2258 - Centro, Nova Iguaçu - RJ, 26210-000"/>
    <x v="1"/>
    <s v="CARLOS BARBOSA"/>
    <x v="0"/>
    <n v="43"/>
    <x v="0"/>
    <n v="7800"/>
    <d v="2022-09-04T00:00:00"/>
    <x v="0"/>
    <x v="1"/>
  </r>
  <r>
    <x v="11"/>
    <n v="2000"/>
    <n v="5"/>
    <s v="Rua Antônio Lumack do Monte, 203 - 1 - Boa Viagem, Recife - PE, 51020-350"/>
    <x v="6"/>
    <s v="ISABELLA SANTOS"/>
    <x v="1"/>
    <n v="47"/>
    <x v="0"/>
    <n v="10000"/>
    <d v="2022-07-03T00:00:00"/>
    <x v="0"/>
    <x v="0"/>
  </r>
  <r>
    <x v="15"/>
    <n v="3000"/>
    <n v="2"/>
    <s v="Rua Antônio Lumack do Monte, 203 - 1 - Boa Viagem, Recife - PE, 51020-350"/>
    <x v="6"/>
    <s v="JORGE CARVALHO"/>
    <x v="0"/>
    <n v="60"/>
    <x v="1"/>
    <n v="6000"/>
    <d v="2022-07-29T00:00:00"/>
    <x v="0"/>
    <x v="0"/>
  </r>
  <r>
    <x v="10"/>
    <n v="750"/>
    <n v="1"/>
    <s v="Av. Dom Luís, 500 - Aldeota, Fortaleza - CE, 60160-230"/>
    <x v="2"/>
    <s v="CARLA ZAKHM"/>
    <x v="1"/>
    <n v="35"/>
    <x v="0"/>
    <n v="750"/>
    <d v="2022-03-10T00:00:00"/>
    <x v="0"/>
    <x v="9"/>
  </r>
  <r>
    <x v="18"/>
    <n v="2500"/>
    <n v="3"/>
    <s v="R. Brasílio Itiberê, 3279 - Água Verde, Curitiba - PR, 80250-160"/>
    <x v="3"/>
    <s v="ALINE MORAIS"/>
    <x v="1"/>
    <n v="45"/>
    <x v="0"/>
    <n v="7500"/>
    <d v="2022-09-04T00:00:00"/>
    <x v="0"/>
    <x v="1"/>
  </r>
  <r>
    <x v="8"/>
    <n v="1400"/>
    <n v="2"/>
    <s v="Rua Quinze de Novembro, 8 - Loja 301a Loja 301b - Centro, Niterói - RJ, 24020-125"/>
    <x v="1"/>
    <s v="JOÃO MATHEUS"/>
    <x v="0"/>
    <n v="29"/>
    <x v="2"/>
    <n v="2800"/>
    <d v="2022-02-18T00:00:00"/>
    <x v="0"/>
    <x v="4"/>
  </r>
  <r>
    <x v="23"/>
    <n v="1100"/>
    <n v="2"/>
    <s v="R. Dr. Antônio Castro Prado, 422 - Vila Rossi e Borchi, Campinas - SP, 13076-130"/>
    <x v="0"/>
    <s v="LUCAS RODRIGUES"/>
    <x v="0"/>
    <n v="40"/>
    <x v="0"/>
    <n v="2200"/>
    <d v="2022-08-18T00:00:00"/>
    <x v="0"/>
    <x v="7"/>
  </r>
  <r>
    <x v="6"/>
    <n v="6500"/>
    <n v="5"/>
    <s v="R. Brasílio Itiberê, 3279 - Água Verde, Curitiba - PR, 80250-160"/>
    <x v="3"/>
    <s v="BRUNO OLIVEIRA"/>
    <x v="0"/>
    <n v="76"/>
    <x v="1"/>
    <n v="32500"/>
    <d v="2022-11-07T00:00:00"/>
    <x v="0"/>
    <x v="10"/>
  </r>
  <r>
    <x v="23"/>
    <n v="1100"/>
    <n v="1"/>
    <s v="Av. Goiás Norte, 3.592 - quadra 2.1 - St. Mal. Rondon, Goiânia - GO, 74063-010"/>
    <x v="4"/>
    <s v="WILLIAN ALBINO"/>
    <x v="0"/>
    <n v="27"/>
    <x v="2"/>
    <n v="1100"/>
    <d v="2022-05-23T00:00:00"/>
    <x v="0"/>
    <x v="11"/>
  </r>
  <r>
    <x v="14"/>
    <n v="1500"/>
    <n v="3"/>
    <s v="Av. Mal. Floriano Peixoto, 2248-2258 - Centro, Nova Iguaçu - RJ, 26210-000"/>
    <x v="1"/>
    <s v="LUANA SANTOS"/>
    <x v="1"/>
    <n v="45"/>
    <x v="0"/>
    <n v="4500"/>
    <d v="2022-09-24T00:00:00"/>
    <x v="0"/>
    <x v="1"/>
  </r>
  <r>
    <x v="9"/>
    <n v="2000"/>
    <n v="3"/>
    <s v="Av. Dom Luís, 500 - Aldeota, Fortaleza - CE, 60160-230"/>
    <x v="2"/>
    <s v="KARINA CAMARA"/>
    <x v="1"/>
    <n v="63"/>
    <x v="1"/>
    <n v="6000"/>
    <d v="2022-03-07T00:00:00"/>
    <x v="0"/>
    <x v="9"/>
  </r>
  <r>
    <x v="22"/>
    <n v="2400"/>
    <n v="4"/>
    <s v="R. Brasílio Itiberê, 3279 - Água Verde, Curitiba - PR, 80250-160"/>
    <x v="3"/>
    <s v="JOÃO CAPITULO"/>
    <x v="0"/>
    <n v="72"/>
    <x v="1"/>
    <n v="9600"/>
    <d v="2022-02-13T00:00:00"/>
    <x v="0"/>
    <x v="4"/>
  </r>
  <r>
    <x v="11"/>
    <n v="2000"/>
    <n v="1"/>
    <s v="R. Teodoro Sampaio, 954 - Pinheiros, São Paulo - SP, 05406-050"/>
    <x v="0"/>
    <s v="RAFAEL ROCHA"/>
    <x v="0"/>
    <n v="25"/>
    <x v="2"/>
    <n v="2000"/>
    <d v="2022-04-20T00:00:00"/>
    <x v="0"/>
    <x v="2"/>
  </r>
  <r>
    <x v="10"/>
    <n v="750"/>
    <n v="1"/>
    <s v="R. Luíz Faccini, 212 - Centro, Guarulhos - SP, 07110-000"/>
    <x v="0"/>
    <s v="LUIZ LIMP"/>
    <x v="0"/>
    <n v="44"/>
    <x v="0"/>
    <n v="750"/>
    <d v="2022-03-16T00:00:00"/>
    <x v="0"/>
    <x v="9"/>
  </r>
  <r>
    <x v="9"/>
    <n v="2000"/>
    <n v="3"/>
    <s v="Av. Goiás Norte, 3.592 - quadra 2.1 - St. Mal. Rondon, Goiânia - GO, 74063-010"/>
    <x v="4"/>
    <s v="CAROLINA COSTA"/>
    <x v="1"/>
    <n v="44"/>
    <x v="0"/>
    <n v="6000"/>
    <d v="2022-05-31T00:00:00"/>
    <x v="0"/>
    <x v="11"/>
  </r>
  <r>
    <x v="15"/>
    <n v="3000"/>
    <n v="4"/>
    <s v="Av. Dom Luís, 500 - Aldeota, Fortaleza - CE, 60160-230"/>
    <x v="2"/>
    <s v="IZABEL LOPES"/>
    <x v="1"/>
    <n v="27"/>
    <x v="2"/>
    <n v="12000"/>
    <d v="2022-10-28T00:00:00"/>
    <x v="0"/>
    <x v="6"/>
  </r>
  <r>
    <x v="0"/>
    <n v="4500"/>
    <n v="3"/>
    <s v="Rua Quinze de Novembro, 8 - Loja 301a Loja 301b - Centro, Niterói - RJ, 24020-125"/>
    <x v="1"/>
    <s v="CAMILA SOBRAL"/>
    <x v="1"/>
    <n v="29"/>
    <x v="2"/>
    <n v="13500"/>
    <d v="2022-01-02T00:00:00"/>
    <x v="0"/>
    <x v="5"/>
  </r>
  <r>
    <x v="18"/>
    <n v="2500"/>
    <n v="5"/>
    <s v="Av. Goiás Norte, 3.592 - quadra 2.1 - St. Mal. Rondon, Goiânia - GO, 74063-010"/>
    <x v="4"/>
    <s v="VICTOR CORRÊA"/>
    <x v="0"/>
    <n v="48"/>
    <x v="0"/>
    <n v="12500"/>
    <d v="2022-02-05T00:00:00"/>
    <x v="0"/>
    <x v="4"/>
  </r>
  <r>
    <x v="14"/>
    <n v="1500"/>
    <n v="2"/>
    <s v="Rua Antônio Lumack do Monte, 203 - 1 - Boa Viagem, Recife - PE, 51020-350"/>
    <x v="6"/>
    <s v="JULIA LEIG"/>
    <x v="1"/>
    <n v="31"/>
    <x v="0"/>
    <n v="3000"/>
    <d v="2022-12-14T00:00:00"/>
    <x v="0"/>
    <x v="8"/>
  </r>
  <r>
    <x v="5"/>
    <n v="1450"/>
    <n v="4"/>
    <s v="R. Dr. Antônio Castro Prado, 422 - Vila Rossi e Borchi, Campinas - SP, 13076-130"/>
    <x v="0"/>
    <s v="RAPHAEL GUEDES"/>
    <x v="0"/>
    <n v="25"/>
    <x v="2"/>
    <n v="5800"/>
    <d v="2022-09-17T00:00:00"/>
    <x v="0"/>
    <x v="1"/>
  </r>
  <r>
    <x v="12"/>
    <n v="1500"/>
    <n v="4"/>
    <s v="Rua Quinze de Novembro, 8 - Loja 301a Loja 301b - Centro, Niterói - RJ, 24020-125"/>
    <x v="1"/>
    <s v="ULISSES QUINTO"/>
    <x v="0"/>
    <n v="69"/>
    <x v="1"/>
    <n v="6000"/>
    <d v="2022-07-20T00:00:00"/>
    <x v="0"/>
    <x v="0"/>
  </r>
  <r>
    <x v="14"/>
    <n v="1500"/>
    <n v="5"/>
    <s v="Av. Dom Luís, 500 - Aldeota, Fortaleza - CE, 60160-230"/>
    <x v="2"/>
    <s v="BEATRIZ ROCHA"/>
    <x v="1"/>
    <n v="40"/>
    <x v="0"/>
    <n v="7500"/>
    <d v="2022-07-24T00:00:00"/>
    <x v="0"/>
    <x v="0"/>
  </r>
  <r>
    <x v="22"/>
    <n v="2400"/>
    <n v="2"/>
    <s v="R. Brasílio Itiberê, 3279 - Água Verde, Curitiba - PR, 80250-160"/>
    <x v="3"/>
    <s v="BRUNO OLIVEIRA"/>
    <x v="0"/>
    <n v="76"/>
    <x v="1"/>
    <n v="4800"/>
    <d v="2022-01-05T00:00:00"/>
    <x v="0"/>
    <x v="5"/>
  </r>
  <r>
    <x v="16"/>
    <n v="1200"/>
    <n v="2"/>
    <s v="R. Luíz Faccini, 212 - Centro, Guarulhos - SP, 07110-000"/>
    <x v="0"/>
    <s v="PEDRO RODRIGUES"/>
    <x v="0"/>
    <n v="41"/>
    <x v="0"/>
    <n v="2400"/>
    <d v="2022-01-01T00:00:00"/>
    <x v="0"/>
    <x v="5"/>
  </r>
  <r>
    <x v="7"/>
    <n v="2600"/>
    <n v="4"/>
    <s v="Av. Mal. Floriano Peixoto, 2248-2258 - Centro, Nova Iguaçu - RJ, 26210-000"/>
    <x v="1"/>
    <s v="ALON FAHRNHOLZ"/>
    <x v="0"/>
    <n v="71"/>
    <x v="1"/>
    <n v="10400"/>
    <d v="2022-03-04T00:00:00"/>
    <x v="0"/>
    <x v="9"/>
  </r>
  <r>
    <x v="15"/>
    <n v="3000"/>
    <n v="5"/>
    <s v="R. Teodoro Sampaio, 954 - Pinheiros, São Paulo - SP, 05406-050"/>
    <x v="0"/>
    <s v="PEDRO RONFINI"/>
    <x v="0"/>
    <n v="42"/>
    <x v="0"/>
    <n v="15000"/>
    <d v="2022-07-02T00:00:00"/>
    <x v="0"/>
    <x v="0"/>
  </r>
  <r>
    <x v="5"/>
    <n v="1450"/>
    <n v="4"/>
    <s v="Shopping Barra - Av. Centenário, 2992 - Barra, Salvador - BA, 40155-150"/>
    <x v="5"/>
    <s v="CAIO CALDAS"/>
    <x v="0"/>
    <n v="33"/>
    <x v="0"/>
    <n v="5800"/>
    <d v="2022-07-25T00:00:00"/>
    <x v="0"/>
    <x v="0"/>
  </r>
  <r>
    <x v="8"/>
    <n v="1400"/>
    <n v="4"/>
    <s v="R. Luíz Faccini, 212 - Centro, Guarulhos - SP, 07110-000"/>
    <x v="0"/>
    <s v="VICTOR LIRA"/>
    <x v="0"/>
    <n v="38"/>
    <x v="0"/>
    <n v="5600"/>
    <d v="2022-03-22T00:00:00"/>
    <x v="0"/>
    <x v="9"/>
  </r>
  <r>
    <x v="19"/>
    <n v="1750"/>
    <n v="4"/>
    <s v="Av. Mal. Floriano Peixoto, 2248-2258 - Centro, Nova Iguaçu - RJ, 26210-000"/>
    <x v="1"/>
    <s v="JÔNATAS SOARES"/>
    <x v="0"/>
    <n v="56"/>
    <x v="1"/>
    <n v="7000"/>
    <d v="2022-08-06T00:00:00"/>
    <x v="0"/>
    <x v="7"/>
  </r>
  <r>
    <x v="15"/>
    <n v="3000"/>
    <n v="1"/>
    <s v="Rua Antônio Lumack do Monte, 203 - 1 - Boa Viagem, Recife - PE, 51020-350"/>
    <x v="6"/>
    <s v="JOAO PEREIRA"/>
    <x v="0"/>
    <n v="27"/>
    <x v="2"/>
    <n v="3000"/>
    <d v="2022-08-10T00:00:00"/>
    <x v="0"/>
    <x v="7"/>
  </r>
  <r>
    <x v="7"/>
    <n v="2600"/>
    <n v="3"/>
    <s v="R. Dr. Antônio Castro Prado, 422 - Vila Rossi e Borchi, Campinas - SP, 13076-130"/>
    <x v="0"/>
    <s v="MARIANNA PESTANA"/>
    <x v="1"/>
    <n v="45"/>
    <x v="0"/>
    <n v="7800"/>
    <d v="2022-08-09T00:00:00"/>
    <x v="0"/>
    <x v="7"/>
  </r>
  <r>
    <x v="10"/>
    <n v="750"/>
    <n v="2"/>
    <s v="Av. Dom Luís, 500 - Aldeota, Fortaleza - CE, 60160-230"/>
    <x v="2"/>
    <s v="JOÃO MONTEIRO"/>
    <x v="0"/>
    <n v="42"/>
    <x v="0"/>
    <n v="1500"/>
    <d v="2022-07-03T00:00:00"/>
    <x v="0"/>
    <x v="0"/>
  </r>
  <r>
    <x v="5"/>
    <n v="1450"/>
    <n v="1"/>
    <s v="Av. Barão Homem de Melo, 1389 - Nova Granada, Belo Horizonte - MG, 30431-425"/>
    <x v="7"/>
    <s v="NICOLAS MONTEIRO"/>
    <x v="0"/>
    <n v="73"/>
    <x v="1"/>
    <n v="1450"/>
    <d v="2022-01-19T00:00:00"/>
    <x v="0"/>
    <x v="5"/>
  </r>
  <r>
    <x v="12"/>
    <n v="1500"/>
    <n v="4"/>
    <s v="R. Luíz Faccini, 212 - Centro, Guarulhos - SP, 07110-000"/>
    <x v="0"/>
    <s v="LARISSA JESUS"/>
    <x v="1"/>
    <n v="29"/>
    <x v="2"/>
    <n v="6000"/>
    <d v="2022-12-16T00:00:00"/>
    <x v="0"/>
    <x v="8"/>
  </r>
  <r>
    <x v="11"/>
    <n v="2000"/>
    <n v="5"/>
    <s v="R. Brasílio Itiberê, 3279 - Água Verde, Curitiba - PR, 80250-160"/>
    <x v="3"/>
    <s v="DANIEL NAUENBERG"/>
    <x v="0"/>
    <n v="36"/>
    <x v="0"/>
    <n v="10000"/>
    <d v="2022-07-09T00:00:00"/>
    <x v="0"/>
    <x v="0"/>
  </r>
  <r>
    <x v="8"/>
    <n v="1400"/>
    <n v="4"/>
    <s v="R. Visc. de Pirajá, 136 - Ipanema, Rio de Janeiro - RJ, 22410-000"/>
    <x v="1"/>
    <s v="STEFAN SANTOS"/>
    <x v="0"/>
    <n v="50"/>
    <x v="0"/>
    <n v="5600"/>
    <d v="2022-01-13T00:00:00"/>
    <x v="0"/>
    <x v="5"/>
  </r>
  <r>
    <x v="8"/>
    <n v="1400"/>
    <n v="2"/>
    <s v="Rua Antônio Lumack do Monte, 203 - 1 - Boa Viagem, Recife - PE, 51020-350"/>
    <x v="6"/>
    <s v="JOAO PEREIRA"/>
    <x v="0"/>
    <n v="27"/>
    <x v="2"/>
    <n v="2800"/>
    <d v="2022-06-14T00:00:00"/>
    <x v="0"/>
    <x v="3"/>
  </r>
  <r>
    <x v="19"/>
    <n v="1750"/>
    <n v="2"/>
    <s v="R. Dr. Antônio Castro Prado, 422 - Vila Rossi e Borchi, Campinas - SP, 13076-130"/>
    <x v="0"/>
    <s v="ARTHUR PORTELA"/>
    <x v="0"/>
    <n v="28"/>
    <x v="2"/>
    <n v="3500"/>
    <d v="2022-04-09T00:00:00"/>
    <x v="0"/>
    <x v="2"/>
  </r>
  <r>
    <x v="22"/>
    <n v="2400"/>
    <n v="5"/>
    <s v="Av. Mal. Floriano Peixoto, 2248-2258 - Centro, Nova Iguaçu - RJ, 26210-000"/>
    <x v="1"/>
    <s v="STELA MENDONÇA"/>
    <x v="1"/>
    <n v="60"/>
    <x v="1"/>
    <n v="12000"/>
    <d v="2022-09-16T00:00:00"/>
    <x v="0"/>
    <x v="1"/>
  </r>
  <r>
    <x v="23"/>
    <n v="1100"/>
    <n v="1"/>
    <s v="R. Visc. de Pirajá, 136 - Ipanema, Rio de Janeiro - RJ, 22410-000"/>
    <x v="1"/>
    <s v="JOÃO SILVA"/>
    <x v="0"/>
    <n v="70"/>
    <x v="1"/>
    <n v="1100"/>
    <d v="2022-12-25T00:00:00"/>
    <x v="0"/>
    <x v="8"/>
  </r>
  <r>
    <x v="2"/>
    <n v="1900"/>
    <n v="5"/>
    <s v="Av. Barão Homem de Melo, 1389 - Nova Granada, Belo Horizonte - MG, 30431-425"/>
    <x v="7"/>
    <s v="CARLOS MESQUITA"/>
    <x v="0"/>
    <n v="38"/>
    <x v="0"/>
    <n v="9500"/>
    <d v="2022-10-21T00:00:00"/>
    <x v="0"/>
    <x v="6"/>
  </r>
  <r>
    <x v="7"/>
    <n v="2600"/>
    <n v="2"/>
    <s v="R. Teodoro Sampaio, 954 - Pinheiros, São Paulo - SP, 05406-050"/>
    <x v="0"/>
    <s v="LAURA ARAUJO"/>
    <x v="1"/>
    <n v="64"/>
    <x v="1"/>
    <n v="5200"/>
    <d v="2022-02-20T00:00:00"/>
    <x v="0"/>
    <x v="4"/>
  </r>
  <r>
    <x v="13"/>
    <n v="1550"/>
    <n v="2"/>
    <s v="Av. Barão Homem de Melo, 1389 - Nova Granada, Belo Horizonte - MG, 30431-425"/>
    <x v="7"/>
    <s v="MARCELO BORGES"/>
    <x v="0"/>
    <n v="45"/>
    <x v="0"/>
    <n v="3100"/>
    <d v="2022-01-29T00:00:00"/>
    <x v="0"/>
    <x v="5"/>
  </r>
  <r>
    <x v="12"/>
    <n v="1500"/>
    <n v="5"/>
    <s v="Av. Goiás Norte, 3.592 - quadra 2.1 - St. Mal. Rondon, Goiânia - GO, 74063-010"/>
    <x v="4"/>
    <s v="ARTHUR SOUZA"/>
    <x v="0"/>
    <n v="45"/>
    <x v="0"/>
    <n v="7500"/>
    <d v="2022-10-30T00:00:00"/>
    <x v="0"/>
    <x v="6"/>
  </r>
  <r>
    <x v="22"/>
    <n v="2400"/>
    <n v="5"/>
    <s v="Av. Goiás Norte, 3.592 - quadra 2.1 - St. Mal. Rondon, Goiânia - GO, 74063-010"/>
    <x v="4"/>
    <s v="REBECA TAYLOR"/>
    <x v="1"/>
    <n v="41"/>
    <x v="0"/>
    <n v="12000"/>
    <d v="2022-12-28T00:00:00"/>
    <x v="0"/>
    <x v="8"/>
  </r>
  <r>
    <x v="19"/>
    <n v="1750"/>
    <n v="4"/>
    <s v="R. Luíz Faccini, 212 - Centro, Guarulhos - SP, 07110-000"/>
    <x v="0"/>
    <s v="THALES PORTILLO"/>
    <x v="0"/>
    <n v="71"/>
    <x v="1"/>
    <n v="7000"/>
    <d v="2022-09-04T00:00:00"/>
    <x v="0"/>
    <x v="1"/>
  </r>
  <r>
    <x v="5"/>
    <n v="1450"/>
    <n v="2"/>
    <s v="R. Brasílio Itiberê, 3279 - Água Verde, Curitiba - PR, 80250-160"/>
    <x v="3"/>
    <s v="GISELIA THIELE"/>
    <x v="1"/>
    <n v="55"/>
    <x v="1"/>
    <n v="2900"/>
    <d v="2022-07-13T00:00:00"/>
    <x v="0"/>
    <x v="0"/>
  </r>
  <r>
    <x v="12"/>
    <n v="1500"/>
    <n v="3"/>
    <s v="Av. Borges de Medeiros, 3120 - Praia de Belas, Porto Alegre - RS, 90110-150"/>
    <x v="8"/>
    <s v="MATHEUS SAPIR"/>
    <x v="0"/>
    <n v="70"/>
    <x v="1"/>
    <n v="4500"/>
    <d v="2022-04-02T00:00:00"/>
    <x v="0"/>
    <x v="2"/>
  </r>
  <r>
    <x v="18"/>
    <n v="2500"/>
    <n v="2"/>
    <s v="Rua Quinze de Novembro, 8 - Loja 301a Loja 301b - Centro, Niterói - RJ, 24020-125"/>
    <x v="1"/>
    <s v="CAMILLE SILVA"/>
    <x v="1"/>
    <n v="73"/>
    <x v="1"/>
    <n v="5000"/>
    <d v="2022-01-29T00:00:00"/>
    <x v="0"/>
    <x v="5"/>
  </r>
  <r>
    <x v="13"/>
    <n v="1550"/>
    <n v="4"/>
    <s v="Av. Mal. Floriano Peixoto, 2248-2258 - Centro, Nova Iguaçu - RJ, 26210-000"/>
    <x v="1"/>
    <s v="ERIC CARVALHO"/>
    <x v="0"/>
    <n v="70"/>
    <x v="1"/>
    <n v="6200"/>
    <d v="2022-02-01T00:00:00"/>
    <x v="0"/>
    <x v="4"/>
  </r>
  <r>
    <x v="4"/>
    <n v="700"/>
    <n v="5"/>
    <s v="R. Teodoro Sampaio, 954 - Pinheiros, São Paulo - SP, 05406-050"/>
    <x v="0"/>
    <s v="FELIPE PAULO"/>
    <x v="0"/>
    <n v="68"/>
    <x v="1"/>
    <n v="3500"/>
    <d v="2022-12-27T00:00:00"/>
    <x v="0"/>
    <x v="8"/>
  </r>
  <r>
    <x v="22"/>
    <n v="2400"/>
    <n v="4"/>
    <s v="R. Luíz Faccini, 212 - Centro, Guarulhos - SP, 07110-000"/>
    <x v="0"/>
    <s v="JULIE FERREIRA"/>
    <x v="1"/>
    <n v="34"/>
    <x v="0"/>
    <n v="9600"/>
    <d v="2022-02-03T00:00:00"/>
    <x v="0"/>
    <x v="4"/>
  </r>
  <r>
    <x v="4"/>
    <n v="700"/>
    <n v="2"/>
    <s v="R. Luíz Faccini, 212 - Centro, Guarulhos - SP, 07110-000"/>
    <x v="0"/>
    <s v="CARLOS PORTELA"/>
    <x v="0"/>
    <n v="63"/>
    <x v="1"/>
    <n v="1400"/>
    <d v="2022-11-23T00:00:00"/>
    <x v="0"/>
    <x v="10"/>
  </r>
  <r>
    <x v="19"/>
    <n v="1750"/>
    <n v="1"/>
    <s v="Av. Goiás Norte, 3.592 - quadra 2.1 - St. Mal. Rondon, Goiânia - GO, 74063-010"/>
    <x v="4"/>
    <s v="CAROLINA VASCONCELOS"/>
    <x v="1"/>
    <n v="42"/>
    <x v="0"/>
    <n v="1750"/>
    <d v="2022-08-24T00:00:00"/>
    <x v="0"/>
    <x v="7"/>
  </r>
  <r>
    <x v="3"/>
    <n v="1500"/>
    <n v="3"/>
    <s v="R. Dr. Antônio Castro Prado, 422 - Vila Rossi e Borchi, Campinas - SP, 13076-130"/>
    <x v="0"/>
    <s v="ANA FELIPPE"/>
    <x v="1"/>
    <n v="32"/>
    <x v="0"/>
    <n v="4500"/>
    <d v="2022-03-12T00:00:00"/>
    <x v="0"/>
    <x v="9"/>
  </r>
  <r>
    <x v="8"/>
    <n v="1400"/>
    <n v="4"/>
    <s v="Av. Goiás Norte, 3.592 - quadra 2.1 - St. Mal. Rondon, Goiânia - GO, 74063-010"/>
    <x v="4"/>
    <s v="JULIA LEITE"/>
    <x v="1"/>
    <n v="36"/>
    <x v="0"/>
    <n v="5600"/>
    <d v="2022-07-19T00:00:00"/>
    <x v="0"/>
    <x v="0"/>
  </r>
  <r>
    <x v="11"/>
    <n v="2000"/>
    <n v="3"/>
    <s v="Av. Goiás Norte, 3.592 - quadra 2.1 - St. Mal. Rondon, Goiânia - GO, 74063-010"/>
    <x v="4"/>
    <s v="GIOVANNA SANTOS"/>
    <x v="1"/>
    <n v="28"/>
    <x v="2"/>
    <n v="6000"/>
    <d v="2022-05-23T00:00:00"/>
    <x v="0"/>
    <x v="11"/>
  </r>
  <r>
    <x v="18"/>
    <n v="2500"/>
    <n v="5"/>
    <s v="R. Brasílio Itiberê, 3279 - Água Verde, Curitiba - PR, 80250-160"/>
    <x v="3"/>
    <s v="PATRÍCIA AMARAL"/>
    <x v="1"/>
    <n v="35"/>
    <x v="0"/>
    <n v="12500"/>
    <d v="2022-02-26T00:00:00"/>
    <x v="0"/>
    <x v="4"/>
  </r>
  <r>
    <x v="9"/>
    <n v="2000"/>
    <n v="4"/>
    <s v="R. Luíz Faccini, 212 - Centro, Guarulhos - SP, 07110-000"/>
    <x v="0"/>
    <s v="EDUARDO NUNES"/>
    <x v="0"/>
    <n v="30"/>
    <x v="0"/>
    <n v="8000"/>
    <d v="2022-12-07T00:00:00"/>
    <x v="0"/>
    <x v="8"/>
  </r>
  <r>
    <x v="18"/>
    <n v="2500"/>
    <n v="5"/>
    <s v="R. Luíz Faccini, 212 - Centro, Guarulhos - SP, 07110-000"/>
    <x v="0"/>
    <s v="JULIE FERREIRA"/>
    <x v="1"/>
    <n v="34"/>
    <x v="0"/>
    <n v="12500"/>
    <d v="2022-11-09T00:00:00"/>
    <x v="0"/>
    <x v="10"/>
  </r>
  <r>
    <x v="8"/>
    <n v="1400"/>
    <n v="4"/>
    <s v="Av. Mal. Floriano Peixoto, 2248-2258 - Centro, Nova Iguaçu - RJ, 26210-000"/>
    <x v="1"/>
    <s v="LUCAS CAVALCANTI"/>
    <x v="0"/>
    <n v="34"/>
    <x v="0"/>
    <n v="5600"/>
    <d v="2022-09-09T00:00:00"/>
    <x v="0"/>
    <x v="1"/>
  </r>
  <r>
    <x v="23"/>
    <n v="1100"/>
    <n v="2"/>
    <s v="Shopping Barra - Av. Centenário, 2992 - Barra, Salvador - BA, 40155-150"/>
    <x v="5"/>
    <s v="GUILHERME CASTILHO"/>
    <x v="0"/>
    <n v="55"/>
    <x v="1"/>
    <n v="2200"/>
    <d v="2022-02-07T00:00:00"/>
    <x v="0"/>
    <x v="4"/>
  </r>
  <r>
    <x v="21"/>
    <n v="5200"/>
    <n v="3"/>
    <s v="Shopping Barra - Av. Centenário, 2992 - Barra, Salvador - BA, 40155-150"/>
    <x v="5"/>
    <s v="ULISSES FILHO"/>
    <x v="0"/>
    <n v="70"/>
    <x v="1"/>
    <n v="15600"/>
    <d v="2022-02-04T00:00:00"/>
    <x v="0"/>
    <x v="4"/>
  </r>
  <r>
    <x v="16"/>
    <n v="1200"/>
    <n v="5"/>
    <s v="Av. Dom Luís, 500 - Aldeota, Fortaleza - CE, 60160-230"/>
    <x v="2"/>
    <s v="BRUNO MOTA"/>
    <x v="0"/>
    <n v="37"/>
    <x v="0"/>
    <n v="6000"/>
    <d v="2022-04-25T00:00:00"/>
    <x v="0"/>
    <x v="2"/>
  </r>
  <r>
    <x v="19"/>
    <n v="1750"/>
    <n v="3"/>
    <s v="R. Luíz Faccini, 212 - Centro, Guarulhos - SP, 07110-000"/>
    <x v="0"/>
    <s v="LORENA KOHN"/>
    <x v="1"/>
    <n v="60"/>
    <x v="1"/>
    <n v="5250"/>
    <d v="2022-03-26T00:00:00"/>
    <x v="0"/>
    <x v="9"/>
  </r>
  <r>
    <x v="2"/>
    <n v="1900"/>
    <n v="2"/>
    <s v="Av. Mal. Floriano Peixoto, 2248-2258 - Centro, Nova Iguaçu - RJ, 26210-000"/>
    <x v="1"/>
    <s v="JOÃO TABET"/>
    <x v="0"/>
    <n v="44"/>
    <x v="0"/>
    <n v="3800"/>
    <d v="2022-02-21T00:00:00"/>
    <x v="0"/>
    <x v="4"/>
  </r>
  <r>
    <x v="7"/>
    <n v="2600"/>
    <n v="1"/>
    <s v="Rua Antônio Lumack do Monte, 203 - 1 - Boa Viagem, Recife - PE, 51020-350"/>
    <x v="6"/>
    <s v="VICTOR FRANCO"/>
    <x v="0"/>
    <n v="35"/>
    <x v="0"/>
    <n v="2600"/>
    <d v="2022-09-26T00:00:00"/>
    <x v="0"/>
    <x v="1"/>
  </r>
  <r>
    <x v="1"/>
    <n v="1400"/>
    <n v="4"/>
    <s v="Av. Barão Homem de Melo, 1389 - Nova Granada, Belo Horizonte - MG, 30431-425"/>
    <x v="7"/>
    <s v="LUIZ ALMEIDA"/>
    <x v="0"/>
    <n v="71"/>
    <x v="1"/>
    <n v="5600"/>
    <d v="2022-12-24T00:00:00"/>
    <x v="0"/>
    <x v="8"/>
  </r>
  <r>
    <x v="22"/>
    <n v="2400"/>
    <n v="4"/>
    <s v="R. Teodoro Sampaio, 954 - Pinheiros, São Paulo - SP, 05406-050"/>
    <x v="0"/>
    <s v="EDUARDO FERREIRA"/>
    <x v="0"/>
    <n v="46"/>
    <x v="0"/>
    <n v="9600"/>
    <d v="2022-07-15T00:00:00"/>
    <x v="0"/>
    <x v="0"/>
  </r>
  <r>
    <x v="10"/>
    <n v="750"/>
    <n v="1"/>
    <s v="Av. Dom Luís, 500 - Aldeota, Fortaleza - CE, 60160-230"/>
    <x v="2"/>
    <s v="CÉLIO XAVIER"/>
    <x v="0"/>
    <n v="64"/>
    <x v="1"/>
    <n v="750"/>
    <d v="2022-05-30T00:00:00"/>
    <x v="0"/>
    <x v="11"/>
  </r>
  <r>
    <x v="18"/>
    <n v="2500"/>
    <n v="1"/>
    <s v="R. Visc. de Pirajá, 136 - Ipanema, Rio de Janeiro - RJ, 22410-000"/>
    <x v="1"/>
    <s v="ANA BÔAS"/>
    <x v="1"/>
    <n v="54"/>
    <x v="1"/>
    <n v="2500"/>
    <d v="2022-09-14T00:00:00"/>
    <x v="0"/>
    <x v="1"/>
  </r>
  <r>
    <x v="18"/>
    <n v="2500"/>
    <n v="1"/>
    <s v="Rua Quinze de Novembro, 8 - Loja 301a Loja 301b - Centro, Niterói - RJ, 24020-125"/>
    <x v="1"/>
    <s v="JOÃO MATHEUS"/>
    <x v="0"/>
    <n v="29"/>
    <x v="2"/>
    <n v="2500"/>
    <d v="2022-01-21T00:00:00"/>
    <x v="0"/>
    <x v="5"/>
  </r>
  <r>
    <x v="22"/>
    <n v="2400"/>
    <n v="4"/>
    <s v="Av. Barão Homem de Melo, 1389 - Nova Granada, Belo Horizonte - MG, 30431-425"/>
    <x v="7"/>
    <s v="GABRIEL PUNTEL"/>
    <x v="0"/>
    <n v="26"/>
    <x v="2"/>
    <n v="9600"/>
    <d v="2022-05-06T00:00:00"/>
    <x v="0"/>
    <x v="11"/>
  </r>
  <r>
    <x v="9"/>
    <n v="2000"/>
    <n v="4"/>
    <s v="R. Visc. de Pirajá, 136 - Ipanema, Rio de Janeiro - RJ, 22410-000"/>
    <x v="1"/>
    <s v="SILVIO PROVENZANO"/>
    <x v="0"/>
    <n v="37"/>
    <x v="0"/>
    <n v="8000"/>
    <d v="2022-06-16T00:00:00"/>
    <x v="0"/>
    <x v="3"/>
  </r>
  <r>
    <x v="19"/>
    <n v="1750"/>
    <n v="4"/>
    <s v="R. Visc. de Pirajá, 136 - Ipanema, Rio de Janeiro - RJ, 22410-000"/>
    <x v="1"/>
    <s v="GUILHERME RACHIDE"/>
    <x v="0"/>
    <n v="66"/>
    <x v="1"/>
    <n v="7000"/>
    <d v="2022-06-29T00:00:00"/>
    <x v="0"/>
    <x v="3"/>
  </r>
  <r>
    <x v="16"/>
    <n v="1200"/>
    <n v="5"/>
    <s v="Av. Barão Homem de Melo, 1389 - Nova Granada, Belo Horizonte - MG, 30431-425"/>
    <x v="7"/>
    <s v="ALEX FERNANDES"/>
    <x v="0"/>
    <n v="51"/>
    <x v="1"/>
    <n v="6000"/>
    <d v="2022-12-02T00:00:00"/>
    <x v="0"/>
    <x v="8"/>
  </r>
  <r>
    <x v="12"/>
    <n v="1500"/>
    <n v="2"/>
    <s v="Shopping Barra - Av. Centenário, 2992 - Barra, Salvador - BA, 40155-150"/>
    <x v="5"/>
    <s v="RAPHAEL REZENDE"/>
    <x v="0"/>
    <n v="56"/>
    <x v="1"/>
    <n v="3000"/>
    <d v="2022-12-20T00:00:00"/>
    <x v="0"/>
    <x v="8"/>
  </r>
  <r>
    <x v="8"/>
    <n v="1400"/>
    <n v="2"/>
    <s v="Rua Antônio Lumack do Monte, 203 - 1 - Boa Viagem, Recife - PE, 51020-350"/>
    <x v="6"/>
    <s v="GLENDA SANTOS"/>
    <x v="1"/>
    <n v="27"/>
    <x v="2"/>
    <n v="2800"/>
    <d v="2022-07-26T00:00:00"/>
    <x v="0"/>
    <x v="0"/>
  </r>
  <r>
    <x v="10"/>
    <n v="750"/>
    <n v="2"/>
    <s v="R. Visc. de Pirajá, 136 - Ipanema, Rio de Janeiro - RJ, 22410-000"/>
    <x v="1"/>
    <s v="NATALIA ANDRADE"/>
    <x v="1"/>
    <n v="73"/>
    <x v="1"/>
    <n v="1500"/>
    <d v="2022-03-05T00:00:00"/>
    <x v="0"/>
    <x v="9"/>
  </r>
  <r>
    <x v="2"/>
    <n v="1900"/>
    <n v="1"/>
    <s v="Rua Antônio Lumack do Monte, 203 - 1 - Boa Viagem, Recife - PE, 51020-350"/>
    <x v="6"/>
    <s v="LUIZ MARINHO"/>
    <x v="0"/>
    <n v="72"/>
    <x v="1"/>
    <n v="1900"/>
    <d v="2022-10-03T00:00:00"/>
    <x v="0"/>
    <x v="6"/>
  </r>
  <r>
    <x v="14"/>
    <n v="1500"/>
    <n v="4"/>
    <s v="R. Dr. Antônio Castro Prado, 422 - Vila Rossi e Borchi, Campinas - SP, 13076-130"/>
    <x v="0"/>
    <s v="GABRIELLE SILVA"/>
    <x v="1"/>
    <n v="75"/>
    <x v="1"/>
    <n v="6000"/>
    <d v="2022-08-10T00:00:00"/>
    <x v="0"/>
    <x v="7"/>
  </r>
  <r>
    <x v="17"/>
    <n v="2300"/>
    <n v="1"/>
    <s v="R. Luíz Faccini, 212 - Centro, Guarulhos - SP, 07110-000"/>
    <x v="0"/>
    <s v="ROBERTA PIMENTA"/>
    <x v="1"/>
    <n v="56"/>
    <x v="1"/>
    <n v="2300"/>
    <d v="2022-01-17T00:00:00"/>
    <x v="0"/>
    <x v="5"/>
  </r>
  <r>
    <x v="6"/>
    <n v="6500"/>
    <n v="1"/>
    <s v="Shopping Barra - Av. Centenário, 2992 - Barra, Salvador - BA, 40155-150"/>
    <x v="5"/>
    <s v="JULIA TEIXEIRA"/>
    <x v="1"/>
    <n v="25"/>
    <x v="2"/>
    <n v="6500"/>
    <d v="2022-08-29T00:00:00"/>
    <x v="0"/>
    <x v="7"/>
  </r>
  <r>
    <x v="13"/>
    <n v="1550"/>
    <n v="4"/>
    <s v="Av. Borges de Medeiros, 3120 - Praia de Belas, Porto Alegre - RS, 90110-150"/>
    <x v="8"/>
    <s v="BRUNA RANGEL"/>
    <x v="1"/>
    <n v="31"/>
    <x v="0"/>
    <n v="6200"/>
    <d v="2022-01-07T00:00:00"/>
    <x v="0"/>
    <x v="5"/>
  </r>
  <r>
    <x v="0"/>
    <n v="4500"/>
    <n v="1"/>
    <s v="R. Luíz Faccini, 212 - Centro, Guarulhos - SP, 07110-000"/>
    <x v="0"/>
    <s v="CAIO SILVA"/>
    <x v="0"/>
    <n v="52"/>
    <x v="1"/>
    <n v="4500"/>
    <d v="2022-01-27T00:00:00"/>
    <x v="0"/>
    <x v="5"/>
  </r>
  <r>
    <x v="17"/>
    <n v="2300"/>
    <n v="4"/>
    <s v="Av. Dom Luís, 500 - Aldeota, Fortaleza - CE, 60160-230"/>
    <x v="2"/>
    <s v="LUÍZA GARCIA"/>
    <x v="1"/>
    <n v="38"/>
    <x v="0"/>
    <n v="9200"/>
    <d v="2022-05-06T00:00:00"/>
    <x v="0"/>
    <x v="11"/>
  </r>
  <r>
    <x v="20"/>
    <n v="5500"/>
    <n v="1"/>
    <s v="Av. Barão Homem de Melo, 1389 - Nova Granada, Belo Horizonte - MG, 30431-425"/>
    <x v="7"/>
    <s v="CAIO CARDOSO"/>
    <x v="0"/>
    <n v="40"/>
    <x v="0"/>
    <n v="5500"/>
    <d v="2022-06-16T00:00:00"/>
    <x v="0"/>
    <x v="3"/>
  </r>
  <r>
    <x v="3"/>
    <n v="1500"/>
    <n v="5"/>
    <s v="R. Brasílio Itiberê, 3279 - Água Verde, Curitiba - PR, 80250-160"/>
    <x v="3"/>
    <s v="JOÃO COSTA"/>
    <x v="0"/>
    <n v="39"/>
    <x v="0"/>
    <n v="7500"/>
    <d v="2022-10-17T00:00:00"/>
    <x v="0"/>
    <x v="6"/>
  </r>
  <r>
    <x v="16"/>
    <n v="1200"/>
    <n v="3"/>
    <s v="Av. Barão Homem de Melo, 1389 - Nova Granada, Belo Horizonte - MG, 30431-425"/>
    <x v="7"/>
    <s v="YASSER CALBUCCI"/>
    <x v="0"/>
    <n v="45"/>
    <x v="0"/>
    <n v="3600"/>
    <d v="2022-04-29T00:00:00"/>
    <x v="0"/>
    <x v="2"/>
  </r>
  <r>
    <x v="15"/>
    <n v="3000"/>
    <n v="5"/>
    <s v="R. Teodoro Sampaio, 954 - Pinheiros, São Paulo - SP, 05406-050"/>
    <x v="0"/>
    <s v="SAMARA PINTO"/>
    <x v="1"/>
    <n v="41"/>
    <x v="0"/>
    <n v="15000"/>
    <d v="2022-06-15T00:00:00"/>
    <x v="0"/>
    <x v="3"/>
  </r>
  <r>
    <x v="17"/>
    <n v="2300"/>
    <n v="5"/>
    <s v="Rua Antônio Lumack do Monte, 203 - 1 - Boa Viagem, Recife - PE, 51020-350"/>
    <x v="6"/>
    <s v="IGOR AZEVEDO"/>
    <x v="0"/>
    <n v="59"/>
    <x v="1"/>
    <n v="11500"/>
    <d v="2022-09-01T00:00:00"/>
    <x v="0"/>
    <x v="1"/>
  </r>
  <r>
    <x v="3"/>
    <n v="1500"/>
    <n v="3"/>
    <s v="Rua Antônio Lumack do Monte, 203 - 1 - Boa Viagem, Recife - PE, 51020-350"/>
    <x v="6"/>
    <s v="JOYCE SOUZA"/>
    <x v="1"/>
    <n v="65"/>
    <x v="1"/>
    <n v="4500"/>
    <d v="2022-12-31T00:00:00"/>
    <x v="0"/>
    <x v="8"/>
  </r>
  <r>
    <x v="11"/>
    <n v="2000"/>
    <n v="5"/>
    <s v="Shopping Barra - Av. Centenário, 2992 - Barra, Salvador - BA, 40155-150"/>
    <x v="5"/>
    <s v="ALLAN GUEDES"/>
    <x v="0"/>
    <n v="34"/>
    <x v="0"/>
    <n v="10000"/>
    <d v="2022-02-24T00:00:00"/>
    <x v="0"/>
    <x v="4"/>
  </r>
  <r>
    <x v="1"/>
    <n v="1400"/>
    <n v="3"/>
    <s v="Av. Borges de Medeiros, 3120 - Praia de Belas, Porto Alegre - RS, 90110-150"/>
    <x v="8"/>
    <s v="JUAN BARBOSA"/>
    <x v="0"/>
    <n v="61"/>
    <x v="1"/>
    <n v="4200"/>
    <d v="2022-06-12T00:00:00"/>
    <x v="0"/>
    <x v="3"/>
  </r>
  <r>
    <x v="19"/>
    <n v="1750"/>
    <n v="3"/>
    <s v="Av. Borges de Medeiros, 3120 - Praia de Belas, Porto Alegre - RS, 90110-150"/>
    <x v="8"/>
    <s v="PEDRO BURACO"/>
    <x v="0"/>
    <n v="64"/>
    <x v="1"/>
    <n v="5250"/>
    <d v="2022-05-26T00:00:00"/>
    <x v="0"/>
    <x v="11"/>
  </r>
  <r>
    <x v="9"/>
    <n v="2000"/>
    <n v="1"/>
    <s v="Av. Barão Homem de Melo, 1389 - Nova Granada, Belo Horizonte - MG, 30431-425"/>
    <x v="7"/>
    <s v="HENRIQUE VILLANOVA"/>
    <x v="0"/>
    <n v="67"/>
    <x v="1"/>
    <n v="2000"/>
    <d v="2022-11-02T00:00:00"/>
    <x v="0"/>
    <x v="10"/>
  </r>
  <r>
    <x v="17"/>
    <n v="2300"/>
    <n v="1"/>
    <s v="Av. Dom Luís, 500 - Aldeota, Fortaleza - CE, 60160-230"/>
    <x v="2"/>
    <s v="MARCELO GUADAGNINO"/>
    <x v="0"/>
    <n v="37"/>
    <x v="0"/>
    <n v="2300"/>
    <d v="2022-09-19T00:00:00"/>
    <x v="0"/>
    <x v="1"/>
  </r>
  <r>
    <x v="4"/>
    <n v="700"/>
    <n v="2"/>
    <s v="R. Luíz Faccini, 212 - Centro, Guarulhos - SP, 07110-000"/>
    <x v="0"/>
    <s v="GUILHERME MONTEIRO"/>
    <x v="0"/>
    <n v="36"/>
    <x v="0"/>
    <n v="1400"/>
    <d v="2022-07-05T00:00:00"/>
    <x v="0"/>
    <x v="0"/>
  </r>
  <r>
    <x v="15"/>
    <n v="3000"/>
    <n v="2"/>
    <s v="R. Luíz Faccini, 212 - Centro, Guarulhos - SP, 07110-000"/>
    <x v="0"/>
    <s v="DOUGLAS RODRIGUES"/>
    <x v="0"/>
    <n v="33"/>
    <x v="0"/>
    <n v="6000"/>
    <d v="2022-08-27T00:00:00"/>
    <x v="0"/>
    <x v="7"/>
  </r>
  <r>
    <x v="9"/>
    <n v="2000"/>
    <n v="5"/>
    <s v="Av. Goiás Norte, 3.592 - quadra 2.1 - St. Mal. Rondon, Goiânia - GO, 74063-010"/>
    <x v="4"/>
    <s v="MONIQUE VASCONCELOS"/>
    <x v="1"/>
    <n v="28"/>
    <x v="2"/>
    <n v="10000"/>
    <d v="2022-05-24T00:00:00"/>
    <x v="0"/>
    <x v="11"/>
  </r>
  <r>
    <x v="17"/>
    <n v="2300"/>
    <n v="2"/>
    <s v="Rua Antônio Lumack do Monte, 203 - 1 - Boa Viagem, Recife - PE, 51020-350"/>
    <x v="6"/>
    <s v="JOÃO ALVES"/>
    <x v="0"/>
    <n v="63"/>
    <x v="1"/>
    <n v="4600"/>
    <d v="2022-02-20T00:00:00"/>
    <x v="0"/>
    <x v="4"/>
  </r>
  <r>
    <x v="16"/>
    <n v="1200"/>
    <n v="4"/>
    <s v="Av. Borges de Medeiros, 3120 - Praia de Belas, Porto Alegre - RS, 90110-150"/>
    <x v="8"/>
    <s v="BERNARDO SOARES"/>
    <x v="0"/>
    <n v="41"/>
    <x v="0"/>
    <n v="4800"/>
    <d v="2022-04-13T00:00:00"/>
    <x v="0"/>
    <x v="2"/>
  </r>
  <r>
    <x v="18"/>
    <n v="2500"/>
    <n v="5"/>
    <s v="R. Luíz Faccini, 212 - Centro, Guarulhos - SP, 07110-000"/>
    <x v="0"/>
    <s v="BEATRIZ RODRIGUES"/>
    <x v="1"/>
    <n v="44"/>
    <x v="0"/>
    <n v="12500"/>
    <d v="2022-09-14T00:00:00"/>
    <x v="0"/>
    <x v="1"/>
  </r>
  <r>
    <x v="15"/>
    <n v="3000"/>
    <n v="5"/>
    <s v="Av. Borges de Medeiros, 3120 - Praia de Belas, Porto Alegre - RS, 90110-150"/>
    <x v="8"/>
    <s v="ISAAC SANTOS"/>
    <x v="0"/>
    <n v="44"/>
    <x v="0"/>
    <n v="15000"/>
    <d v="2022-01-18T00:00:00"/>
    <x v="0"/>
    <x v="5"/>
  </r>
  <r>
    <x v="18"/>
    <n v="2500"/>
    <n v="4"/>
    <s v="R. Brasílio Itiberê, 3279 - Água Verde, Curitiba - PR, 80250-160"/>
    <x v="3"/>
    <s v="DANIEL NAUENBERG"/>
    <x v="0"/>
    <n v="36"/>
    <x v="0"/>
    <n v="10000"/>
    <d v="2022-06-13T00:00:00"/>
    <x v="0"/>
    <x v="3"/>
  </r>
  <r>
    <x v="14"/>
    <n v="1500"/>
    <n v="2"/>
    <s v="Rua Quinze de Novembro, 8 - Loja 301a Loja 301b - Centro, Niterói - RJ, 24020-125"/>
    <x v="1"/>
    <s v="CLARISSA SANTOS"/>
    <x v="1"/>
    <n v="71"/>
    <x v="1"/>
    <n v="3000"/>
    <d v="2022-09-22T00:00:00"/>
    <x v="0"/>
    <x v="1"/>
  </r>
  <r>
    <x v="8"/>
    <n v="1400"/>
    <n v="5"/>
    <s v="R. Visc. de Pirajá, 136 - Ipanema, Rio de Janeiro - RJ, 22410-000"/>
    <x v="1"/>
    <s v="SILVIO PROVENZANO"/>
    <x v="0"/>
    <n v="37"/>
    <x v="0"/>
    <n v="7000"/>
    <d v="2022-07-19T00:00:00"/>
    <x v="0"/>
    <x v="0"/>
  </r>
  <r>
    <x v="17"/>
    <n v="2300"/>
    <n v="4"/>
    <s v="Av. Dom Luís, 500 - Aldeota, Fortaleza - CE, 60160-230"/>
    <x v="2"/>
    <s v="MARINA MARINS"/>
    <x v="1"/>
    <n v="75"/>
    <x v="1"/>
    <n v="9200"/>
    <d v="2022-06-10T00:00:00"/>
    <x v="0"/>
    <x v="3"/>
  </r>
  <r>
    <x v="5"/>
    <n v="1450"/>
    <n v="5"/>
    <s v="Av. Mal. Floriano Peixoto, 2248-2258 - Centro, Nova Iguaçu - RJ, 26210-000"/>
    <x v="1"/>
    <s v="STEFAN NUNES"/>
    <x v="0"/>
    <n v="64"/>
    <x v="1"/>
    <n v="7250"/>
    <d v="2022-12-08T00:00:00"/>
    <x v="0"/>
    <x v="8"/>
  </r>
  <r>
    <x v="1"/>
    <n v="1400"/>
    <n v="2"/>
    <s v="Shopping Barra - Av. Centenário, 2992 - Barra, Salvador - BA, 40155-150"/>
    <x v="5"/>
    <s v="MATEUS DUQUE"/>
    <x v="0"/>
    <n v="59"/>
    <x v="1"/>
    <n v="2800"/>
    <d v="2022-04-08T00:00:00"/>
    <x v="0"/>
    <x v="2"/>
  </r>
  <r>
    <x v="9"/>
    <n v="2000"/>
    <n v="4"/>
    <s v="Shopping Barra - Av. Centenário, 2992 - Barra, Salvador - BA, 40155-150"/>
    <x v="5"/>
    <s v="TADEU SOUSA"/>
    <x v="0"/>
    <n v="43"/>
    <x v="0"/>
    <n v="8000"/>
    <d v="2022-12-02T00:00:00"/>
    <x v="0"/>
    <x v="8"/>
  </r>
  <r>
    <x v="5"/>
    <n v="1450"/>
    <n v="4"/>
    <s v="Rua Antônio Lumack do Monte, 203 - 1 - Boa Viagem, Recife - PE, 51020-350"/>
    <x v="6"/>
    <s v="JOSÉ CARVALHO"/>
    <x v="0"/>
    <n v="41"/>
    <x v="0"/>
    <n v="5800"/>
    <d v="2022-05-20T00:00:00"/>
    <x v="0"/>
    <x v="11"/>
  </r>
  <r>
    <x v="17"/>
    <n v="2300"/>
    <n v="3"/>
    <s v="R. Visc. de Pirajá, 136 - Ipanema, Rio de Janeiro - RJ, 22410-000"/>
    <x v="1"/>
    <s v="PEDRO SANTANA"/>
    <x v="0"/>
    <n v="50"/>
    <x v="0"/>
    <n v="6900"/>
    <d v="2022-07-12T00:00:00"/>
    <x v="0"/>
    <x v="0"/>
  </r>
  <r>
    <x v="4"/>
    <n v="700"/>
    <n v="5"/>
    <s v="Shopping Barra - Av. Centenário, 2992 - Barra, Salvador - BA, 40155-150"/>
    <x v="5"/>
    <s v="MILENA ALCOFORADO"/>
    <x v="1"/>
    <n v="68"/>
    <x v="1"/>
    <n v="3500"/>
    <d v="2022-06-12T00:00:00"/>
    <x v="0"/>
    <x v="3"/>
  </r>
  <r>
    <x v="8"/>
    <n v="1400"/>
    <n v="4"/>
    <s v="Av. Dom Luís, 500 - Aldeota, Fortaleza - CE, 60160-230"/>
    <x v="2"/>
    <s v="RAFAELA FEIO"/>
    <x v="1"/>
    <n v="65"/>
    <x v="1"/>
    <n v="5600"/>
    <d v="2022-05-24T00:00:00"/>
    <x v="0"/>
    <x v="11"/>
  </r>
  <r>
    <x v="1"/>
    <n v="1400"/>
    <n v="3"/>
    <s v="Shopping Barra - Av. Centenário, 2992 - Barra, Salvador - BA, 40155-150"/>
    <x v="5"/>
    <s v="MARIA CARDOSO"/>
    <x v="1"/>
    <n v="56"/>
    <x v="1"/>
    <n v="4200"/>
    <d v="2022-05-07T00:00:00"/>
    <x v="0"/>
    <x v="11"/>
  </r>
  <r>
    <x v="15"/>
    <n v="3000"/>
    <n v="5"/>
    <s v="Av. Barão Homem de Melo, 1389 - Nova Granada, Belo Horizonte - MG, 30431-425"/>
    <x v="7"/>
    <s v="IGOR LIMA"/>
    <x v="0"/>
    <n v="41"/>
    <x v="0"/>
    <n v="15000"/>
    <d v="2022-06-02T00:00:00"/>
    <x v="0"/>
    <x v="3"/>
  </r>
  <r>
    <x v="14"/>
    <n v="1500"/>
    <n v="2"/>
    <s v="Rua Antônio Lumack do Monte, 203 - 1 - Boa Viagem, Recife - PE, 51020-350"/>
    <x v="6"/>
    <s v="JOSÉ CARVALHO"/>
    <x v="0"/>
    <n v="41"/>
    <x v="0"/>
    <n v="3000"/>
    <d v="2022-02-25T00:00:00"/>
    <x v="0"/>
    <x v="4"/>
  </r>
  <r>
    <x v="21"/>
    <n v="5200"/>
    <n v="4"/>
    <s v="R. Luíz Faccini, 212 - Centro, Guarulhos - SP, 07110-000"/>
    <x v="0"/>
    <s v="THAIS RODRIGUES"/>
    <x v="1"/>
    <n v="58"/>
    <x v="1"/>
    <n v="20800"/>
    <d v="2022-06-20T00:00:00"/>
    <x v="0"/>
    <x v="3"/>
  </r>
  <r>
    <x v="7"/>
    <n v="2600"/>
    <n v="5"/>
    <s v="Av. Barão Homem de Melo, 1389 - Nova Granada, Belo Horizonte - MG, 30431-425"/>
    <x v="7"/>
    <s v="NICOLAS MONTEIRO"/>
    <x v="0"/>
    <n v="73"/>
    <x v="1"/>
    <n v="13000"/>
    <d v="2022-08-25T00:00:00"/>
    <x v="0"/>
    <x v="7"/>
  </r>
  <r>
    <x v="21"/>
    <n v="5200"/>
    <n v="4"/>
    <s v="Av. Mal. Floriano Peixoto, 2248-2258 - Centro, Nova Iguaçu - RJ, 26210-000"/>
    <x v="1"/>
    <s v="JOSÉ VIEIRA"/>
    <x v="0"/>
    <n v="59"/>
    <x v="1"/>
    <n v="20800"/>
    <d v="2022-11-29T00:00:00"/>
    <x v="0"/>
    <x v="10"/>
  </r>
  <r>
    <x v="23"/>
    <n v="1100"/>
    <n v="4"/>
    <s v="Av. Dom Luís, 500 - Aldeota, Fortaleza - CE, 60160-230"/>
    <x v="2"/>
    <s v="BRUNO SILVA"/>
    <x v="0"/>
    <n v="72"/>
    <x v="1"/>
    <n v="4400"/>
    <d v="2022-02-16T00:00:00"/>
    <x v="0"/>
    <x v="4"/>
  </r>
  <r>
    <x v="22"/>
    <n v="2400"/>
    <n v="5"/>
    <s v="R. Visc. de Pirajá, 136 - Ipanema, Rio de Janeiro - RJ, 22410-000"/>
    <x v="1"/>
    <s v="SILVIO PROVENZANO"/>
    <x v="0"/>
    <n v="37"/>
    <x v="0"/>
    <n v="12000"/>
    <d v="2022-08-15T00:00:00"/>
    <x v="0"/>
    <x v="7"/>
  </r>
  <r>
    <x v="23"/>
    <n v="1100"/>
    <n v="4"/>
    <s v="Av. Dom Luís, 500 - Aldeota, Fortaleza - CE, 60160-230"/>
    <x v="2"/>
    <s v="RILSON GUEDES"/>
    <x v="0"/>
    <n v="37"/>
    <x v="0"/>
    <n v="4400"/>
    <d v="2022-02-27T00:00:00"/>
    <x v="0"/>
    <x v="4"/>
  </r>
  <r>
    <x v="17"/>
    <n v="2300"/>
    <n v="3"/>
    <s v="R. Brasílio Itiberê, 3279 - Água Verde, Curitiba - PR, 80250-160"/>
    <x v="3"/>
    <s v="ROBERTO TIRADENTES"/>
    <x v="0"/>
    <n v="28"/>
    <x v="2"/>
    <n v="6900"/>
    <d v="2022-03-29T00:00:00"/>
    <x v="0"/>
    <x v="9"/>
  </r>
  <r>
    <x v="22"/>
    <n v="2400"/>
    <n v="3"/>
    <s v="Av. Barão Homem de Melo, 1389 - Nova Granada, Belo Horizonte - MG, 30431-425"/>
    <x v="7"/>
    <s v="LUÍSA FONSECA"/>
    <x v="0"/>
    <n v="41"/>
    <x v="0"/>
    <n v="7200"/>
    <d v="2022-11-08T00:00:00"/>
    <x v="0"/>
    <x v="10"/>
  </r>
  <r>
    <x v="6"/>
    <n v="6500"/>
    <n v="3"/>
    <s v="R. Visc. de Pirajá, 136 - Ipanema, Rio de Janeiro - RJ, 22410-000"/>
    <x v="1"/>
    <s v="THAÍS RIBEIRO"/>
    <x v="1"/>
    <n v="51"/>
    <x v="1"/>
    <n v="19500"/>
    <d v="2022-06-22T00:00:00"/>
    <x v="0"/>
    <x v="3"/>
  </r>
  <r>
    <x v="7"/>
    <n v="2600"/>
    <n v="3"/>
    <s v="Av. Barão Homem de Melo, 1389 - Nova Granada, Belo Horizonte - MG, 30431-425"/>
    <x v="7"/>
    <s v="BERNARDO BOTELHO"/>
    <x v="0"/>
    <n v="43"/>
    <x v="0"/>
    <n v="7800"/>
    <d v="2022-03-19T00:00:00"/>
    <x v="0"/>
    <x v="9"/>
  </r>
  <r>
    <x v="0"/>
    <n v="4500"/>
    <n v="2"/>
    <s v="Av. Mal. Floriano Peixoto, 2248-2258 - Centro, Nova Iguaçu - RJ, 26210-000"/>
    <x v="1"/>
    <s v="RAÍZA LOPES"/>
    <x v="1"/>
    <n v="43"/>
    <x v="0"/>
    <n v="9000"/>
    <d v="2022-11-27T00:00:00"/>
    <x v="0"/>
    <x v="10"/>
  </r>
  <r>
    <x v="23"/>
    <n v="1100"/>
    <n v="4"/>
    <s v="Av. Dom Luís, 500 - Aldeota, Fortaleza - CE, 60160-230"/>
    <x v="2"/>
    <s v="LUIS VILLANOVA"/>
    <x v="1"/>
    <n v="41"/>
    <x v="0"/>
    <n v="4400"/>
    <d v="2022-10-25T00:00:00"/>
    <x v="0"/>
    <x v="6"/>
  </r>
  <r>
    <x v="23"/>
    <n v="1100"/>
    <n v="1"/>
    <s v="Av. Dom Luís, 500 - Aldeota, Fortaleza - CE, 60160-230"/>
    <x v="2"/>
    <s v="BRENO BRITTO"/>
    <x v="0"/>
    <n v="55"/>
    <x v="1"/>
    <n v="1100"/>
    <d v="2022-03-07T00:00:00"/>
    <x v="0"/>
    <x v="9"/>
  </r>
  <r>
    <x v="13"/>
    <n v="1550"/>
    <n v="5"/>
    <s v="Av. Dom Luís, 500 - Aldeota, Fortaleza - CE, 60160-230"/>
    <x v="2"/>
    <s v="LUCAS LEMOS"/>
    <x v="0"/>
    <n v="27"/>
    <x v="2"/>
    <n v="7750"/>
    <d v="2022-09-27T00:00:00"/>
    <x v="0"/>
    <x v="1"/>
  </r>
  <r>
    <x v="10"/>
    <n v="750"/>
    <n v="5"/>
    <s v="R. Visc. de Pirajá, 136 - Ipanema, Rio de Janeiro - RJ, 22410-000"/>
    <x v="1"/>
    <s v="RENAN NASCIMENTO"/>
    <x v="0"/>
    <n v="37"/>
    <x v="0"/>
    <n v="3750"/>
    <d v="2022-05-18T00:00:00"/>
    <x v="0"/>
    <x v="11"/>
  </r>
  <r>
    <x v="16"/>
    <n v="1200"/>
    <n v="3"/>
    <s v="R. Brasílio Itiberê, 3279 - Água Verde, Curitiba - PR, 80250-160"/>
    <x v="3"/>
    <s v="CAMILLA CARDEMAN"/>
    <x v="1"/>
    <n v="56"/>
    <x v="1"/>
    <n v="3600"/>
    <d v="2022-11-14T00:00:00"/>
    <x v="0"/>
    <x v="10"/>
  </r>
  <r>
    <x v="17"/>
    <n v="2300"/>
    <n v="3"/>
    <s v="R. Luíz Faccini, 212 - Centro, Guarulhos - SP, 07110-000"/>
    <x v="0"/>
    <s v="PEDRO AYRES"/>
    <x v="0"/>
    <n v="65"/>
    <x v="1"/>
    <n v="6900"/>
    <d v="2022-12-07T00:00:00"/>
    <x v="0"/>
    <x v="8"/>
  </r>
  <r>
    <x v="13"/>
    <n v="1550"/>
    <n v="2"/>
    <s v="Shopping Barra - Av. Centenário, 2992 - Barra, Salvador - BA, 40155-150"/>
    <x v="5"/>
    <s v="RAPHAEL REZENDE"/>
    <x v="0"/>
    <n v="56"/>
    <x v="1"/>
    <n v="3100"/>
    <d v="2022-06-13T00:00:00"/>
    <x v="0"/>
    <x v="3"/>
  </r>
  <r>
    <x v="22"/>
    <n v="2400"/>
    <n v="1"/>
    <s v="Rua Antônio Lumack do Monte, 203 - 1 - Boa Viagem, Recife - PE, 51020-350"/>
    <x v="6"/>
    <s v="LUCAS ARAÚJO"/>
    <x v="0"/>
    <n v="48"/>
    <x v="0"/>
    <n v="2400"/>
    <d v="2022-08-09T00:00:00"/>
    <x v="0"/>
    <x v="7"/>
  </r>
  <r>
    <x v="5"/>
    <n v="1450"/>
    <n v="2"/>
    <s v="R. Luíz Faccini, 212 - Centro, Guarulhos - SP, 07110-000"/>
    <x v="0"/>
    <s v="JULIA SILVA"/>
    <x v="1"/>
    <n v="29"/>
    <x v="2"/>
    <n v="2900"/>
    <d v="2022-06-28T00:00:00"/>
    <x v="0"/>
    <x v="3"/>
  </r>
  <r>
    <x v="15"/>
    <n v="3000"/>
    <n v="3"/>
    <s v="Rua Quinze de Novembro, 8 - Loja 301a Loja 301b - Centro, Niterói - RJ, 24020-125"/>
    <x v="1"/>
    <s v="CAROLINA SIQUEIRA"/>
    <x v="1"/>
    <n v="45"/>
    <x v="0"/>
    <n v="9000"/>
    <d v="2022-08-31T00:00:00"/>
    <x v="0"/>
    <x v="7"/>
  </r>
  <r>
    <x v="3"/>
    <n v="1500"/>
    <n v="3"/>
    <s v="R. Visc. de Pirajá, 136 - Ipanema, Rio de Janeiro - RJ, 22410-000"/>
    <x v="1"/>
    <s v="MARIANA FREIRE"/>
    <x v="1"/>
    <n v="47"/>
    <x v="0"/>
    <n v="4500"/>
    <d v="2022-04-19T00:00:00"/>
    <x v="0"/>
    <x v="2"/>
  </r>
  <r>
    <x v="16"/>
    <n v="1200"/>
    <n v="4"/>
    <s v="R. Brasílio Itiberê, 3279 - Água Verde, Curitiba - PR, 80250-160"/>
    <x v="3"/>
    <s v="BRUNO FREITAS"/>
    <x v="0"/>
    <n v="48"/>
    <x v="0"/>
    <n v="4800"/>
    <d v="2022-12-02T00:00:00"/>
    <x v="0"/>
    <x v="8"/>
  </r>
  <r>
    <x v="12"/>
    <n v="1500"/>
    <n v="2"/>
    <s v="R. Luíz Faccini, 212 - Centro, Guarulhos - SP, 07110-000"/>
    <x v="0"/>
    <s v="MATHEUS TOSTES"/>
    <x v="0"/>
    <n v="49"/>
    <x v="0"/>
    <n v="3000"/>
    <d v="2022-01-02T00:00:00"/>
    <x v="0"/>
    <x v="5"/>
  </r>
  <r>
    <x v="4"/>
    <n v="700"/>
    <n v="1"/>
    <s v="R. Teodoro Sampaio, 954 - Pinheiros, São Paulo - SP, 05406-050"/>
    <x v="0"/>
    <s v="RAFAEL ROCHA"/>
    <x v="0"/>
    <n v="25"/>
    <x v="2"/>
    <n v="700"/>
    <d v="2022-01-07T00:00:00"/>
    <x v="0"/>
    <x v="5"/>
  </r>
  <r>
    <x v="23"/>
    <n v="1100"/>
    <n v="1"/>
    <s v="Av. Borges de Medeiros, 3120 - Praia de Belas, Porto Alegre - RS, 90110-150"/>
    <x v="8"/>
    <s v="JÚLIO FRAGA"/>
    <x v="0"/>
    <n v="53"/>
    <x v="1"/>
    <n v="1100"/>
    <d v="2022-03-16T00:00:00"/>
    <x v="0"/>
    <x v="9"/>
  </r>
  <r>
    <x v="17"/>
    <n v="2300"/>
    <n v="3"/>
    <s v="Rua Antônio Lumack do Monte, 203 - 1 - Boa Viagem, Recife - PE, 51020-350"/>
    <x v="6"/>
    <s v="BERNARD PEDROSA"/>
    <x v="0"/>
    <n v="49"/>
    <x v="0"/>
    <n v="6900"/>
    <d v="2022-03-05T00:00:00"/>
    <x v="0"/>
    <x v="9"/>
  </r>
  <r>
    <x v="20"/>
    <n v="5500"/>
    <n v="4"/>
    <s v="Shopping Barra - Av. Centenário, 2992 - Barra, Salvador - BA, 40155-150"/>
    <x v="5"/>
    <s v="AMANDA FELIPPE"/>
    <x v="1"/>
    <n v="32"/>
    <x v="0"/>
    <n v="22000"/>
    <d v="2022-10-17T00:00:00"/>
    <x v="0"/>
    <x v="6"/>
  </r>
  <r>
    <x v="11"/>
    <n v="2000"/>
    <n v="5"/>
    <s v="Rua Antônio Lumack do Monte, 203 - 1 - Boa Viagem, Recife - PE, 51020-350"/>
    <x v="6"/>
    <s v="BERNARD PEDROSA"/>
    <x v="0"/>
    <n v="49"/>
    <x v="0"/>
    <n v="10000"/>
    <d v="2022-08-18T00:00:00"/>
    <x v="0"/>
    <x v="7"/>
  </r>
  <r>
    <x v="4"/>
    <n v="700"/>
    <n v="3"/>
    <s v="R. Dr. Antônio Castro Prado, 422 - Vila Rossi e Borchi, Campinas - SP, 13076-130"/>
    <x v="0"/>
    <s v="BRENO FARIAS"/>
    <x v="0"/>
    <n v="47"/>
    <x v="0"/>
    <n v="2100"/>
    <d v="2022-12-05T00:00:00"/>
    <x v="0"/>
    <x v="8"/>
  </r>
  <r>
    <x v="4"/>
    <n v="700"/>
    <n v="4"/>
    <s v="Av. Goiás Norte, 3.592 - quadra 2.1 - St. Mal. Rondon, Goiânia - GO, 74063-010"/>
    <x v="4"/>
    <s v="BRENO GODOY"/>
    <x v="0"/>
    <n v="25"/>
    <x v="2"/>
    <n v="2800"/>
    <d v="2022-04-11T00:00:00"/>
    <x v="0"/>
    <x v="2"/>
  </r>
  <r>
    <x v="15"/>
    <n v="3000"/>
    <n v="3"/>
    <s v="Shopping Barra - Av. Centenário, 2992 - Barra, Salvador - BA, 40155-150"/>
    <x v="5"/>
    <s v="ULISSES FILHO"/>
    <x v="0"/>
    <n v="70"/>
    <x v="1"/>
    <n v="9000"/>
    <d v="2022-08-20T00:00:00"/>
    <x v="0"/>
    <x v="7"/>
  </r>
  <r>
    <x v="14"/>
    <n v="1500"/>
    <n v="5"/>
    <s v="R. Visc. de Pirajá, 136 - Ipanema, Rio de Janeiro - RJ, 22410-000"/>
    <x v="1"/>
    <s v="BIANCA PAZ"/>
    <x v="1"/>
    <n v="62"/>
    <x v="1"/>
    <n v="7500"/>
    <d v="2022-08-06T00:00:00"/>
    <x v="0"/>
    <x v="7"/>
  </r>
  <r>
    <x v="18"/>
    <n v="2500"/>
    <n v="2"/>
    <s v="R. Brasílio Itiberê, 3279 - Água Verde, Curitiba - PR, 80250-160"/>
    <x v="3"/>
    <s v="MARCOS NUCCI"/>
    <x v="0"/>
    <n v="26"/>
    <x v="2"/>
    <n v="5000"/>
    <d v="2022-10-26T00:00:00"/>
    <x v="0"/>
    <x v="6"/>
  </r>
  <r>
    <x v="8"/>
    <n v="1400"/>
    <n v="3"/>
    <s v="Rua Antônio Lumack do Monte, 203 - 1 - Boa Viagem, Recife - PE, 51020-350"/>
    <x v="6"/>
    <s v="IGOR AZEVEDO"/>
    <x v="0"/>
    <n v="59"/>
    <x v="1"/>
    <n v="4200"/>
    <d v="2022-10-19T00:00:00"/>
    <x v="0"/>
    <x v="6"/>
  </r>
  <r>
    <x v="15"/>
    <n v="3000"/>
    <n v="2"/>
    <s v="R. Brasílio Itiberê, 3279 - Água Verde, Curitiba - PR, 80250-160"/>
    <x v="3"/>
    <s v="ISABEL LACERDA"/>
    <x v="1"/>
    <n v="35"/>
    <x v="0"/>
    <n v="6000"/>
    <d v="2022-09-20T00:00:00"/>
    <x v="0"/>
    <x v="1"/>
  </r>
  <r>
    <x v="15"/>
    <n v="3000"/>
    <n v="4"/>
    <s v="R. Brasílio Itiberê, 3279 - Água Verde, Curitiba - PR, 80250-160"/>
    <x v="3"/>
    <s v="BRUNA GOMES"/>
    <x v="1"/>
    <n v="28"/>
    <x v="2"/>
    <n v="12000"/>
    <d v="2022-03-11T00:00:00"/>
    <x v="0"/>
    <x v="9"/>
  </r>
  <r>
    <x v="4"/>
    <n v="700"/>
    <n v="3"/>
    <s v="R. Dr. Antônio Castro Prado, 422 - Vila Rossi e Borchi, Campinas - SP, 13076-130"/>
    <x v="0"/>
    <s v="RAPHAEL GUEDES"/>
    <x v="0"/>
    <n v="25"/>
    <x v="2"/>
    <n v="2100"/>
    <d v="2022-09-09T00:00:00"/>
    <x v="0"/>
    <x v="1"/>
  </r>
  <r>
    <x v="7"/>
    <n v="2600"/>
    <n v="3"/>
    <s v="Av. Goiás Norte, 3.592 - quadra 2.1 - St. Mal. Rondon, Goiânia - GO, 74063-010"/>
    <x v="4"/>
    <s v="BRENO GODOY"/>
    <x v="0"/>
    <n v="25"/>
    <x v="2"/>
    <n v="7800"/>
    <d v="2022-08-14T00:00:00"/>
    <x v="0"/>
    <x v="7"/>
  </r>
  <r>
    <x v="16"/>
    <n v="1200"/>
    <n v="5"/>
    <s v="Rua Antônio Lumack do Monte, 203 - 1 - Boa Viagem, Recife - PE, 51020-350"/>
    <x v="6"/>
    <s v="JOYCE SOUZA"/>
    <x v="1"/>
    <n v="65"/>
    <x v="1"/>
    <n v="6000"/>
    <d v="2022-09-07T00:00:00"/>
    <x v="0"/>
    <x v="1"/>
  </r>
  <r>
    <x v="9"/>
    <n v="2000"/>
    <n v="4"/>
    <s v="Rua Quinze de Novembro, 8 - Loja 301a Loja 301b - Centro, Niterói - RJ, 24020-125"/>
    <x v="1"/>
    <s v="WILLIAM MENDONÇA"/>
    <x v="0"/>
    <n v="28"/>
    <x v="2"/>
    <n v="8000"/>
    <d v="2022-03-05T00:00:00"/>
    <x v="0"/>
    <x v="9"/>
  </r>
  <r>
    <x v="16"/>
    <n v="1200"/>
    <n v="1"/>
    <s v="Rua Quinze de Novembro, 8 - Loja 301a Loja 301b - Centro, Niterói - RJ, 24020-125"/>
    <x v="1"/>
    <s v="JULIANA SILVA"/>
    <x v="1"/>
    <n v="35"/>
    <x v="0"/>
    <n v="1200"/>
    <d v="2022-09-06T00:00:00"/>
    <x v="0"/>
    <x v="1"/>
  </r>
  <r>
    <x v="0"/>
    <n v="4500"/>
    <n v="2"/>
    <s v="Av. Borges de Medeiros, 3120 - Praia de Belas, Porto Alegre - RS, 90110-150"/>
    <x v="8"/>
    <s v="ANA MIURA"/>
    <x v="1"/>
    <n v="49"/>
    <x v="0"/>
    <n v="9000"/>
    <d v="2022-09-08T00:00:00"/>
    <x v="0"/>
    <x v="1"/>
  </r>
  <r>
    <x v="11"/>
    <n v="2000"/>
    <n v="5"/>
    <s v="R. Teodoro Sampaio, 954 - Pinheiros, São Paulo - SP, 05406-050"/>
    <x v="0"/>
    <s v="DANILO RUBIM"/>
    <x v="0"/>
    <n v="61"/>
    <x v="1"/>
    <n v="10000"/>
    <d v="2022-03-01T00:00:00"/>
    <x v="0"/>
    <x v="9"/>
  </r>
  <r>
    <x v="21"/>
    <n v="5200"/>
    <n v="5"/>
    <s v="R. Dr. Antônio Castro Prado, 422 - Vila Rossi e Borchi, Campinas - SP, 13076-130"/>
    <x v="0"/>
    <s v="DEBORA SILVA"/>
    <x v="1"/>
    <n v="61"/>
    <x v="1"/>
    <n v="26000"/>
    <d v="2022-06-11T00:00:00"/>
    <x v="0"/>
    <x v="3"/>
  </r>
  <r>
    <x v="11"/>
    <n v="2000"/>
    <n v="3"/>
    <s v="R. Brasílio Itiberê, 3279 - Água Verde, Curitiba - PR, 80250-160"/>
    <x v="3"/>
    <s v="BRUNA GOMES"/>
    <x v="1"/>
    <n v="28"/>
    <x v="2"/>
    <n v="6000"/>
    <d v="2022-12-25T00:00:00"/>
    <x v="0"/>
    <x v="8"/>
  </r>
  <r>
    <x v="16"/>
    <n v="1200"/>
    <n v="4"/>
    <s v="R. Visc. de Pirajá, 136 - Ipanema, Rio de Janeiro - RJ, 22410-000"/>
    <x v="1"/>
    <s v="CAROLINA RACHIDE"/>
    <x v="1"/>
    <n v="45"/>
    <x v="0"/>
    <n v="4800"/>
    <d v="2022-04-05T00:00:00"/>
    <x v="0"/>
    <x v="2"/>
  </r>
  <r>
    <x v="22"/>
    <n v="2400"/>
    <n v="4"/>
    <s v="R. Luíz Faccini, 212 - Centro, Guarulhos - SP, 07110-000"/>
    <x v="0"/>
    <s v="ISABELA CHAGAS"/>
    <x v="1"/>
    <n v="57"/>
    <x v="1"/>
    <n v="9600"/>
    <d v="2022-07-22T00:00:00"/>
    <x v="0"/>
    <x v="0"/>
  </r>
  <r>
    <x v="5"/>
    <n v="1450"/>
    <n v="1"/>
    <s v="R. Luíz Faccini, 212 - Centro, Guarulhos - SP, 07110-000"/>
    <x v="0"/>
    <s v="LUIS GARCIA"/>
    <x v="1"/>
    <n v="29"/>
    <x v="2"/>
    <n v="1450"/>
    <d v="2022-09-13T00:00:00"/>
    <x v="0"/>
    <x v="1"/>
  </r>
  <r>
    <x v="6"/>
    <n v="6500"/>
    <n v="5"/>
    <s v="Av. Mal. Floriano Peixoto, 2248-2258 - Centro, Nova Iguaçu - RJ, 26210-000"/>
    <x v="1"/>
    <s v="STEPHANIE NOVAK"/>
    <x v="1"/>
    <n v="57"/>
    <x v="1"/>
    <n v="32500"/>
    <d v="2022-05-22T00:00:00"/>
    <x v="0"/>
    <x v="11"/>
  </r>
  <r>
    <x v="22"/>
    <n v="2400"/>
    <n v="2"/>
    <s v="Rua Antônio Lumack do Monte, 203 - 1 - Boa Viagem, Recife - PE, 51020-350"/>
    <x v="6"/>
    <s v="BARBARA PROCACI"/>
    <x v="1"/>
    <n v="60"/>
    <x v="1"/>
    <n v="4800"/>
    <d v="2022-05-02T00:00:00"/>
    <x v="0"/>
    <x v="11"/>
  </r>
  <r>
    <x v="4"/>
    <n v="700"/>
    <n v="3"/>
    <s v="R. Luíz Faccini, 212 - Centro, Guarulhos - SP, 07110-000"/>
    <x v="0"/>
    <s v="ARTHUR FERNANDES"/>
    <x v="0"/>
    <n v="31"/>
    <x v="0"/>
    <n v="2100"/>
    <d v="2022-06-22T00:00:00"/>
    <x v="0"/>
    <x v="3"/>
  </r>
  <r>
    <x v="9"/>
    <n v="2000"/>
    <n v="1"/>
    <s v="Av. Goiás Norte, 3.592 - quadra 2.1 - St. Mal. Rondon, Goiânia - GO, 74063-010"/>
    <x v="4"/>
    <s v="ALBERTO SILVEIRA"/>
    <x v="0"/>
    <n v="36"/>
    <x v="0"/>
    <n v="2000"/>
    <d v="2022-01-22T00:00:00"/>
    <x v="0"/>
    <x v="5"/>
  </r>
  <r>
    <x v="16"/>
    <n v="1200"/>
    <n v="3"/>
    <s v="Av. Goiás Norte, 3.592 - quadra 2.1 - St. Mal. Rondon, Goiânia - GO, 74063-010"/>
    <x v="4"/>
    <s v="BRENO GODOY"/>
    <x v="0"/>
    <n v="25"/>
    <x v="2"/>
    <n v="3600"/>
    <d v="2022-05-04T00:00:00"/>
    <x v="0"/>
    <x v="11"/>
  </r>
  <r>
    <x v="18"/>
    <n v="2500"/>
    <n v="5"/>
    <s v="R. Teodoro Sampaio, 954 - Pinheiros, São Paulo - SP, 05406-050"/>
    <x v="0"/>
    <s v="LUCAS ALMEIDA"/>
    <x v="0"/>
    <n v="48"/>
    <x v="0"/>
    <n v="12500"/>
    <d v="2022-09-26T00:00:00"/>
    <x v="0"/>
    <x v="1"/>
  </r>
  <r>
    <x v="22"/>
    <n v="2400"/>
    <n v="2"/>
    <s v="Av. Barão Homem de Melo, 1389 - Nova Granada, Belo Horizonte - MG, 30431-425"/>
    <x v="7"/>
    <s v="LETÍCIA ARAUJO"/>
    <x v="1"/>
    <n v="48"/>
    <x v="0"/>
    <n v="4800"/>
    <d v="2022-03-28T00:00:00"/>
    <x v="0"/>
    <x v="9"/>
  </r>
  <r>
    <x v="18"/>
    <n v="2500"/>
    <n v="1"/>
    <s v="Shopping Barra - Av. Centenário, 2992 - Barra, Salvador - BA, 40155-150"/>
    <x v="5"/>
    <s v="EDUARDO PELUZO"/>
    <x v="0"/>
    <n v="33"/>
    <x v="0"/>
    <n v="2500"/>
    <d v="2022-07-05T00:00:00"/>
    <x v="0"/>
    <x v="0"/>
  </r>
  <r>
    <x v="9"/>
    <n v="2000"/>
    <n v="2"/>
    <s v="Av. Mal. Floriano Peixoto, 2248-2258 - Centro, Nova Iguaçu - RJ, 26210-000"/>
    <x v="1"/>
    <s v="BRUNA FRANCO"/>
    <x v="1"/>
    <n v="45"/>
    <x v="0"/>
    <n v="4000"/>
    <d v="2022-01-26T00:00:00"/>
    <x v="0"/>
    <x v="5"/>
  </r>
  <r>
    <x v="19"/>
    <n v="1750"/>
    <n v="5"/>
    <s v="Av. Dom Luís, 500 - Aldeota, Fortaleza - CE, 60160-230"/>
    <x v="2"/>
    <s v="CARLA ZAKHM"/>
    <x v="1"/>
    <n v="35"/>
    <x v="0"/>
    <n v="8750"/>
    <d v="2022-08-06T00:00:00"/>
    <x v="0"/>
    <x v="7"/>
  </r>
  <r>
    <x v="8"/>
    <n v="1400"/>
    <n v="4"/>
    <s v="R. Teodoro Sampaio, 954 - Pinheiros, São Paulo - SP, 05406-050"/>
    <x v="0"/>
    <s v="VITOR BOCCALETTI"/>
    <x v="0"/>
    <n v="48"/>
    <x v="0"/>
    <n v="5600"/>
    <d v="2022-10-31T00:00:00"/>
    <x v="0"/>
    <x v="6"/>
  </r>
  <r>
    <x v="15"/>
    <n v="3000"/>
    <n v="4"/>
    <s v="Av. Mal. Floriano Peixoto, 2248-2258 - Centro, Nova Iguaçu - RJ, 26210-000"/>
    <x v="1"/>
    <s v="JOÃO TABET"/>
    <x v="0"/>
    <n v="44"/>
    <x v="0"/>
    <n v="12000"/>
    <d v="2022-04-11T00:00:00"/>
    <x v="0"/>
    <x v="2"/>
  </r>
  <r>
    <x v="4"/>
    <n v="700"/>
    <n v="1"/>
    <s v="Av. Barão Homem de Melo, 1389 - Nova Granada, Belo Horizonte - MG, 30431-425"/>
    <x v="7"/>
    <s v="HENRIQUE VILLANOVA"/>
    <x v="0"/>
    <n v="67"/>
    <x v="1"/>
    <n v="700"/>
    <d v="2022-08-02T00:00:00"/>
    <x v="0"/>
    <x v="7"/>
  </r>
  <r>
    <x v="4"/>
    <n v="700"/>
    <n v="4"/>
    <s v="R. Dr. Antônio Castro Prado, 422 - Vila Rossi e Borchi, Campinas - SP, 13076-130"/>
    <x v="0"/>
    <s v="NATHAN CUNHA"/>
    <x v="0"/>
    <n v="34"/>
    <x v="0"/>
    <n v="2800"/>
    <d v="2022-12-24T00:00:00"/>
    <x v="0"/>
    <x v="8"/>
  </r>
  <r>
    <x v="5"/>
    <n v="1450"/>
    <n v="4"/>
    <s v="R. Brasílio Itiberê, 3279 - Água Verde, Curitiba - PR, 80250-160"/>
    <x v="3"/>
    <s v="CAMILLA CARDEMAN"/>
    <x v="1"/>
    <n v="56"/>
    <x v="1"/>
    <n v="5800"/>
    <d v="2022-06-10T00:00:00"/>
    <x v="0"/>
    <x v="3"/>
  </r>
  <r>
    <x v="17"/>
    <n v="2300"/>
    <n v="5"/>
    <s v="Rua Antônio Lumack do Monte, 203 - 1 - Boa Viagem, Recife - PE, 51020-350"/>
    <x v="6"/>
    <s v="THIAGO NÓBREGA"/>
    <x v="0"/>
    <n v="70"/>
    <x v="1"/>
    <n v="11500"/>
    <d v="2022-11-21T00:00:00"/>
    <x v="0"/>
    <x v="10"/>
  </r>
  <r>
    <x v="12"/>
    <n v="1500"/>
    <n v="5"/>
    <s v="Rua Antônio Lumack do Monte, 203 - 1 - Boa Viagem, Recife - PE, 51020-350"/>
    <x v="6"/>
    <s v="RODRIGO MENDES"/>
    <x v="0"/>
    <n v="56"/>
    <x v="1"/>
    <n v="7500"/>
    <d v="2022-03-06T00:00:00"/>
    <x v="0"/>
    <x v="9"/>
  </r>
  <r>
    <x v="22"/>
    <n v="2400"/>
    <n v="4"/>
    <s v="Av. Barão Homem de Melo, 1389 - Nova Granada, Belo Horizonte - MG, 30431-425"/>
    <x v="7"/>
    <s v="HENRIQUE VILLANOVA"/>
    <x v="0"/>
    <n v="67"/>
    <x v="1"/>
    <n v="9600"/>
    <d v="2022-03-24T00:00:00"/>
    <x v="0"/>
    <x v="9"/>
  </r>
  <r>
    <x v="15"/>
    <n v="3000"/>
    <n v="5"/>
    <s v="R. Luíz Faccini, 212 - Centro, Guarulhos - SP, 07110-000"/>
    <x v="0"/>
    <s v="ANA CARVALHO"/>
    <x v="1"/>
    <n v="61"/>
    <x v="1"/>
    <n v="15000"/>
    <d v="2022-12-06T00:00:00"/>
    <x v="0"/>
    <x v="8"/>
  </r>
  <r>
    <x v="23"/>
    <n v="1100"/>
    <n v="5"/>
    <s v="Av. Borges de Medeiros, 3120 - Praia de Belas, Porto Alegre - RS, 90110-150"/>
    <x v="8"/>
    <s v="LARISSA NAUENBERG"/>
    <x v="1"/>
    <n v="57"/>
    <x v="1"/>
    <n v="5500"/>
    <d v="2022-03-04T00:00:00"/>
    <x v="0"/>
    <x v="9"/>
  </r>
  <r>
    <x v="5"/>
    <n v="1450"/>
    <n v="1"/>
    <s v="R. Luíz Faccini, 212 - Centro, Guarulhos - SP, 07110-000"/>
    <x v="0"/>
    <s v="MARIANA MIRANDA"/>
    <x v="1"/>
    <n v="57"/>
    <x v="1"/>
    <n v="1450"/>
    <d v="2022-09-22T00:00:00"/>
    <x v="0"/>
    <x v="1"/>
  </r>
  <r>
    <x v="3"/>
    <n v="1500"/>
    <n v="3"/>
    <s v="R. Dr. Antônio Castro Prado, 422 - Vila Rossi e Borchi, Campinas - SP, 13076-130"/>
    <x v="0"/>
    <s v="MORGANA CORREA"/>
    <x v="1"/>
    <n v="42"/>
    <x v="0"/>
    <n v="4500"/>
    <d v="2022-05-31T00:00:00"/>
    <x v="0"/>
    <x v="11"/>
  </r>
  <r>
    <x v="19"/>
    <n v="1750"/>
    <n v="4"/>
    <s v="R. Dr. Antônio Castro Prado, 422 - Vila Rossi e Borchi, Campinas - SP, 13076-130"/>
    <x v="0"/>
    <s v="RAPHAEL MATTOS"/>
    <x v="0"/>
    <n v="40"/>
    <x v="0"/>
    <n v="7000"/>
    <d v="2022-04-15T00:00:00"/>
    <x v="0"/>
    <x v="2"/>
  </r>
  <r>
    <x v="14"/>
    <n v="1500"/>
    <n v="3"/>
    <s v="R. Luíz Faccini, 212 - Centro, Guarulhos - SP, 07110-000"/>
    <x v="0"/>
    <s v="THALES PORTILLO"/>
    <x v="0"/>
    <n v="71"/>
    <x v="1"/>
    <n v="4500"/>
    <d v="2022-02-22T00:00:00"/>
    <x v="0"/>
    <x v="4"/>
  </r>
  <r>
    <x v="8"/>
    <n v="1400"/>
    <n v="3"/>
    <s v="R. Visc. de Pirajá, 136 - Ipanema, Rio de Janeiro - RJ, 22410-000"/>
    <x v="1"/>
    <s v="JOÃO SILVA"/>
    <x v="0"/>
    <n v="70"/>
    <x v="1"/>
    <n v="4200"/>
    <d v="2022-09-12T00:00:00"/>
    <x v="0"/>
    <x v="1"/>
  </r>
  <r>
    <x v="6"/>
    <n v="6500"/>
    <n v="2"/>
    <s v="Av. Mal. Floriano Peixoto, 2248-2258 - Centro, Nova Iguaçu - RJ, 26210-000"/>
    <x v="1"/>
    <s v="GABRIEL RUBIM"/>
    <x v="0"/>
    <n v="68"/>
    <x v="1"/>
    <n v="13000"/>
    <d v="2022-11-17T00:00:00"/>
    <x v="0"/>
    <x v="10"/>
  </r>
  <r>
    <x v="19"/>
    <n v="1750"/>
    <n v="3"/>
    <s v="Av. Mal. Floriano Peixoto, 2248-2258 - Centro, Nova Iguaçu - RJ, 26210-000"/>
    <x v="1"/>
    <s v="BRUNO URSULINO"/>
    <x v="0"/>
    <n v="39"/>
    <x v="0"/>
    <n v="5250"/>
    <d v="2022-06-24T00:00:00"/>
    <x v="0"/>
    <x v="3"/>
  </r>
  <r>
    <x v="8"/>
    <n v="1400"/>
    <n v="1"/>
    <s v="R. Teodoro Sampaio, 954 - Pinheiros, São Paulo - SP, 05406-050"/>
    <x v="0"/>
    <s v="LETÍCIA LEAL"/>
    <x v="1"/>
    <n v="45"/>
    <x v="0"/>
    <n v="1400"/>
    <d v="2022-10-30T00:00:00"/>
    <x v="0"/>
    <x v="6"/>
  </r>
  <r>
    <x v="15"/>
    <n v="3000"/>
    <n v="1"/>
    <s v="Av. Mal. Floriano Peixoto, 2248-2258 - Centro, Nova Iguaçu - RJ, 26210-000"/>
    <x v="1"/>
    <s v="RENAN FREIRE"/>
    <x v="0"/>
    <n v="69"/>
    <x v="1"/>
    <n v="3000"/>
    <d v="2022-12-16T00:00:00"/>
    <x v="0"/>
    <x v="8"/>
  </r>
  <r>
    <x v="9"/>
    <n v="2000"/>
    <n v="4"/>
    <s v="Av. Mal. Floriano Peixoto, 2248-2258 - Centro, Nova Iguaçu - RJ, 26210-000"/>
    <x v="1"/>
    <s v="GUILHERME LIMA"/>
    <x v="0"/>
    <n v="54"/>
    <x v="1"/>
    <n v="8000"/>
    <d v="2022-02-22T00:00:00"/>
    <x v="0"/>
    <x v="4"/>
  </r>
  <r>
    <x v="23"/>
    <n v="1100"/>
    <n v="4"/>
    <s v="Av. Borges de Medeiros, 3120 - Praia de Belas, Porto Alegre - RS, 90110-150"/>
    <x v="8"/>
    <s v="GABRIEL THOME"/>
    <x v="0"/>
    <n v="42"/>
    <x v="0"/>
    <n v="4400"/>
    <d v="2022-06-20T00:00:00"/>
    <x v="0"/>
    <x v="3"/>
  </r>
  <r>
    <x v="18"/>
    <n v="2500"/>
    <n v="1"/>
    <s v="Av. Barão Homem de Melo, 1389 - Nova Granada, Belo Horizonte - MG, 30431-425"/>
    <x v="7"/>
    <s v="LETÍCIA ARAUJO"/>
    <x v="1"/>
    <n v="48"/>
    <x v="0"/>
    <n v="2500"/>
    <d v="2022-10-22T00:00:00"/>
    <x v="0"/>
    <x v="6"/>
  </r>
  <r>
    <x v="2"/>
    <n v="1900"/>
    <n v="1"/>
    <s v="Shopping Barra - Av. Centenário, 2992 - Barra, Salvador - BA, 40155-150"/>
    <x v="5"/>
    <s v="TIAGO PEREIRA"/>
    <x v="0"/>
    <n v="72"/>
    <x v="1"/>
    <n v="1900"/>
    <d v="2022-09-13T00:00:00"/>
    <x v="0"/>
    <x v="1"/>
  </r>
  <r>
    <x v="14"/>
    <n v="1500"/>
    <n v="5"/>
    <s v="Shopping Barra - Av. Centenário, 2992 - Barra, Salvador - BA, 40155-150"/>
    <x v="5"/>
    <s v="MARIA MELLO"/>
    <x v="1"/>
    <n v="67"/>
    <x v="1"/>
    <n v="7500"/>
    <d v="2022-11-03T00:00:00"/>
    <x v="0"/>
    <x v="10"/>
  </r>
  <r>
    <x v="7"/>
    <n v="2600"/>
    <n v="4"/>
    <s v="Shopping Barra - Av. Centenário, 2992 - Barra, Salvador - BA, 40155-150"/>
    <x v="5"/>
    <s v="JESSICA CORDOVIL"/>
    <x v="1"/>
    <n v="39"/>
    <x v="0"/>
    <n v="10400"/>
    <d v="2022-03-20T00:00:00"/>
    <x v="0"/>
    <x v="9"/>
  </r>
  <r>
    <x v="9"/>
    <n v="2000"/>
    <n v="1"/>
    <s v="R. Luíz Faccini, 212 - Centro, Guarulhos - SP, 07110-000"/>
    <x v="0"/>
    <s v="VICTOR LIRA"/>
    <x v="0"/>
    <n v="38"/>
    <x v="0"/>
    <n v="2000"/>
    <d v="2022-07-07T00:00:00"/>
    <x v="0"/>
    <x v="0"/>
  </r>
  <r>
    <x v="22"/>
    <n v="2400"/>
    <n v="1"/>
    <s v="Av. Borges de Medeiros, 3120 - Praia de Belas, Porto Alegre - RS, 90110-150"/>
    <x v="8"/>
    <s v="VICTOR SOARES"/>
    <x v="0"/>
    <n v="34"/>
    <x v="0"/>
    <n v="2400"/>
    <d v="2022-07-24T00:00:00"/>
    <x v="0"/>
    <x v="0"/>
  </r>
  <r>
    <x v="14"/>
    <n v="1500"/>
    <n v="3"/>
    <s v="R. Visc. de Pirajá, 136 - Ipanema, Rio de Janeiro - RJ, 22410-000"/>
    <x v="1"/>
    <s v="CAROLINA RACHIDE"/>
    <x v="1"/>
    <n v="45"/>
    <x v="0"/>
    <n v="4500"/>
    <d v="2022-11-23T00:00:00"/>
    <x v="0"/>
    <x v="10"/>
  </r>
  <r>
    <x v="6"/>
    <n v="6500"/>
    <n v="1"/>
    <s v="R. Teodoro Sampaio, 954 - Pinheiros, São Paulo - SP, 05406-050"/>
    <x v="0"/>
    <s v="NINA MAGALHÃES"/>
    <x v="1"/>
    <n v="66"/>
    <x v="1"/>
    <n v="6500"/>
    <d v="2022-07-29T00:00:00"/>
    <x v="0"/>
    <x v="0"/>
  </r>
  <r>
    <x v="13"/>
    <n v="1550"/>
    <n v="2"/>
    <s v="Shopping Barra - Av. Centenário, 2992 - Barra, Salvador - BA, 40155-150"/>
    <x v="5"/>
    <s v="GUILHERME CASTILHO"/>
    <x v="0"/>
    <n v="55"/>
    <x v="1"/>
    <n v="3100"/>
    <d v="2022-02-24T00:00:00"/>
    <x v="0"/>
    <x v="4"/>
  </r>
  <r>
    <x v="0"/>
    <n v="4500"/>
    <n v="4"/>
    <s v="R. Brasílio Itiberê, 3279 - Água Verde, Curitiba - PR, 80250-160"/>
    <x v="3"/>
    <s v="BRENO CAPUTO"/>
    <x v="0"/>
    <n v="64"/>
    <x v="1"/>
    <n v="18000"/>
    <d v="2022-05-14T00:00:00"/>
    <x v="0"/>
    <x v="11"/>
  </r>
  <r>
    <x v="15"/>
    <n v="3000"/>
    <n v="3"/>
    <s v="R. Luíz Faccini, 212 - Centro, Guarulhos - SP, 07110-000"/>
    <x v="0"/>
    <s v="MARIANE FERREIRA"/>
    <x v="1"/>
    <n v="54"/>
    <x v="1"/>
    <n v="9000"/>
    <d v="2022-04-04T00:00:00"/>
    <x v="0"/>
    <x v="2"/>
  </r>
  <r>
    <x v="7"/>
    <n v="2600"/>
    <n v="2"/>
    <s v="Av. Borges de Medeiros, 3120 - Praia de Belas, Porto Alegre - RS, 90110-150"/>
    <x v="8"/>
    <s v="ANDRE NÓBREGA"/>
    <x v="0"/>
    <n v="36"/>
    <x v="0"/>
    <n v="5200"/>
    <d v="2022-03-28T00:00:00"/>
    <x v="0"/>
    <x v="9"/>
  </r>
  <r>
    <x v="17"/>
    <n v="2300"/>
    <n v="5"/>
    <s v="R. Brasílio Itiberê, 3279 - Água Verde, Curitiba - PR, 80250-160"/>
    <x v="3"/>
    <s v="JÉSSICA NETTO"/>
    <x v="1"/>
    <n v="26"/>
    <x v="2"/>
    <n v="11500"/>
    <d v="2022-04-15T00:00:00"/>
    <x v="0"/>
    <x v="2"/>
  </r>
  <r>
    <x v="3"/>
    <n v="1500"/>
    <n v="5"/>
    <s v="R. Visc. de Pirajá, 136 - Ipanema, Rio de Janeiro - RJ, 22410-000"/>
    <x v="1"/>
    <s v="SILVIO PROVENZANO"/>
    <x v="0"/>
    <n v="37"/>
    <x v="0"/>
    <n v="7500"/>
    <d v="2022-11-14T00:00:00"/>
    <x v="0"/>
    <x v="10"/>
  </r>
  <r>
    <x v="16"/>
    <n v="1200"/>
    <n v="5"/>
    <s v="Av. Dom Luís, 500 - Aldeota, Fortaleza - CE, 60160-230"/>
    <x v="2"/>
    <s v="BEATRIZ BIASE"/>
    <x v="1"/>
    <n v="62"/>
    <x v="1"/>
    <n v="6000"/>
    <d v="2022-01-18T00:00:00"/>
    <x v="0"/>
    <x v="5"/>
  </r>
  <r>
    <x v="22"/>
    <n v="2400"/>
    <n v="3"/>
    <s v="Shopping Barra - Av. Centenário, 2992 - Barra, Salvador - BA, 40155-150"/>
    <x v="5"/>
    <s v="VICTORIA MAZZA"/>
    <x v="1"/>
    <n v="59"/>
    <x v="1"/>
    <n v="7200"/>
    <d v="2022-02-23T00:00:00"/>
    <x v="0"/>
    <x v="4"/>
  </r>
  <r>
    <x v="12"/>
    <n v="1500"/>
    <n v="5"/>
    <s v="R. Brasílio Itiberê, 3279 - Água Verde, Curitiba - PR, 80250-160"/>
    <x v="3"/>
    <s v="JOÃO PEÇANHA"/>
    <x v="0"/>
    <n v="48"/>
    <x v="0"/>
    <n v="7500"/>
    <d v="2022-12-30T00:00:00"/>
    <x v="0"/>
    <x v="8"/>
  </r>
  <r>
    <x v="16"/>
    <n v="1200"/>
    <n v="5"/>
    <s v="R. Teodoro Sampaio, 954 - Pinheiros, São Paulo - SP, 05406-050"/>
    <x v="0"/>
    <s v="DIEGO RODRIGUES"/>
    <x v="0"/>
    <n v="54"/>
    <x v="1"/>
    <n v="6000"/>
    <d v="2022-09-15T00:00:00"/>
    <x v="0"/>
    <x v="1"/>
  </r>
  <r>
    <x v="2"/>
    <n v="1900"/>
    <n v="2"/>
    <s v="R. Dr. Antônio Castro Prado, 422 - Vila Rossi e Borchi, Campinas - SP, 13076-130"/>
    <x v="0"/>
    <s v="AMANDA ROBERTO"/>
    <x v="1"/>
    <n v="41"/>
    <x v="0"/>
    <n v="3800"/>
    <d v="2022-02-22T00:00:00"/>
    <x v="0"/>
    <x v="4"/>
  </r>
  <r>
    <x v="11"/>
    <n v="2000"/>
    <n v="5"/>
    <s v="R. Luíz Faccini, 212 - Centro, Guarulhos - SP, 07110-000"/>
    <x v="0"/>
    <s v="SANDY FIGUEIREDO"/>
    <x v="1"/>
    <n v="35"/>
    <x v="0"/>
    <n v="10000"/>
    <d v="2022-09-22T00:00:00"/>
    <x v="0"/>
    <x v="1"/>
  </r>
  <r>
    <x v="21"/>
    <n v="5200"/>
    <n v="2"/>
    <s v="R. Luíz Faccini, 212 - Centro, Guarulhos - SP, 07110-000"/>
    <x v="0"/>
    <s v="BIANCA TATSCH"/>
    <x v="1"/>
    <n v="40"/>
    <x v="0"/>
    <n v="10400"/>
    <d v="2022-07-30T00:00:00"/>
    <x v="0"/>
    <x v="0"/>
  </r>
  <r>
    <x v="19"/>
    <n v="1750"/>
    <n v="4"/>
    <s v="Av. Dom Luís, 500 - Aldeota, Fortaleza - CE, 60160-230"/>
    <x v="2"/>
    <s v="LIVIA CODECEIRA"/>
    <x v="1"/>
    <n v="35"/>
    <x v="0"/>
    <n v="7000"/>
    <d v="2022-04-18T00:00:00"/>
    <x v="0"/>
    <x v="2"/>
  </r>
  <r>
    <x v="23"/>
    <n v="1100"/>
    <n v="3"/>
    <s v="Av. Goiás Norte, 3.592 - quadra 2.1 - St. Mal. Rondon, Goiânia - GO, 74063-010"/>
    <x v="4"/>
    <s v="JOÃO GUADAGNINO"/>
    <x v="0"/>
    <n v="75"/>
    <x v="1"/>
    <n v="3300"/>
    <d v="2022-06-11T00:00:00"/>
    <x v="0"/>
    <x v="3"/>
  </r>
  <r>
    <x v="20"/>
    <n v="5500"/>
    <n v="1"/>
    <s v="Rua Antônio Lumack do Monte, 203 - 1 - Boa Viagem, Recife - PE, 51020-350"/>
    <x v="6"/>
    <s v="PAULA CALBUCCI"/>
    <x v="1"/>
    <n v="62"/>
    <x v="1"/>
    <n v="5500"/>
    <d v="2022-06-21T00:00:00"/>
    <x v="0"/>
    <x v="3"/>
  </r>
  <r>
    <x v="14"/>
    <n v="1500"/>
    <n v="3"/>
    <s v="R. Luíz Faccini, 212 - Centro, Guarulhos - SP, 07110-000"/>
    <x v="0"/>
    <s v="HYGOR ESSABER"/>
    <x v="0"/>
    <n v="29"/>
    <x v="2"/>
    <n v="4500"/>
    <d v="2022-11-14T00:00:00"/>
    <x v="0"/>
    <x v="10"/>
  </r>
  <r>
    <x v="7"/>
    <n v="2600"/>
    <n v="5"/>
    <s v="Rua Antônio Lumack do Monte, 203 - 1 - Boa Viagem, Recife - PE, 51020-350"/>
    <x v="6"/>
    <s v="DIOGO PEIXOTO"/>
    <x v="0"/>
    <n v="59"/>
    <x v="1"/>
    <n v="13000"/>
    <d v="2022-04-05T00:00:00"/>
    <x v="0"/>
    <x v="2"/>
  </r>
  <r>
    <x v="18"/>
    <n v="2500"/>
    <n v="5"/>
    <s v="Av. Borges de Medeiros, 3120 - Praia de Belas, Porto Alegre - RS, 90110-150"/>
    <x v="8"/>
    <s v="MELISSA NUCCI"/>
    <x v="1"/>
    <n v="46"/>
    <x v="0"/>
    <n v="12500"/>
    <d v="2022-10-26T00:00:00"/>
    <x v="0"/>
    <x v="6"/>
  </r>
  <r>
    <x v="4"/>
    <n v="700"/>
    <n v="1"/>
    <s v="Av. Mal. Floriano Peixoto, 2248-2258 - Centro, Nova Iguaçu - RJ, 26210-000"/>
    <x v="1"/>
    <s v="ERICK SOARES"/>
    <x v="0"/>
    <n v="36"/>
    <x v="0"/>
    <n v="700"/>
    <d v="2022-03-22T00:00:00"/>
    <x v="0"/>
    <x v="9"/>
  </r>
  <r>
    <x v="9"/>
    <n v="2000"/>
    <n v="1"/>
    <s v="Rua Antônio Lumack do Monte, 203 - 1 - Boa Viagem, Recife - PE, 51020-350"/>
    <x v="6"/>
    <s v="IGOR AZEVEDO"/>
    <x v="0"/>
    <n v="59"/>
    <x v="1"/>
    <n v="2000"/>
    <d v="2022-02-24T00:00:00"/>
    <x v="0"/>
    <x v="4"/>
  </r>
  <r>
    <x v="9"/>
    <n v="2000"/>
    <n v="1"/>
    <s v="R. Brasílio Itiberê, 3279 - Água Verde, Curitiba - PR, 80250-160"/>
    <x v="3"/>
    <s v="MATHEUS SANTOS"/>
    <x v="0"/>
    <n v="36"/>
    <x v="0"/>
    <n v="2000"/>
    <d v="2022-07-21T00:00:00"/>
    <x v="0"/>
    <x v="0"/>
  </r>
  <r>
    <x v="15"/>
    <n v="3000"/>
    <n v="4"/>
    <s v="R. Brasílio Itiberê, 3279 - Água Verde, Curitiba - PR, 80250-160"/>
    <x v="3"/>
    <s v="LAÍS OLIVEIRA"/>
    <x v="1"/>
    <n v="63"/>
    <x v="1"/>
    <n v="12000"/>
    <d v="2022-02-16T00:00:00"/>
    <x v="0"/>
    <x v="4"/>
  </r>
  <r>
    <x v="4"/>
    <n v="700"/>
    <n v="2"/>
    <s v="R. Visc. de Pirajá, 136 - Ipanema, Rio de Janeiro - RJ, 22410-000"/>
    <x v="1"/>
    <s v="CARLOS SILVA"/>
    <x v="0"/>
    <n v="60"/>
    <x v="1"/>
    <n v="1400"/>
    <d v="2022-05-29T00:00:00"/>
    <x v="0"/>
    <x v="11"/>
  </r>
  <r>
    <x v="1"/>
    <n v="1400"/>
    <n v="2"/>
    <s v="Rua Antônio Lumack do Monte, 203 - 1 - Boa Viagem, Recife - PE, 51020-350"/>
    <x v="6"/>
    <s v="BRUNA LONDERO"/>
    <x v="1"/>
    <n v="64"/>
    <x v="1"/>
    <n v="2800"/>
    <d v="2022-02-13T00:00:00"/>
    <x v="0"/>
    <x v="4"/>
  </r>
  <r>
    <x v="0"/>
    <n v="4500"/>
    <n v="2"/>
    <s v="R. Visc. de Pirajá, 136 - Ipanema, Rio de Janeiro - RJ, 22410-000"/>
    <x v="1"/>
    <s v="LARISSA CRUZ"/>
    <x v="1"/>
    <n v="36"/>
    <x v="0"/>
    <n v="9000"/>
    <d v="2022-10-06T00:00:00"/>
    <x v="0"/>
    <x v="6"/>
  </r>
  <r>
    <x v="18"/>
    <n v="2500"/>
    <n v="2"/>
    <s v="Av. Goiás Norte, 3.592 - quadra 2.1 - St. Mal. Rondon, Goiânia - GO, 74063-010"/>
    <x v="4"/>
    <s v="BRENO COSTA"/>
    <x v="0"/>
    <n v="55"/>
    <x v="1"/>
    <n v="5000"/>
    <d v="2022-08-17T00:00:00"/>
    <x v="0"/>
    <x v="7"/>
  </r>
  <r>
    <x v="11"/>
    <n v="2000"/>
    <n v="3"/>
    <s v="Av. Barão Homem de Melo, 1389 - Nova Granada, Belo Horizonte - MG, 30431-425"/>
    <x v="7"/>
    <s v="PEDRO OLIVEIRA"/>
    <x v="0"/>
    <n v="32"/>
    <x v="0"/>
    <n v="6000"/>
    <d v="2022-11-01T00:00:00"/>
    <x v="0"/>
    <x v="10"/>
  </r>
  <r>
    <x v="14"/>
    <n v="1500"/>
    <n v="5"/>
    <s v="Rua Antônio Lumack do Monte, 203 - 1 - Boa Viagem, Recife - PE, 51020-350"/>
    <x v="6"/>
    <s v="RODRIGO MENDES"/>
    <x v="0"/>
    <n v="56"/>
    <x v="1"/>
    <n v="7500"/>
    <d v="2022-07-06T00:00:00"/>
    <x v="0"/>
    <x v="0"/>
  </r>
  <r>
    <x v="6"/>
    <n v="6500"/>
    <n v="3"/>
    <s v="Rua Antônio Lumack do Monte, 203 - 1 - Boa Viagem, Recife - PE, 51020-350"/>
    <x v="6"/>
    <s v="MYLLENA CORRÊA"/>
    <x v="1"/>
    <n v="32"/>
    <x v="0"/>
    <n v="19500"/>
    <d v="2022-10-11T00:00:00"/>
    <x v="0"/>
    <x v="6"/>
  </r>
  <r>
    <x v="17"/>
    <n v="2300"/>
    <n v="4"/>
    <s v="Av. Goiás Norte, 3.592 - quadra 2.1 - St. Mal. Rondon, Goiânia - GO, 74063-010"/>
    <x v="4"/>
    <s v="PEDRO XAVIER"/>
    <x v="0"/>
    <n v="35"/>
    <x v="0"/>
    <n v="9200"/>
    <d v="2022-12-25T00:00:00"/>
    <x v="0"/>
    <x v="8"/>
  </r>
  <r>
    <x v="12"/>
    <n v="1500"/>
    <n v="3"/>
    <s v="Shopping Barra - Av. Centenário, 2992 - Barra, Salvador - BA, 40155-150"/>
    <x v="5"/>
    <s v="GUSTAVO JUNIOR"/>
    <x v="0"/>
    <n v="69"/>
    <x v="1"/>
    <n v="4500"/>
    <d v="2022-09-14T00:00:00"/>
    <x v="0"/>
    <x v="1"/>
  </r>
  <r>
    <x v="14"/>
    <n v="1500"/>
    <n v="2"/>
    <s v="R. Dr. Antônio Castro Prado, 422 - Vila Rossi e Borchi, Campinas - SP, 13076-130"/>
    <x v="0"/>
    <s v="LUNNA VANNIER"/>
    <x v="1"/>
    <n v="30"/>
    <x v="0"/>
    <n v="3000"/>
    <d v="2022-05-25T00:00:00"/>
    <x v="0"/>
    <x v="11"/>
  </r>
  <r>
    <x v="11"/>
    <n v="2000"/>
    <n v="1"/>
    <s v="Av. Goiás Norte, 3.592 - quadra 2.1 - St. Mal. Rondon, Goiânia - GO, 74063-010"/>
    <x v="4"/>
    <s v="THOMAZ FERREIRA"/>
    <x v="0"/>
    <n v="56"/>
    <x v="1"/>
    <n v="2000"/>
    <d v="2022-05-04T00:00:00"/>
    <x v="0"/>
    <x v="11"/>
  </r>
  <r>
    <x v="19"/>
    <n v="1750"/>
    <n v="2"/>
    <s v="R. Brasílio Itiberê, 3279 - Água Verde, Curitiba - PR, 80250-160"/>
    <x v="3"/>
    <s v="MARIANA BAPTISTA"/>
    <x v="1"/>
    <n v="34"/>
    <x v="0"/>
    <n v="3500"/>
    <d v="2022-11-24T00:00:00"/>
    <x v="0"/>
    <x v="10"/>
  </r>
  <r>
    <x v="6"/>
    <n v="6500"/>
    <n v="4"/>
    <s v="R. Brasílio Itiberê, 3279 - Água Verde, Curitiba - PR, 80250-160"/>
    <x v="3"/>
    <s v="BRENNO MIRANDA"/>
    <x v="0"/>
    <n v="43"/>
    <x v="0"/>
    <n v="26000"/>
    <d v="2022-05-09T00:00:00"/>
    <x v="0"/>
    <x v="11"/>
  </r>
  <r>
    <x v="0"/>
    <n v="4500"/>
    <n v="4"/>
    <s v="Av. Borges de Medeiros, 3120 - Praia de Belas, Porto Alegre - RS, 90110-150"/>
    <x v="8"/>
    <s v="MARCELA JOHNSON"/>
    <x v="1"/>
    <n v="67"/>
    <x v="1"/>
    <n v="18000"/>
    <d v="2022-10-05T00:00:00"/>
    <x v="0"/>
    <x v="6"/>
  </r>
  <r>
    <x v="15"/>
    <n v="3000"/>
    <n v="3"/>
    <s v="Rua Quinze de Novembro, 8 - Loja 301a Loja 301b - Centro, Niterói - RJ, 24020-125"/>
    <x v="1"/>
    <s v="NORMAN JIMBO"/>
    <x v="0"/>
    <n v="66"/>
    <x v="1"/>
    <n v="9000"/>
    <d v="2022-05-26T00:00:00"/>
    <x v="0"/>
    <x v="11"/>
  </r>
  <r>
    <x v="9"/>
    <n v="2000"/>
    <n v="3"/>
    <s v="R. Visc. de Pirajá, 136 - Ipanema, Rio de Janeiro - RJ, 22410-000"/>
    <x v="1"/>
    <s v="JOSÉ FONSECA"/>
    <x v="0"/>
    <n v="75"/>
    <x v="1"/>
    <n v="6000"/>
    <d v="2022-10-23T00:00:00"/>
    <x v="0"/>
    <x v="6"/>
  </r>
  <r>
    <x v="10"/>
    <n v="750"/>
    <n v="3"/>
    <s v="R. Visc. de Pirajá, 136 - Ipanema, Rio de Janeiro - RJ, 22410-000"/>
    <x v="1"/>
    <s v="BERNARDO NAUENBERG"/>
    <x v="0"/>
    <n v="32"/>
    <x v="0"/>
    <n v="2250"/>
    <d v="2022-01-02T00:00:00"/>
    <x v="0"/>
    <x v="5"/>
  </r>
  <r>
    <x v="8"/>
    <n v="1400"/>
    <n v="3"/>
    <s v="R. Visc. de Pirajá, 136 - Ipanema, Rio de Janeiro - RJ, 22410-000"/>
    <x v="1"/>
    <s v="RAVENA BHERING"/>
    <x v="1"/>
    <n v="42"/>
    <x v="0"/>
    <n v="4200"/>
    <d v="2022-05-29T00:00:00"/>
    <x v="0"/>
    <x v="11"/>
  </r>
  <r>
    <x v="12"/>
    <n v="1500"/>
    <n v="5"/>
    <s v="Av. Goiás Norte, 3.592 - quadra 2.1 - St. Mal. Rondon, Goiânia - GO, 74063-010"/>
    <x v="4"/>
    <s v="BRENO VARELLA"/>
    <x v="0"/>
    <n v="41"/>
    <x v="0"/>
    <n v="7500"/>
    <d v="2022-12-11T00:00:00"/>
    <x v="0"/>
    <x v="8"/>
  </r>
  <r>
    <x v="17"/>
    <n v="2300"/>
    <n v="3"/>
    <s v="R. Luíz Faccini, 212 - Centro, Guarulhos - SP, 07110-000"/>
    <x v="0"/>
    <s v="JULIE FERREIRA"/>
    <x v="1"/>
    <n v="34"/>
    <x v="0"/>
    <n v="6900"/>
    <d v="2022-05-11T00:00:00"/>
    <x v="0"/>
    <x v="11"/>
  </r>
  <r>
    <x v="12"/>
    <n v="1500"/>
    <n v="4"/>
    <s v="Rua Quinze de Novembro, 8 - Loja 301a Loja 301b - Centro, Niterói - RJ, 24020-125"/>
    <x v="1"/>
    <s v="MARIA MOTTA"/>
    <x v="1"/>
    <n v="27"/>
    <x v="2"/>
    <n v="6000"/>
    <d v="2022-12-14T00:00:00"/>
    <x v="0"/>
    <x v="8"/>
  </r>
  <r>
    <x v="11"/>
    <n v="2000"/>
    <n v="5"/>
    <s v="R. Brasílio Itiberê, 3279 - Água Verde, Curitiba - PR, 80250-160"/>
    <x v="3"/>
    <s v="JÉSSICA NETTO"/>
    <x v="1"/>
    <n v="26"/>
    <x v="2"/>
    <n v="10000"/>
    <d v="2022-12-12T00:00:00"/>
    <x v="0"/>
    <x v="8"/>
  </r>
  <r>
    <x v="1"/>
    <n v="1400"/>
    <n v="2"/>
    <s v="R. Luíz Faccini, 212 - Centro, Guarulhos - SP, 07110-000"/>
    <x v="0"/>
    <s v="DIEGO MARCHESI"/>
    <x v="0"/>
    <n v="27"/>
    <x v="2"/>
    <n v="2800"/>
    <d v="2022-06-17T00:00:00"/>
    <x v="0"/>
    <x v="3"/>
  </r>
  <r>
    <x v="15"/>
    <n v="3000"/>
    <n v="5"/>
    <s v="Av. Goiás Norte, 3.592 - quadra 2.1 - St. Mal. Rondon, Goiânia - GO, 74063-010"/>
    <x v="4"/>
    <s v="CARLOS MELO"/>
    <x v="0"/>
    <n v="74"/>
    <x v="1"/>
    <n v="15000"/>
    <d v="2022-08-09T00:00:00"/>
    <x v="0"/>
    <x v="7"/>
  </r>
  <r>
    <x v="21"/>
    <n v="5200"/>
    <n v="3"/>
    <s v="R. Visc. de Pirajá, 136 - Ipanema, Rio de Janeiro - RJ, 22410-000"/>
    <x v="1"/>
    <s v="LUCAS COELHO"/>
    <x v="0"/>
    <n v="74"/>
    <x v="1"/>
    <n v="15600"/>
    <d v="2022-11-10T00:00:00"/>
    <x v="0"/>
    <x v="10"/>
  </r>
  <r>
    <x v="14"/>
    <n v="1500"/>
    <n v="4"/>
    <s v="R. Teodoro Sampaio, 954 - Pinheiros, São Paulo - SP, 05406-050"/>
    <x v="0"/>
    <s v="JULIANA MESQUITA"/>
    <x v="1"/>
    <n v="70"/>
    <x v="1"/>
    <n v="6000"/>
    <d v="2022-07-15T00:00:00"/>
    <x v="0"/>
    <x v="0"/>
  </r>
  <r>
    <x v="4"/>
    <n v="700"/>
    <n v="3"/>
    <s v="Av. Goiás Norte, 3.592 - quadra 2.1 - St. Mal. Rondon, Goiânia - GO, 74063-010"/>
    <x v="4"/>
    <s v="RODRIGO SILVA"/>
    <x v="0"/>
    <n v="31"/>
    <x v="0"/>
    <n v="2100"/>
    <d v="2022-09-03T00:00:00"/>
    <x v="0"/>
    <x v="1"/>
  </r>
  <r>
    <x v="14"/>
    <n v="1500"/>
    <n v="2"/>
    <s v="Av. Barão Homem de Melo, 1389 - Nova Granada, Belo Horizonte - MG, 30431-425"/>
    <x v="7"/>
    <s v="AUDIR FRANCO"/>
    <x v="0"/>
    <n v="48"/>
    <x v="0"/>
    <n v="3000"/>
    <d v="2022-09-23T00:00:00"/>
    <x v="0"/>
    <x v="1"/>
  </r>
  <r>
    <x v="14"/>
    <n v="1500"/>
    <n v="3"/>
    <s v="Rua Quinze de Novembro, 8 - Loja 301a Loja 301b - Centro, Niterói - RJ, 24020-125"/>
    <x v="1"/>
    <s v="GABRIELLE WANDERLEY"/>
    <x v="1"/>
    <n v="69"/>
    <x v="1"/>
    <n v="4500"/>
    <d v="2022-12-29T00:00:00"/>
    <x v="0"/>
    <x v="8"/>
  </r>
  <r>
    <x v="7"/>
    <n v="2600"/>
    <n v="5"/>
    <s v="Av. Mal. Floriano Peixoto, 2248-2258 - Centro, Nova Iguaçu - RJ, 26210-000"/>
    <x v="1"/>
    <s v="CHAN SANTOS"/>
    <x v="1"/>
    <n v="37"/>
    <x v="0"/>
    <n v="13000"/>
    <d v="2022-07-01T00:00:00"/>
    <x v="0"/>
    <x v="0"/>
  </r>
  <r>
    <x v="0"/>
    <n v="4500"/>
    <n v="4"/>
    <s v="Rua Antônio Lumack do Monte, 203 - 1 - Boa Viagem, Recife - PE, 51020-350"/>
    <x v="6"/>
    <s v="VANESSA NEVES"/>
    <x v="1"/>
    <n v="32"/>
    <x v="0"/>
    <n v="18000"/>
    <d v="2022-12-25T00:00:00"/>
    <x v="0"/>
    <x v="8"/>
  </r>
  <r>
    <x v="10"/>
    <n v="750"/>
    <n v="5"/>
    <s v="R. Brasílio Itiberê, 3279 - Água Verde, Curitiba - PR, 80250-160"/>
    <x v="3"/>
    <s v="MILENA PEREIRA"/>
    <x v="1"/>
    <n v="67"/>
    <x v="1"/>
    <n v="3750"/>
    <d v="2022-02-13T00:00:00"/>
    <x v="0"/>
    <x v="4"/>
  </r>
  <r>
    <x v="11"/>
    <n v="2000"/>
    <n v="3"/>
    <s v="Rua Antônio Lumack do Monte, 203 - 1 - Boa Viagem, Recife - PE, 51020-350"/>
    <x v="6"/>
    <s v="CAROLINA BERNARDES"/>
    <x v="1"/>
    <n v="66"/>
    <x v="1"/>
    <n v="6000"/>
    <d v="2022-01-07T00:00:00"/>
    <x v="0"/>
    <x v="5"/>
  </r>
  <r>
    <x v="13"/>
    <n v="1550"/>
    <n v="5"/>
    <s v="Av. Goiás Norte, 3.592 - quadra 2.1 - St. Mal. Rondon, Goiânia - GO, 74063-010"/>
    <x v="4"/>
    <s v="PAULA CAVALCANTI"/>
    <x v="1"/>
    <n v="53"/>
    <x v="1"/>
    <n v="7750"/>
    <d v="2022-12-09T00:00:00"/>
    <x v="0"/>
    <x v="8"/>
  </r>
  <r>
    <x v="5"/>
    <n v="1450"/>
    <n v="4"/>
    <s v="R. Brasílio Itiberê, 3279 - Água Verde, Curitiba - PR, 80250-160"/>
    <x v="3"/>
    <s v="ANNA SILVA"/>
    <x v="1"/>
    <n v="69"/>
    <x v="1"/>
    <n v="5800"/>
    <d v="2022-10-15T00:00:00"/>
    <x v="0"/>
    <x v="6"/>
  </r>
  <r>
    <x v="5"/>
    <n v="1450"/>
    <n v="1"/>
    <s v="R. Visc. de Pirajá, 136 - Ipanema, Rio de Janeiro - RJ, 22410-000"/>
    <x v="1"/>
    <s v="NATHAN MORELLI"/>
    <x v="0"/>
    <n v="54"/>
    <x v="1"/>
    <n v="1450"/>
    <d v="2022-01-12T00:00:00"/>
    <x v="0"/>
    <x v="5"/>
  </r>
  <r>
    <x v="14"/>
    <n v="1500"/>
    <n v="1"/>
    <s v="R. Brasílio Itiberê, 3279 - Água Verde, Curitiba - PR, 80250-160"/>
    <x v="3"/>
    <s v="LUIS SOUZA"/>
    <x v="1"/>
    <n v="51"/>
    <x v="1"/>
    <n v="1500"/>
    <d v="2022-08-10T00:00:00"/>
    <x v="0"/>
    <x v="7"/>
  </r>
  <r>
    <x v="21"/>
    <n v="5200"/>
    <n v="5"/>
    <s v="R. Luíz Faccini, 212 - Centro, Guarulhos - SP, 07110-000"/>
    <x v="0"/>
    <s v="SANDY MOREIRA"/>
    <x v="1"/>
    <n v="52"/>
    <x v="1"/>
    <n v="26000"/>
    <d v="2022-02-10T00:00:00"/>
    <x v="0"/>
    <x v="4"/>
  </r>
  <r>
    <x v="4"/>
    <n v="700"/>
    <n v="5"/>
    <s v="R. Luíz Faccini, 212 - Centro, Guarulhos - SP, 07110-000"/>
    <x v="0"/>
    <s v="RILSON DIAS"/>
    <x v="0"/>
    <n v="74"/>
    <x v="1"/>
    <n v="3500"/>
    <d v="2022-06-12T00:00:00"/>
    <x v="0"/>
    <x v="3"/>
  </r>
  <r>
    <x v="23"/>
    <n v="1100"/>
    <n v="2"/>
    <s v="R. Teodoro Sampaio, 954 - Pinheiros, São Paulo - SP, 05406-050"/>
    <x v="0"/>
    <s v="BEATRIZ NOGUEIRA"/>
    <x v="1"/>
    <n v="42"/>
    <x v="0"/>
    <n v="2200"/>
    <d v="2022-08-25T00:00:00"/>
    <x v="0"/>
    <x v="7"/>
  </r>
  <r>
    <x v="19"/>
    <n v="1750"/>
    <n v="2"/>
    <s v="Av. Barão Homem de Melo, 1389 - Nova Granada, Belo Horizonte - MG, 30431-425"/>
    <x v="7"/>
    <s v="VIVIANNE RODRIGUES"/>
    <x v="1"/>
    <n v="49"/>
    <x v="0"/>
    <n v="3500"/>
    <d v="2022-10-06T00:00:00"/>
    <x v="0"/>
    <x v="6"/>
  </r>
  <r>
    <x v="13"/>
    <n v="1550"/>
    <n v="4"/>
    <s v="R. Brasílio Itiberê, 3279 - Água Verde, Curitiba - PR, 80250-160"/>
    <x v="3"/>
    <s v="ANA GOMES"/>
    <x v="1"/>
    <n v="64"/>
    <x v="1"/>
    <n v="6200"/>
    <d v="2022-06-24T00:00:00"/>
    <x v="0"/>
    <x v="3"/>
  </r>
  <r>
    <x v="0"/>
    <n v="4500"/>
    <n v="3"/>
    <s v="R. Teodoro Sampaio, 954 - Pinheiros, São Paulo - SP, 05406-050"/>
    <x v="0"/>
    <s v="LUCAS MACHADO"/>
    <x v="0"/>
    <n v="49"/>
    <x v="0"/>
    <n v="13500"/>
    <d v="2022-11-23T00:00:00"/>
    <x v="0"/>
    <x v="10"/>
  </r>
  <r>
    <x v="4"/>
    <n v="700"/>
    <n v="3"/>
    <s v="Av. Borges de Medeiros, 3120 - Praia de Belas, Porto Alegre - RS, 90110-150"/>
    <x v="8"/>
    <s v="DIEGO MELLO"/>
    <x v="0"/>
    <n v="38"/>
    <x v="0"/>
    <n v="2100"/>
    <d v="2022-06-30T00:00:00"/>
    <x v="0"/>
    <x v="3"/>
  </r>
  <r>
    <x v="0"/>
    <n v="4500"/>
    <n v="5"/>
    <s v="R. Teodoro Sampaio, 954 - Pinheiros, São Paulo - SP, 05406-050"/>
    <x v="0"/>
    <s v="LUCAS BAPTISTA"/>
    <x v="0"/>
    <n v="49"/>
    <x v="0"/>
    <n v="22500"/>
    <d v="2022-12-29T00:00:00"/>
    <x v="0"/>
    <x v="8"/>
  </r>
  <r>
    <x v="2"/>
    <n v="1900"/>
    <n v="2"/>
    <s v="Av. Borges de Medeiros, 3120 - Praia de Belas, Porto Alegre - RS, 90110-150"/>
    <x v="8"/>
    <s v="BRUNO FERREIRA"/>
    <x v="0"/>
    <n v="64"/>
    <x v="1"/>
    <n v="3800"/>
    <d v="2022-08-15T00:00:00"/>
    <x v="0"/>
    <x v="7"/>
  </r>
  <r>
    <x v="2"/>
    <n v="1900"/>
    <n v="1"/>
    <s v="Av. Dom Luís, 500 - Aldeota, Fortaleza - CE, 60160-230"/>
    <x v="2"/>
    <s v="FABIO SEPÚLVEDA"/>
    <x v="0"/>
    <n v="57"/>
    <x v="1"/>
    <n v="1900"/>
    <d v="2022-12-21T00:00:00"/>
    <x v="0"/>
    <x v="8"/>
  </r>
  <r>
    <x v="3"/>
    <n v="1500"/>
    <n v="2"/>
    <s v="R. Luíz Faccini, 212 - Centro, Guarulhos - SP, 07110-000"/>
    <x v="0"/>
    <s v="JÚLIA ALMEIDA"/>
    <x v="1"/>
    <n v="73"/>
    <x v="1"/>
    <n v="3000"/>
    <d v="2022-07-22T00:00:00"/>
    <x v="0"/>
    <x v="0"/>
  </r>
  <r>
    <x v="22"/>
    <n v="2400"/>
    <n v="2"/>
    <s v="R. Brasílio Itiberê, 3279 - Água Verde, Curitiba - PR, 80250-160"/>
    <x v="3"/>
    <s v="CARLOS AZEVEDO"/>
    <x v="0"/>
    <n v="34"/>
    <x v="0"/>
    <n v="4800"/>
    <d v="2022-07-11T00:00:00"/>
    <x v="0"/>
    <x v="0"/>
  </r>
  <r>
    <x v="12"/>
    <n v="1500"/>
    <n v="2"/>
    <s v="R. Brasílio Itiberê, 3279 - Água Verde, Curitiba - PR, 80250-160"/>
    <x v="3"/>
    <s v="GISELIA THIELE"/>
    <x v="1"/>
    <n v="55"/>
    <x v="1"/>
    <n v="3000"/>
    <d v="2022-05-26T00:00:00"/>
    <x v="0"/>
    <x v="11"/>
  </r>
  <r>
    <x v="14"/>
    <n v="1500"/>
    <n v="4"/>
    <s v="Shopping Barra - Av. Centenário, 2992 - Barra, Salvador - BA, 40155-150"/>
    <x v="5"/>
    <s v="AMANDA FELIPPE"/>
    <x v="1"/>
    <n v="32"/>
    <x v="0"/>
    <n v="6000"/>
    <d v="2022-10-18T00:00:00"/>
    <x v="0"/>
    <x v="6"/>
  </r>
  <r>
    <x v="12"/>
    <n v="1500"/>
    <n v="4"/>
    <s v="R. Brasílio Itiberê, 3279 - Água Verde, Curitiba - PR, 80250-160"/>
    <x v="3"/>
    <s v="ROGÉRIO PEREIRA"/>
    <x v="0"/>
    <n v="27"/>
    <x v="2"/>
    <n v="6000"/>
    <d v="2022-08-03T00:00:00"/>
    <x v="0"/>
    <x v="7"/>
  </r>
  <r>
    <x v="5"/>
    <n v="1450"/>
    <n v="5"/>
    <s v="Rua Antônio Lumack do Monte, 203 - 1 - Boa Viagem, Recife - PE, 51020-350"/>
    <x v="6"/>
    <s v="KATHARINA BARROS"/>
    <x v="1"/>
    <n v="65"/>
    <x v="1"/>
    <n v="7250"/>
    <d v="2022-02-04T00:00:00"/>
    <x v="0"/>
    <x v="4"/>
  </r>
  <r>
    <x v="9"/>
    <n v="2000"/>
    <n v="2"/>
    <s v="Av. Goiás Norte, 3.592 - quadra 2.1 - St. Mal. Rondon, Goiânia - GO, 74063-010"/>
    <x v="4"/>
    <s v="LUCAS ASSUNÇÃO"/>
    <x v="0"/>
    <n v="71"/>
    <x v="1"/>
    <n v="4000"/>
    <d v="2022-07-29T00:00:00"/>
    <x v="0"/>
    <x v="0"/>
  </r>
  <r>
    <x v="22"/>
    <n v="2400"/>
    <n v="4"/>
    <s v="Av. Mal. Floriano Peixoto, 2248-2258 - Centro, Nova Iguaçu - RJ, 26210-000"/>
    <x v="1"/>
    <s v="HÉRCULES MOREIRA"/>
    <x v="0"/>
    <n v="72"/>
    <x v="1"/>
    <n v="9600"/>
    <d v="2022-07-30T00:00:00"/>
    <x v="0"/>
    <x v="0"/>
  </r>
  <r>
    <x v="9"/>
    <n v="2000"/>
    <n v="4"/>
    <s v="Av. Goiás Norte, 3.592 - quadra 2.1 - St. Mal. Rondon, Goiânia - GO, 74063-010"/>
    <x v="4"/>
    <s v="VIVIANE SOUZA"/>
    <x v="1"/>
    <n v="64"/>
    <x v="1"/>
    <n v="8000"/>
    <d v="2022-05-10T00:00:00"/>
    <x v="0"/>
    <x v="11"/>
  </r>
  <r>
    <x v="11"/>
    <n v="2000"/>
    <n v="1"/>
    <s v="R. Luíz Faccini, 212 - Centro, Guarulhos - SP, 07110-000"/>
    <x v="0"/>
    <s v="THIAGO VELOSO"/>
    <x v="0"/>
    <n v="44"/>
    <x v="0"/>
    <n v="2000"/>
    <d v="2022-08-21T00:00:00"/>
    <x v="0"/>
    <x v="7"/>
  </r>
  <r>
    <x v="10"/>
    <n v="750"/>
    <n v="1"/>
    <s v="R. Luíz Faccini, 212 - Centro, Guarulhos - SP, 07110-000"/>
    <x v="0"/>
    <s v="JOÃO SIQUEIRA"/>
    <x v="0"/>
    <n v="74"/>
    <x v="1"/>
    <n v="750"/>
    <d v="2022-06-13T00:00:00"/>
    <x v="0"/>
    <x v="3"/>
  </r>
  <r>
    <x v="7"/>
    <n v="2600"/>
    <n v="3"/>
    <s v="Av. Barão Homem de Melo, 1389 - Nova Granada, Belo Horizonte - MG, 30431-425"/>
    <x v="7"/>
    <s v="RUAN LOPES"/>
    <x v="0"/>
    <n v="26"/>
    <x v="2"/>
    <n v="7800"/>
    <d v="2022-10-22T00:00:00"/>
    <x v="0"/>
    <x v="6"/>
  </r>
  <r>
    <x v="9"/>
    <n v="2000"/>
    <n v="5"/>
    <s v="Rua Antônio Lumack do Monte, 203 - 1 - Boa Viagem, Recife - PE, 51020-350"/>
    <x v="6"/>
    <s v="DEYSIANE MEDRONHO"/>
    <x v="1"/>
    <n v="47"/>
    <x v="0"/>
    <n v="10000"/>
    <d v="2022-06-10T00:00:00"/>
    <x v="0"/>
    <x v="3"/>
  </r>
  <r>
    <x v="21"/>
    <n v="5200"/>
    <n v="1"/>
    <s v="R. Visc. de Pirajá, 136 - Ipanema, Rio de Janeiro - RJ, 22410-000"/>
    <x v="1"/>
    <s v="CAMILLA GUIMARÃES"/>
    <x v="1"/>
    <n v="57"/>
    <x v="1"/>
    <n v="5200"/>
    <d v="2022-06-22T00:00:00"/>
    <x v="0"/>
    <x v="3"/>
  </r>
  <r>
    <x v="1"/>
    <n v="1400"/>
    <n v="2"/>
    <s v="R. Dr. Antônio Castro Prado, 422 - Vila Rossi e Borchi, Campinas - SP, 13076-130"/>
    <x v="0"/>
    <s v="CAROLINA CARNEIRO"/>
    <x v="1"/>
    <n v="37"/>
    <x v="0"/>
    <n v="2800"/>
    <d v="2022-01-22T00:00:00"/>
    <x v="0"/>
    <x v="5"/>
  </r>
  <r>
    <x v="23"/>
    <n v="1100"/>
    <n v="1"/>
    <s v="Av. Goiás Norte, 3.592 - quadra 2.1 - St. Mal. Rondon, Goiânia - GO, 74063-010"/>
    <x v="4"/>
    <s v="ERIC JÚNIOR"/>
    <x v="0"/>
    <n v="37"/>
    <x v="0"/>
    <n v="1100"/>
    <d v="2022-07-21T00:00:00"/>
    <x v="0"/>
    <x v="0"/>
  </r>
  <r>
    <x v="13"/>
    <n v="1550"/>
    <n v="3"/>
    <s v="Av. Dom Luís, 500 - Aldeota, Fortaleza - CE, 60160-230"/>
    <x v="2"/>
    <s v="LUIS VILLANOVA"/>
    <x v="1"/>
    <n v="41"/>
    <x v="0"/>
    <n v="4650"/>
    <d v="2022-07-01T00:00:00"/>
    <x v="0"/>
    <x v="0"/>
  </r>
  <r>
    <x v="14"/>
    <n v="1500"/>
    <n v="4"/>
    <s v="Av. Barão Homem de Melo, 1389 - Nova Granada, Belo Horizonte - MG, 30431-425"/>
    <x v="7"/>
    <s v="VIVIANNE RODRIGUES"/>
    <x v="1"/>
    <n v="49"/>
    <x v="0"/>
    <n v="6000"/>
    <d v="2022-10-06T00:00:00"/>
    <x v="0"/>
    <x v="6"/>
  </r>
  <r>
    <x v="20"/>
    <n v="5500"/>
    <n v="5"/>
    <s v="Av. Dom Luís, 500 - Aldeota, Fortaleza - CE, 60160-230"/>
    <x v="2"/>
    <s v="GUSTAVO ACCARDO"/>
    <x v="0"/>
    <n v="50"/>
    <x v="0"/>
    <n v="27500"/>
    <d v="2022-02-12T00:00:00"/>
    <x v="0"/>
    <x v="4"/>
  </r>
  <r>
    <x v="10"/>
    <n v="750"/>
    <n v="1"/>
    <s v="R. Teodoro Sampaio, 954 - Pinheiros, São Paulo - SP, 05406-050"/>
    <x v="0"/>
    <s v="JÔNATAS CASTRO"/>
    <x v="0"/>
    <n v="56"/>
    <x v="1"/>
    <n v="750"/>
    <d v="2022-02-26T00:00:00"/>
    <x v="0"/>
    <x v="4"/>
  </r>
  <r>
    <x v="7"/>
    <n v="2600"/>
    <n v="4"/>
    <s v="Av. Barão Homem de Melo, 1389 - Nova Granada, Belo Horizonte - MG, 30431-425"/>
    <x v="7"/>
    <s v="KIMBERLY SAD"/>
    <x v="1"/>
    <n v="43"/>
    <x v="0"/>
    <n v="10400"/>
    <d v="2022-03-07T00:00:00"/>
    <x v="0"/>
    <x v="9"/>
  </r>
  <r>
    <x v="21"/>
    <n v="5200"/>
    <n v="2"/>
    <s v="R. Luíz Faccini, 212 - Centro, Guarulhos - SP, 07110-000"/>
    <x v="0"/>
    <s v="JULIANA BARREIRA"/>
    <x v="1"/>
    <n v="53"/>
    <x v="1"/>
    <n v="10400"/>
    <d v="2022-12-31T00:00:00"/>
    <x v="0"/>
    <x v="8"/>
  </r>
  <r>
    <x v="18"/>
    <n v="2500"/>
    <n v="3"/>
    <s v="R. Teodoro Sampaio, 954 - Pinheiros, São Paulo - SP, 05406-050"/>
    <x v="0"/>
    <s v="JULIANA MESQUITA"/>
    <x v="1"/>
    <n v="70"/>
    <x v="1"/>
    <n v="7500"/>
    <d v="2022-03-07T00:00:00"/>
    <x v="0"/>
    <x v="9"/>
  </r>
  <r>
    <x v="19"/>
    <n v="1750"/>
    <n v="5"/>
    <s v="Av. Goiás Norte, 3.592 - quadra 2.1 - St. Mal. Rondon, Goiânia - GO, 74063-010"/>
    <x v="4"/>
    <s v="JOÃO GUADAGNINO"/>
    <x v="0"/>
    <n v="75"/>
    <x v="1"/>
    <n v="8750"/>
    <d v="2022-09-14T00:00:00"/>
    <x v="0"/>
    <x v="1"/>
  </r>
  <r>
    <x v="0"/>
    <n v="4500"/>
    <n v="5"/>
    <s v="Rua Antônio Lumack do Monte, 203 - 1 - Boa Viagem, Recife - PE, 51020-350"/>
    <x v="6"/>
    <s v="GLENDA SANTOS"/>
    <x v="1"/>
    <n v="27"/>
    <x v="2"/>
    <n v="22500"/>
    <d v="2022-03-15T00:00:00"/>
    <x v="0"/>
    <x v="9"/>
  </r>
  <r>
    <x v="14"/>
    <n v="1500"/>
    <n v="2"/>
    <s v="Av. Barão Homem de Melo, 1389 - Nova Granada, Belo Horizonte - MG, 30431-425"/>
    <x v="7"/>
    <s v="LUCAS VALIM"/>
    <x v="0"/>
    <n v="62"/>
    <x v="1"/>
    <n v="3000"/>
    <d v="2022-11-30T00:00:00"/>
    <x v="0"/>
    <x v="10"/>
  </r>
  <r>
    <x v="9"/>
    <n v="2000"/>
    <n v="2"/>
    <s v="R. Luíz Faccini, 212 - Centro, Guarulhos - SP, 07110-000"/>
    <x v="0"/>
    <s v="ARTHUR FERNANDES"/>
    <x v="0"/>
    <n v="31"/>
    <x v="0"/>
    <n v="4000"/>
    <d v="2022-01-23T00:00:00"/>
    <x v="0"/>
    <x v="5"/>
  </r>
  <r>
    <x v="5"/>
    <n v="1450"/>
    <n v="5"/>
    <s v="Av. Goiás Norte, 3.592 - quadra 2.1 - St. Mal. Rondon, Goiânia - GO, 74063-010"/>
    <x v="4"/>
    <s v="RODRIGO SILVA"/>
    <x v="0"/>
    <n v="31"/>
    <x v="0"/>
    <n v="7250"/>
    <d v="2022-07-12T00:00:00"/>
    <x v="0"/>
    <x v="0"/>
  </r>
  <r>
    <x v="8"/>
    <n v="1400"/>
    <n v="4"/>
    <s v="Rua Antônio Lumack do Monte, 203 - 1 - Boa Viagem, Recife - PE, 51020-350"/>
    <x v="6"/>
    <s v="JOAO PEREIRA"/>
    <x v="0"/>
    <n v="27"/>
    <x v="2"/>
    <n v="5600"/>
    <d v="2022-09-25T00:00:00"/>
    <x v="0"/>
    <x v="1"/>
  </r>
  <r>
    <x v="17"/>
    <n v="2300"/>
    <n v="1"/>
    <s v="Rua Quinze de Novembro, 8 - Loja 301a Loja 301b - Centro, Niterói - RJ, 24020-125"/>
    <x v="1"/>
    <s v="THALES GOUVÊA"/>
    <x v="0"/>
    <n v="41"/>
    <x v="0"/>
    <n v="2300"/>
    <d v="2022-05-03T00:00:00"/>
    <x v="0"/>
    <x v="11"/>
  </r>
  <r>
    <x v="20"/>
    <n v="5500"/>
    <n v="1"/>
    <s v="R. Visc. de Pirajá, 136 - Ipanema, Rio de Janeiro - RJ, 22410-000"/>
    <x v="1"/>
    <s v="GABRIELA CAVALCANTI"/>
    <x v="1"/>
    <n v="54"/>
    <x v="1"/>
    <n v="5500"/>
    <d v="2022-06-25T00:00:00"/>
    <x v="0"/>
    <x v="3"/>
  </r>
  <r>
    <x v="13"/>
    <n v="1550"/>
    <n v="4"/>
    <s v="Av. Borges de Medeiros, 3120 - Praia de Belas, Porto Alegre - RS, 90110-150"/>
    <x v="8"/>
    <s v="JOÃO MENEZES"/>
    <x v="0"/>
    <n v="52"/>
    <x v="1"/>
    <n v="6200"/>
    <d v="2022-04-15T00:00:00"/>
    <x v="0"/>
    <x v="2"/>
  </r>
  <r>
    <x v="16"/>
    <n v="1200"/>
    <n v="1"/>
    <s v="R. Brasílio Itiberê, 3279 - Água Verde, Curitiba - PR, 80250-160"/>
    <x v="3"/>
    <s v="ROGER ROSA"/>
    <x v="0"/>
    <n v="72"/>
    <x v="1"/>
    <n v="1200"/>
    <d v="2022-12-20T00:00:00"/>
    <x v="0"/>
    <x v="8"/>
  </r>
  <r>
    <x v="9"/>
    <n v="2000"/>
    <n v="2"/>
    <s v="Av. Mal. Floriano Peixoto, 2248-2258 - Centro, Nova Iguaçu - RJ, 26210-000"/>
    <x v="1"/>
    <s v="HÉRCULES MOREIRA"/>
    <x v="0"/>
    <n v="72"/>
    <x v="1"/>
    <n v="4000"/>
    <d v="2022-12-01T00:00:00"/>
    <x v="0"/>
    <x v="8"/>
  </r>
  <r>
    <x v="7"/>
    <n v="2600"/>
    <n v="4"/>
    <s v="Av. Mal. Floriano Peixoto, 2248-2258 - Centro, Nova Iguaçu - RJ, 26210-000"/>
    <x v="1"/>
    <s v="ERIC CARVALHO"/>
    <x v="0"/>
    <n v="70"/>
    <x v="1"/>
    <n v="10400"/>
    <d v="2022-11-22T00:00:00"/>
    <x v="0"/>
    <x v="10"/>
  </r>
  <r>
    <x v="15"/>
    <n v="3000"/>
    <n v="1"/>
    <s v="Rua Antônio Lumack do Monte, 203 - 1 - Boa Viagem, Recife - PE, 51020-350"/>
    <x v="6"/>
    <s v="ISABELLA SANTOS"/>
    <x v="1"/>
    <n v="47"/>
    <x v="0"/>
    <n v="3000"/>
    <d v="2022-06-11T00:00:00"/>
    <x v="0"/>
    <x v="3"/>
  </r>
  <r>
    <x v="16"/>
    <n v="1200"/>
    <n v="1"/>
    <s v="Rua Antônio Lumack do Monte, 203 - 1 - Boa Viagem, Recife - PE, 51020-350"/>
    <x v="6"/>
    <s v="JOAO PEREIRA"/>
    <x v="0"/>
    <n v="27"/>
    <x v="2"/>
    <n v="1200"/>
    <d v="2022-11-04T00:00:00"/>
    <x v="0"/>
    <x v="10"/>
  </r>
  <r>
    <x v="9"/>
    <n v="2000"/>
    <n v="4"/>
    <s v="R. Teodoro Sampaio, 954 - Pinheiros, São Paulo - SP, 05406-050"/>
    <x v="0"/>
    <s v="LUIZ CONCEIÇÃO"/>
    <x v="0"/>
    <n v="34"/>
    <x v="0"/>
    <n v="8000"/>
    <d v="2022-10-28T00:00:00"/>
    <x v="0"/>
    <x v="6"/>
  </r>
  <r>
    <x v="11"/>
    <n v="2000"/>
    <n v="4"/>
    <s v="Rua Quinze de Novembro, 8 - Loja 301a Loja 301b - Centro, Niterói - RJ, 24020-125"/>
    <x v="1"/>
    <s v="LUCAS ARAGÃO"/>
    <x v="0"/>
    <n v="34"/>
    <x v="0"/>
    <n v="8000"/>
    <d v="2022-08-20T00:00:00"/>
    <x v="0"/>
    <x v="7"/>
  </r>
  <r>
    <x v="16"/>
    <n v="1200"/>
    <n v="4"/>
    <s v="Shopping Barra - Av. Centenário, 2992 - Barra, Salvador - BA, 40155-150"/>
    <x v="5"/>
    <s v="RENAN VENTURA"/>
    <x v="0"/>
    <n v="33"/>
    <x v="0"/>
    <n v="4800"/>
    <d v="2022-04-01T00:00:00"/>
    <x v="0"/>
    <x v="2"/>
  </r>
  <r>
    <x v="19"/>
    <n v="1750"/>
    <n v="1"/>
    <s v="Rua Antônio Lumack do Monte, 203 - 1 - Boa Viagem, Recife - PE, 51020-350"/>
    <x v="6"/>
    <s v="JOÃO ALVES"/>
    <x v="0"/>
    <n v="63"/>
    <x v="1"/>
    <n v="1750"/>
    <d v="2022-10-28T00:00:00"/>
    <x v="0"/>
    <x v="6"/>
  </r>
  <r>
    <x v="8"/>
    <n v="1400"/>
    <n v="2"/>
    <s v="Rua Quinze de Novembro, 8 - Loja 301a Loja 301b - Centro, Niterói - RJ, 24020-125"/>
    <x v="1"/>
    <s v="THAÍS PEREIRA"/>
    <x v="1"/>
    <n v="56"/>
    <x v="1"/>
    <n v="2800"/>
    <d v="2022-03-10T00:00:00"/>
    <x v="0"/>
    <x v="9"/>
  </r>
  <r>
    <x v="21"/>
    <n v="5200"/>
    <n v="2"/>
    <s v="Shopping Barra - Av. Centenário, 2992 - Barra, Salvador - BA, 40155-150"/>
    <x v="5"/>
    <s v="MARIA MELLO"/>
    <x v="1"/>
    <n v="67"/>
    <x v="1"/>
    <n v="10400"/>
    <d v="2022-12-17T00:00:00"/>
    <x v="0"/>
    <x v="8"/>
  </r>
  <r>
    <x v="19"/>
    <n v="1750"/>
    <n v="1"/>
    <s v="Shopping Barra - Av. Centenário, 2992 - Barra, Salvador - BA, 40155-150"/>
    <x v="5"/>
    <s v="MILENA ALCOFORADO"/>
    <x v="1"/>
    <n v="68"/>
    <x v="1"/>
    <n v="1750"/>
    <d v="2022-06-15T00:00:00"/>
    <x v="0"/>
    <x v="3"/>
  </r>
  <r>
    <x v="2"/>
    <n v="1900"/>
    <n v="1"/>
    <s v="R. Dr. Antônio Castro Prado, 422 - Vila Rossi e Borchi, Campinas - SP, 13076-130"/>
    <x v="0"/>
    <s v="ADRIANA PASSOS"/>
    <x v="1"/>
    <n v="30"/>
    <x v="0"/>
    <n v="1900"/>
    <d v="2022-03-02T00:00:00"/>
    <x v="0"/>
    <x v="9"/>
  </r>
  <r>
    <x v="19"/>
    <n v="1750"/>
    <n v="1"/>
    <s v="R. Dr. Antônio Castro Prado, 422 - Vila Rossi e Borchi, Campinas - SP, 13076-130"/>
    <x v="0"/>
    <s v="WENDELA VELOSO"/>
    <x v="1"/>
    <n v="30"/>
    <x v="0"/>
    <n v="1750"/>
    <d v="2022-06-27T00:00:00"/>
    <x v="0"/>
    <x v="3"/>
  </r>
  <r>
    <x v="12"/>
    <n v="1500"/>
    <n v="3"/>
    <s v="R. Luíz Faccini, 212 - Centro, Guarulhos - SP, 07110-000"/>
    <x v="0"/>
    <s v="MARCELO PEREIRA"/>
    <x v="0"/>
    <n v="49"/>
    <x v="0"/>
    <n v="4500"/>
    <d v="2022-09-19T00:00:00"/>
    <x v="0"/>
    <x v="1"/>
  </r>
  <r>
    <x v="13"/>
    <n v="1550"/>
    <n v="5"/>
    <s v="R. Luíz Faccini, 212 - Centro, Guarulhos - SP, 07110-000"/>
    <x v="0"/>
    <s v="KIM FERREIRA"/>
    <x v="1"/>
    <n v="73"/>
    <x v="1"/>
    <n v="7750"/>
    <d v="2022-01-10T00:00:00"/>
    <x v="0"/>
    <x v="5"/>
  </r>
  <r>
    <x v="13"/>
    <n v="1550"/>
    <n v="1"/>
    <s v="R. Dr. Antônio Castro Prado, 422 - Vila Rossi e Borchi, Campinas - SP, 13076-130"/>
    <x v="0"/>
    <s v="BRENNO SANTOS"/>
    <x v="0"/>
    <n v="71"/>
    <x v="1"/>
    <n v="1550"/>
    <d v="2022-02-05T00:00:00"/>
    <x v="0"/>
    <x v="4"/>
  </r>
  <r>
    <x v="6"/>
    <n v="6500"/>
    <n v="3"/>
    <s v="Av. Dom Luís, 500 - Aldeota, Fortaleza - CE, 60160-230"/>
    <x v="2"/>
    <s v="LUCAS LEMOS"/>
    <x v="0"/>
    <n v="27"/>
    <x v="2"/>
    <n v="19500"/>
    <d v="2022-05-13T00:00:00"/>
    <x v="0"/>
    <x v="11"/>
  </r>
  <r>
    <x v="14"/>
    <n v="1500"/>
    <n v="5"/>
    <s v="Av. Mal. Floriano Peixoto, 2248-2258 - Centro, Nova Iguaçu - RJ, 26210-000"/>
    <x v="1"/>
    <s v="PRISCILA SUZANO"/>
    <x v="1"/>
    <n v="50"/>
    <x v="0"/>
    <n v="7500"/>
    <d v="2022-05-12T00:00:00"/>
    <x v="0"/>
    <x v="11"/>
  </r>
  <r>
    <x v="10"/>
    <n v="750"/>
    <n v="1"/>
    <s v="Av. Goiás Norte, 3.592 - quadra 2.1 - St. Mal. Rondon, Goiânia - GO, 74063-010"/>
    <x v="4"/>
    <s v="PAULA CAVALCANTI"/>
    <x v="1"/>
    <n v="53"/>
    <x v="1"/>
    <n v="750"/>
    <d v="2022-11-06T00:00:00"/>
    <x v="0"/>
    <x v="10"/>
  </r>
  <r>
    <x v="8"/>
    <n v="1400"/>
    <n v="2"/>
    <s v="R. Visc. de Pirajá, 136 - Ipanema, Rio de Janeiro - RJ, 22410-000"/>
    <x v="1"/>
    <s v="NATALIA ANDRADE"/>
    <x v="1"/>
    <n v="73"/>
    <x v="1"/>
    <n v="2800"/>
    <d v="2022-04-04T00:00:00"/>
    <x v="0"/>
    <x v="2"/>
  </r>
  <r>
    <x v="20"/>
    <n v="5500"/>
    <n v="2"/>
    <s v="R. Dr. Antônio Castro Prado, 422 - Vila Rossi e Borchi, Campinas - SP, 13076-130"/>
    <x v="0"/>
    <s v="ADRIANA PASSOS"/>
    <x v="1"/>
    <n v="30"/>
    <x v="0"/>
    <n v="11000"/>
    <d v="2022-10-04T00:00:00"/>
    <x v="0"/>
    <x v="6"/>
  </r>
  <r>
    <x v="6"/>
    <n v="6500"/>
    <n v="4"/>
    <s v="R. Brasílio Itiberê, 3279 - Água Verde, Curitiba - PR, 80250-160"/>
    <x v="3"/>
    <s v="MARCOS NUCCI"/>
    <x v="0"/>
    <n v="26"/>
    <x v="2"/>
    <n v="26000"/>
    <d v="2022-11-27T00:00:00"/>
    <x v="0"/>
    <x v="10"/>
  </r>
  <r>
    <x v="12"/>
    <n v="1500"/>
    <n v="4"/>
    <s v="R. Luíz Faccini, 212 - Centro, Guarulhos - SP, 07110-000"/>
    <x v="0"/>
    <s v="LUIS GARCIA"/>
    <x v="1"/>
    <n v="29"/>
    <x v="2"/>
    <n v="6000"/>
    <d v="2022-01-21T00:00:00"/>
    <x v="0"/>
    <x v="5"/>
  </r>
  <r>
    <x v="11"/>
    <n v="2000"/>
    <n v="3"/>
    <s v="Av. Mal. Floriano Peixoto, 2248-2258 - Centro, Nova Iguaçu - RJ, 26210-000"/>
    <x v="1"/>
    <s v="ROBERTA NOGUEIRA"/>
    <x v="1"/>
    <n v="44"/>
    <x v="0"/>
    <n v="6000"/>
    <d v="2022-05-23T00:00:00"/>
    <x v="0"/>
    <x v="11"/>
  </r>
  <r>
    <x v="1"/>
    <n v="1400"/>
    <n v="4"/>
    <s v="R. Luíz Faccini, 212 - Centro, Guarulhos - SP, 07110-000"/>
    <x v="0"/>
    <s v="GABRIEL ALMEIDA"/>
    <x v="0"/>
    <n v="28"/>
    <x v="2"/>
    <n v="5600"/>
    <d v="2022-11-09T00:00:00"/>
    <x v="0"/>
    <x v="10"/>
  </r>
  <r>
    <x v="6"/>
    <n v="6500"/>
    <n v="1"/>
    <s v="Rua Antônio Lumack do Monte, 203 - 1 - Boa Viagem, Recife - PE, 51020-350"/>
    <x v="6"/>
    <s v="LUCAS NETO"/>
    <x v="0"/>
    <n v="63"/>
    <x v="1"/>
    <n v="6500"/>
    <d v="2022-12-28T00:00:00"/>
    <x v="0"/>
    <x v="8"/>
  </r>
  <r>
    <x v="9"/>
    <n v="2000"/>
    <n v="5"/>
    <s v="Rua Antônio Lumack do Monte, 203 - 1 - Boa Viagem, Recife - PE, 51020-350"/>
    <x v="6"/>
    <s v="STEPHANIE GONÇALVES"/>
    <x v="1"/>
    <n v="26"/>
    <x v="2"/>
    <n v="10000"/>
    <d v="2022-05-26T00:00:00"/>
    <x v="0"/>
    <x v="11"/>
  </r>
  <r>
    <x v="10"/>
    <n v="750"/>
    <n v="2"/>
    <s v="Av. Borges de Medeiros, 3120 - Praia de Belas, Porto Alegre - RS, 90110-150"/>
    <x v="8"/>
    <s v="RODRIGO FEIJO"/>
    <x v="0"/>
    <n v="56"/>
    <x v="1"/>
    <n v="1500"/>
    <d v="2022-07-03T00:00:00"/>
    <x v="0"/>
    <x v="0"/>
  </r>
  <r>
    <x v="11"/>
    <n v="2000"/>
    <n v="4"/>
    <s v="Rua Quinze de Novembro, 8 - Loja 301a Loja 301b - Centro, Niterói - RJ, 24020-125"/>
    <x v="1"/>
    <s v="STEPHANIE OLIVEIRA"/>
    <x v="1"/>
    <n v="32"/>
    <x v="0"/>
    <n v="8000"/>
    <d v="2022-06-27T00:00:00"/>
    <x v="0"/>
    <x v="3"/>
  </r>
  <r>
    <x v="22"/>
    <n v="2400"/>
    <n v="4"/>
    <s v="Av. Mal. Floriano Peixoto, 2248-2258 - Centro, Nova Iguaçu - RJ, 26210-000"/>
    <x v="1"/>
    <s v="BÁRBARA LIMA"/>
    <x v="0"/>
    <n v="64"/>
    <x v="1"/>
    <n v="9600"/>
    <d v="2022-10-05T00:00:00"/>
    <x v="0"/>
    <x v="6"/>
  </r>
  <r>
    <x v="14"/>
    <n v="1500"/>
    <n v="5"/>
    <s v="Rua Antônio Lumack do Monte, 203 - 1 - Boa Viagem, Recife - PE, 51020-350"/>
    <x v="6"/>
    <s v="MYLLENA CORRÊA"/>
    <x v="1"/>
    <n v="32"/>
    <x v="0"/>
    <n v="7500"/>
    <d v="2022-05-01T00:00:00"/>
    <x v="0"/>
    <x v="11"/>
  </r>
  <r>
    <x v="12"/>
    <n v="1500"/>
    <n v="1"/>
    <s v="R. Luíz Faccini, 212 - Centro, Guarulhos - SP, 07110-000"/>
    <x v="0"/>
    <s v="GUILHERME MEROTTO"/>
    <x v="0"/>
    <n v="60"/>
    <x v="1"/>
    <n v="1500"/>
    <d v="2022-02-07T00:00:00"/>
    <x v="0"/>
    <x v="4"/>
  </r>
  <r>
    <x v="20"/>
    <n v="5500"/>
    <n v="3"/>
    <s v="R. Dr. Antônio Castro Prado, 422 - Vila Rossi e Borchi, Campinas - SP, 13076-130"/>
    <x v="0"/>
    <s v="WENDELA VELOSO"/>
    <x v="1"/>
    <n v="30"/>
    <x v="0"/>
    <n v="16500"/>
    <d v="2022-08-01T00:00:00"/>
    <x v="0"/>
    <x v="7"/>
  </r>
  <r>
    <x v="15"/>
    <n v="3000"/>
    <n v="5"/>
    <s v="R. Dr. Antônio Castro Prado, 422 - Vila Rossi e Borchi, Campinas - SP, 13076-130"/>
    <x v="0"/>
    <s v="ALVARO KRANZ"/>
    <x v="0"/>
    <n v="45"/>
    <x v="0"/>
    <n v="15000"/>
    <d v="2022-11-23T00:00:00"/>
    <x v="0"/>
    <x v="10"/>
  </r>
  <r>
    <x v="12"/>
    <n v="1500"/>
    <n v="5"/>
    <s v="R. Luíz Faccini, 212 - Centro, Guarulhos - SP, 07110-000"/>
    <x v="0"/>
    <s v="CAIO SILVA"/>
    <x v="0"/>
    <n v="52"/>
    <x v="1"/>
    <n v="7500"/>
    <d v="2022-06-28T00:00:00"/>
    <x v="0"/>
    <x v="3"/>
  </r>
  <r>
    <x v="3"/>
    <n v="1500"/>
    <n v="1"/>
    <s v="Av. Mal. Floriano Peixoto, 2248-2258 - Centro, Nova Iguaçu - RJ, 26210-000"/>
    <x v="1"/>
    <s v="ALINE ANDRADE"/>
    <x v="1"/>
    <n v="67"/>
    <x v="1"/>
    <n v="1500"/>
    <d v="2022-05-30T00:00:00"/>
    <x v="0"/>
    <x v="11"/>
  </r>
  <r>
    <x v="15"/>
    <n v="3000"/>
    <n v="4"/>
    <s v="Rua Quinze de Novembro, 8 - Loja 301a Loja 301b - Centro, Niterói - RJ, 24020-125"/>
    <x v="1"/>
    <s v="FERNANDA BHERING"/>
    <x v="1"/>
    <n v="41"/>
    <x v="0"/>
    <n v="12000"/>
    <d v="2022-02-01T00:00:00"/>
    <x v="0"/>
    <x v="4"/>
  </r>
  <r>
    <x v="11"/>
    <n v="2000"/>
    <n v="1"/>
    <s v="Av. Goiás Norte, 3.592 - quadra 2.1 - St. Mal. Rondon, Goiânia - GO, 74063-010"/>
    <x v="4"/>
    <s v="LUCAS FONTOURA"/>
    <x v="0"/>
    <n v="38"/>
    <x v="0"/>
    <n v="2000"/>
    <d v="2022-11-03T00:00:00"/>
    <x v="0"/>
    <x v="10"/>
  </r>
  <r>
    <x v="16"/>
    <n v="1200"/>
    <n v="2"/>
    <s v="Av. Borges de Medeiros, 3120 - Praia de Belas, Porto Alegre - RS, 90110-150"/>
    <x v="8"/>
    <s v="BRUNO FERREIRA"/>
    <x v="0"/>
    <n v="64"/>
    <x v="1"/>
    <n v="2400"/>
    <d v="2022-02-02T00:00:00"/>
    <x v="0"/>
    <x v="4"/>
  </r>
  <r>
    <x v="0"/>
    <n v="4500"/>
    <n v="2"/>
    <s v="Av. Borges de Medeiros, 3120 - Praia de Belas, Porto Alegre - RS, 90110-150"/>
    <x v="8"/>
    <s v="RAÍSSA NIMER"/>
    <x v="1"/>
    <n v="44"/>
    <x v="0"/>
    <n v="9000"/>
    <d v="2022-06-25T00:00:00"/>
    <x v="0"/>
    <x v="3"/>
  </r>
  <r>
    <x v="0"/>
    <n v="4500"/>
    <n v="5"/>
    <s v="R. Visc. de Pirajá, 136 - Ipanema, Rio de Janeiro - RJ, 22410-000"/>
    <x v="1"/>
    <s v="ANA BÔAS"/>
    <x v="1"/>
    <n v="54"/>
    <x v="1"/>
    <n v="22500"/>
    <d v="2022-10-17T00:00:00"/>
    <x v="0"/>
    <x v="6"/>
  </r>
  <r>
    <x v="17"/>
    <n v="2300"/>
    <n v="5"/>
    <s v="R. Visc. de Pirajá, 136 - Ipanema, Rio de Janeiro - RJ, 22410-000"/>
    <x v="1"/>
    <s v="JOÃO PEDRAZZA"/>
    <x v="0"/>
    <n v="69"/>
    <x v="1"/>
    <n v="11500"/>
    <d v="2022-05-06T00:00:00"/>
    <x v="0"/>
    <x v="11"/>
  </r>
  <r>
    <x v="4"/>
    <n v="700"/>
    <n v="2"/>
    <s v="R. Brasílio Itiberê, 3279 - Água Verde, Curitiba - PR, 80250-160"/>
    <x v="3"/>
    <s v="BRUNO OLIVEIRA"/>
    <x v="0"/>
    <n v="76"/>
    <x v="1"/>
    <n v="1400"/>
    <d v="2022-01-03T00:00:00"/>
    <x v="0"/>
    <x v="5"/>
  </r>
  <r>
    <x v="13"/>
    <n v="1550"/>
    <n v="3"/>
    <s v="R. Teodoro Sampaio, 954 - Pinheiros, São Paulo - SP, 05406-050"/>
    <x v="0"/>
    <s v="LUIZ XAVIER"/>
    <x v="0"/>
    <n v="41"/>
    <x v="0"/>
    <n v="4650"/>
    <d v="2022-03-08T00:00:00"/>
    <x v="0"/>
    <x v="9"/>
  </r>
  <r>
    <x v="6"/>
    <n v="6500"/>
    <n v="3"/>
    <s v="R. Luíz Faccini, 212 - Centro, Guarulhos - SP, 07110-000"/>
    <x v="0"/>
    <s v="GABRIEL THONI"/>
    <x v="0"/>
    <n v="34"/>
    <x v="0"/>
    <n v="19500"/>
    <d v="2022-05-27T00:00:00"/>
    <x v="0"/>
    <x v="11"/>
  </r>
  <r>
    <x v="17"/>
    <n v="2300"/>
    <n v="4"/>
    <s v="Av. Borges de Medeiros, 3120 - Praia de Belas, Porto Alegre - RS, 90110-150"/>
    <x v="8"/>
    <s v="CAIO MOURA"/>
    <x v="0"/>
    <n v="66"/>
    <x v="1"/>
    <n v="9200"/>
    <d v="2022-07-18T00:00:00"/>
    <x v="0"/>
    <x v="0"/>
  </r>
  <r>
    <x v="10"/>
    <n v="750"/>
    <n v="5"/>
    <s v="Rua Quinze de Novembro, 8 - Loja 301a Loja 301b - Centro, Niterói - RJ, 24020-125"/>
    <x v="1"/>
    <s v="BRUNO SALOMÃO"/>
    <x v="0"/>
    <n v="53"/>
    <x v="1"/>
    <n v="3750"/>
    <d v="2022-07-19T00:00:00"/>
    <x v="0"/>
    <x v="0"/>
  </r>
  <r>
    <x v="20"/>
    <n v="5500"/>
    <n v="4"/>
    <s v="Rua Antônio Lumack do Monte, 203 - 1 - Boa Viagem, Recife - PE, 51020-350"/>
    <x v="6"/>
    <s v="FERNANDA SILVA"/>
    <x v="1"/>
    <n v="39"/>
    <x v="0"/>
    <n v="22000"/>
    <d v="2022-12-18T00:00:00"/>
    <x v="0"/>
    <x v="8"/>
  </r>
  <r>
    <x v="8"/>
    <n v="1400"/>
    <n v="4"/>
    <s v="Rua Quinze de Novembro, 8 - Loja 301a Loja 301b - Centro, Niterói - RJ, 24020-125"/>
    <x v="1"/>
    <s v="ANA CAMPOS"/>
    <x v="1"/>
    <n v="30"/>
    <x v="0"/>
    <n v="5600"/>
    <d v="2022-05-25T00:00:00"/>
    <x v="0"/>
    <x v="11"/>
  </r>
  <r>
    <x v="4"/>
    <n v="700"/>
    <n v="2"/>
    <s v="Av. Dom Luís, 500 - Aldeota, Fortaleza - CE, 60160-230"/>
    <x v="2"/>
    <s v="CÉLIO XAVIER"/>
    <x v="0"/>
    <n v="64"/>
    <x v="1"/>
    <n v="1400"/>
    <d v="2022-02-15T00:00:00"/>
    <x v="0"/>
    <x v="4"/>
  </r>
  <r>
    <x v="5"/>
    <n v="1450"/>
    <n v="1"/>
    <s v="R. Luíz Faccini, 212 - Centro, Guarulhos - SP, 07110-000"/>
    <x v="0"/>
    <s v="EDUARDO PACHECO"/>
    <x v="0"/>
    <n v="33"/>
    <x v="0"/>
    <n v="1450"/>
    <d v="2022-04-05T00:00:00"/>
    <x v="0"/>
    <x v="2"/>
  </r>
  <r>
    <x v="7"/>
    <n v="2600"/>
    <n v="3"/>
    <s v="Av. Mal. Floriano Peixoto, 2248-2258 - Centro, Nova Iguaçu - RJ, 26210-000"/>
    <x v="1"/>
    <s v="ANDRESSA ROTSZTEJN"/>
    <x v="1"/>
    <n v="48"/>
    <x v="0"/>
    <n v="7800"/>
    <d v="2022-09-16T00:00:00"/>
    <x v="0"/>
    <x v="1"/>
  </r>
  <r>
    <x v="9"/>
    <n v="2000"/>
    <n v="4"/>
    <s v="Av. Goiás Norte, 3.592 - quadra 2.1 - St. Mal. Rondon, Goiânia - GO, 74063-010"/>
    <x v="4"/>
    <s v="BRUNO VELUCCI"/>
    <x v="0"/>
    <n v="52"/>
    <x v="1"/>
    <n v="8000"/>
    <d v="2022-12-10T00:00:00"/>
    <x v="0"/>
    <x v="8"/>
  </r>
  <r>
    <x v="16"/>
    <n v="1200"/>
    <n v="5"/>
    <s v="Shopping Barra - Av. Centenário, 2992 - Barra, Salvador - BA, 40155-150"/>
    <x v="5"/>
    <s v="ALLAN GUEDES"/>
    <x v="0"/>
    <n v="34"/>
    <x v="0"/>
    <n v="6000"/>
    <d v="2022-08-21T00:00:00"/>
    <x v="0"/>
    <x v="7"/>
  </r>
  <r>
    <x v="2"/>
    <n v="1900"/>
    <n v="4"/>
    <s v="Av. Dom Luís, 500 - Aldeota, Fortaleza - CE, 60160-230"/>
    <x v="2"/>
    <s v="LUÃ SÁ"/>
    <x v="0"/>
    <n v="50"/>
    <x v="0"/>
    <n v="7600"/>
    <d v="2022-11-30T00:00:00"/>
    <x v="0"/>
    <x v="10"/>
  </r>
  <r>
    <x v="10"/>
    <n v="750"/>
    <n v="4"/>
    <s v="Av. Borges de Medeiros, 3120 - Praia de Belas, Porto Alegre - RS, 90110-150"/>
    <x v="8"/>
    <s v="JÚLIO FRAGA"/>
    <x v="0"/>
    <n v="53"/>
    <x v="1"/>
    <n v="3000"/>
    <d v="2022-07-24T00:00:00"/>
    <x v="0"/>
    <x v="0"/>
  </r>
  <r>
    <x v="21"/>
    <n v="5200"/>
    <n v="2"/>
    <s v="R. Brasílio Itiberê, 3279 - Água Verde, Curitiba - PR, 80250-160"/>
    <x v="3"/>
    <s v="MATHEUS DELGADO"/>
    <x v="0"/>
    <n v="44"/>
    <x v="0"/>
    <n v="10400"/>
    <d v="2022-04-21T00:00:00"/>
    <x v="0"/>
    <x v="2"/>
  </r>
  <r>
    <x v="10"/>
    <n v="750"/>
    <n v="1"/>
    <s v="R. Dr. Antônio Castro Prado, 422 - Vila Rossi e Borchi, Campinas - SP, 13076-130"/>
    <x v="0"/>
    <s v="ANANDA DIAS"/>
    <x v="1"/>
    <n v="34"/>
    <x v="0"/>
    <n v="750"/>
    <d v="2022-04-22T00:00:00"/>
    <x v="0"/>
    <x v="2"/>
  </r>
  <r>
    <x v="14"/>
    <n v="1500"/>
    <n v="4"/>
    <s v="R. Dr. Antônio Castro Prado, 422 - Vila Rossi e Borchi, Campinas - SP, 13076-130"/>
    <x v="0"/>
    <s v="HELENA CHAFIN"/>
    <x v="1"/>
    <n v="45"/>
    <x v="0"/>
    <n v="6000"/>
    <d v="2022-03-26T00:00:00"/>
    <x v="0"/>
    <x v="9"/>
  </r>
  <r>
    <x v="5"/>
    <n v="1450"/>
    <n v="1"/>
    <s v="Av. Mal. Floriano Peixoto, 2248-2258 - Centro, Nova Iguaçu - RJ, 26210-000"/>
    <x v="1"/>
    <s v="ERIC NEVES"/>
    <x v="0"/>
    <n v="56"/>
    <x v="1"/>
    <n v="1450"/>
    <d v="2022-02-15T00:00:00"/>
    <x v="0"/>
    <x v="4"/>
  </r>
  <r>
    <x v="4"/>
    <n v="700"/>
    <n v="2"/>
    <s v="R. Luíz Faccini, 212 - Centro, Guarulhos - SP, 07110-000"/>
    <x v="0"/>
    <s v="PATRICK SILVA"/>
    <x v="0"/>
    <n v="57"/>
    <x v="1"/>
    <n v="1400"/>
    <d v="2022-06-07T00:00:00"/>
    <x v="0"/>
    <x v="3"/>
  </r>
  <r>
    <x v="20"/>
    <n v="5500"/>
    <n v="5"/>
    <s v="Av. Barão Homem de Melo, 1389 - Nova Granada, Belo Horizonte - MG, 30431-425"/>
    <x v="7"/>
    <s v="CLARA SILVEIRA"/>
    <x v="1"/>
    <n v="39"/>
    <x v="0"/>
    <n v="27500"/>
    <d v="2022-11-11T00:00:00"/>
    <x v="0"/>
    <x v="10"/>
  </r>
  <r>
    <x v="22"/>
    <n v="2400"/>
    <n v="4"/>
    <s v="Av. Borges de Medeiros, 3120 - Praia de Belas, Porto Alegre - RS, 90110-150"/>
    <x v="8"/>
    <s v="PAULA ISBELLE"/>
    <x v="1"/>
    <n v="61"/>
    <x v="1"/>
    <n v="9600"/>
    <d v="2022-08-03T00:00:00"/>
    <x v="0"/>
    <x v="7"/>
  </r>
  <r>
    <x v="21"/>
    <n v="5200"/>
    <n v="3"/>
    <s v="Av. Mal. Floriano Peixoto, 2248-2258 - Centro, Nova Iguaçu - RJ, 26210-000"/>
    <x v="1"/>
    <s v="EDUARDO SILVA"/>
    <x v="0"/>
    <n v="70"/>
    <x v="1"/>
    <n v="15600"/>
    <d v="2022-12-08T00:00:00"/>
    <x v="0"/>
    <x v="8"/>
  </r>
  <r>
    <x v="13"/>
    <n v="1550"/>
    <n v="3"/>
    <s v="R. Visc. de Pirajá, 136 - Ipanema, Rio de Janeiro - RJ, 22410-000"/>
    <x v="1"/>
    <s v="NATHAN MORELLI"/>
    <x v="0"/>
    <n v="54"/>
    <x v="1"/>
    <n v="4650"/>
    <d v="2022-04-04T00:00:00"/>
    <x v="0"/>
    <x v="2"/>
  </r>
  <r>
    <x v="2"/>
    <n v="1900"/>
    <n v="2"/>
    <s v="Rua Antônio Lumack do Monte, 203 - 1 - Boa Viagem, Recife - PE, 51020-350"/>
    <x v="6"/>
    <s v="RODRIGO MENDES"/>
    <x v="0"/>
    <n v="56"/>
    <x v="1"/>
    <n v="3800"/>
    <d v="2022-09-28T00:00:00"/>
    <x v="0"/>
    <x v="1"/>
  </r>
  <r>
    <x v="0"/>
    <n v="4500"/>
    <n v="3"/>
    <s v="Shopping Barra - Av. Centenário, 2992 - Barra, Salvador - BA, 40155-150"/>
    <x v="5"/>
    <s v="JEFERSON COSTA"/>
    <x v="0"/>
    <n v="41"/>
    <x v="0"/>
    <n v="13500"/>
    <d v="2022-01-21T00:00:00"/>
    <x v="0"/>
    <x v="5"/>
  </r>
  <r>
    <x v="5"/>
    <n v="1450"/>
    <n v="4"/>
    <s v="R. Visc. de Pirajá, 136 - Ipanema, Rio de Janeiro - RJ, 22410-000"/>
    <x v="1"/>
    <s v="JOSÉ FONSECA"/>
    <x v="0"/>
    <n v="75"/>
    <x v="1"/>
    <n v="5800"/>
    <d v="2022-04-12T00:00:00"/>
    <x v="0"/>
    <x v="2"/>
  </r>
  <r>
    <x v="11"/>
    <n v="2000"/>
    <n v="2"/>
    <s v="Av. Barão Homem de Melo, 1389 - Nova Granada, Belo Horizonte - MG, 30431-425"/>
    <x v="7"/>
    <s v="DANIELA ROSA"/>
    <x v="1"/>
    <n v="67"/>
    <x v="1"/>
    <n v="4000"/>
    <d v="2022-11-08T00:00:00"/>
    <x v="0"/>
    <x v="10"/>
  </r>
  <r>
    <x v="18"/>
    <n v="2500"/>
    <n v="3"/>
    <s v="R. Luíz Faccini, 212 - Centro, Guarulhos - SP, 07110-000"/>
    <x v="0"/>
    <s v="PEDRO JORGE"/>
    <x v="0"/>
    <n v="31"/>
    <x v="0"/>
    <n v="7500"/>
    <d v="2022-10-12T00:00:00"/>
    <x v="0"/>
    <x v="6"/>
  </r>
  <r>
    <x v="14"/>
    <n v="1500"/>
    <n v="1"/>
    <s v="R. Visc. de Pirajá, 136 - Ipanema, Rio de Janeiro - RJ, 22410-000"/>
    <x v="1"/>
    <s v="BIANCA PIERO"/>
    <x v="1"/>
    <n v="33"/>
    <x v="0"/>
    <n v="1500"/>
    <d v="2022-07-04T00:00:00"/>
    <x v="0"/>
    <x v="0"/>
  </r>
  <r>
    <x v="4"/>
    <n v="700"/>
    <n v="3"/>
    <s v="Av. Goiás Norte, 3.592 - quadra 2.1 - St. Mal. Rondon, Goiânia - GO, 74063-010"/>
    <x v="4"/>
    <s v="RUBENS NETTO"/>
    <x v="0"/>
    <n v="33"/>
    <x v="0"/>
    <n v="2100"/>
    <d v="2022-05-03T00:00:00"/>
    <x v="0"/>
    <x v="11"/>
  </r>
  <r>
    <x v="13"/>
    <n v="1550"/>
    <n v="5"/>
    <s v="Av. Dom Luís, 500 - Aldeota, Fortaleza - CE, 60160-230"/>
    <x v="2"/>
    <s v="BRUNO MOTA"/>
    <x v="0"/>
    <n v="37"/>
    <x v="0"/>
    <n v="7750"/>
    <d v="2022-06-21T00:00:00"/>
    <x v="0"/>
    <x v="3"/>
  </r>
  <r>
    <x v="4"/>
    <n v="700"/>
    <n v="5"/>
    <s v="Av. Barão Homem de Melo, 1389 - Nova Granada, Belo Horizonte - MG, 30431-425"/>
    <x v="7"/>
    <s v="YASSER CALBUCCI"/>
    <x v="0"/>
    <n v="45"/>
    <x v="0"/>
    <n v="3500"/>
    <d v="2022-04-08T00:00:00"/>
    <x v="0"/>
    <x v="2"/>
  </r>
  <r>
    <x v="15"/>
    <n v="3000"/>
    <n v="2"/>
    <s v="R. Dr. Antônio Castro Prado, 422 - Vila Rossi e Borchi, Campinas - SP, 13076-130"/>
    <x v="0"/>
    <s v="STHEFESON BARROSO"/>
    <x v="0"/>
    <n v="28"/>
    <x v="2"/>
    <n v="6000"/>
    <d v="2022-07-11T00:00:00"/>
    <x v="0"/>
    <x v="0"/>
  </r>
  <r>
    <x v="23"/>
    <n v="1100"/>
    <n v="4"/>
    <s v="Av. Borges de Medeiros, 3120 - Praia de Belas, Porto Alegre - RS, 90110-150"/>
    <x v="8"/>
    <s v="MARCELO MAGALHÃES"/>
    <x v="0"/>
    <n v="59"/>
    <x v="1"/>
    <n v="4400"/>
    <d v="2022-12-14T00:00:00"/>
    <x v="0"/>
    <x v="8"/>
  </r>
  <r>
    <x v="1"/>
    <n v="1400"/>
    <n v="3"/>
    <s v="R. Visc. de Pirajá, 136 - Ipanema, Rio de Janeiro - RJ, 22410-000"/>
    <x v="1"/>
    <s v="PEDRO SANTANA"/>
    <x v="0"/>
    <n v="50"/>
    <x v="0"/>
    <n v="4200"/>
    <d v="2022-05-10T00:00:00"/>
    <x v="0"/>
    <x v="11"/>
  </r>
  <r>
    <x v="1"/>
    <n v="1400"/>
    <n v="3"/>
    <s v="R. Visc. de Pirajá, 136 - Ipanema, Rio de Janeiro - RJ, 22410-000"/>
    <x v="1"/>
    <s v="MARIANA FREIRE"/>
    <x v="1"/>
    <n v="47"/>
    <x v="0"/>
    <n v="4200"/>
    <d v="2022-12-22T00:00:00"/>
    <x v="0"/>
    <x v="8"/>
  </r>
  <r>
    <x v="16"/>
    <n v="1200"/>
    <n v="2"/>
    <s v="Av. Goiás Norte, 3.592 - quadra 2.1 - St. Mal. Rondon, Goiânia - GO, 74063-010"/>
    <x v="4"/>
    <s v="LUCAS FREITAS"/>
    <x v="0"/>
    <n v="37"/>
    <x v="0"/>
    <n v="2400"/>
    <d v="2022-10-05T00:00:00"/>
    <x v="0"/>
    <x v="6"/>
  </r>
  <r>
    <x v="9"/>
    <n v="2000"/>
    <n v="3"/>
    <s v="Av. Dom Luís, 500 - Aldeota, Fortaleza - CE, 60160-230"/>
    <x v="2"/>
    <s v="BRENO BRITTO"/>
    <x v="0"/>
    <n v="55"/>
    <x v="1"/>
    <n v="6000"/>
    <d v="2022-12-26T00:00:00"/>
    <x v="0"/>
    <x v="8"/>
  </r>
  <r>
    <x v="14"/>
    <n v="1500"/>
    <n v="1"/>
    <s v="Av. Goiás Norte, 3.592 - quadra 2.1 - St. Mal. Rondon, Goiânia - GO, 74063-010"/>
    <x v="4"/>
    <s v="JULIA PENTEADO"/>
    <x v="1"/>
    <n v="76"/>
    <x v="1"/>
    <n v="1500"/>
    <d v="2022-05-16T00:00:00"/>
    <x v="0"/>
    <x v="11"/>
  </r>
  <r>
    <x v="17"/>
    <n v="2300"/>
    <n v="2"/>
    <s v="Rua Antônio Lumack do Monte, 203 - 1 - Boa Viagem, Recife - PE, 51020-350"/>
    <x v="6"/>
    <s v="RODRIGO MENDES"/>
    <x v="0"/>
    <n v="56"/>
    <x v="1"/>
    <n v="4600"/>
    <d v="2022-08-08T00:00:00"/>
    <x v="0"/>
    <x v="7"/>
  </r>
  <r>
    <x v="23"/>
    <n v="1100"/>
    <n v="2"/>
    <s v="Av. Mal. Floriano Peixoto, 2248-2258 - Centro, Nova Iguaçu - RJ, 26210-000"/>
    <x v="1"/>
    <s v="BÁRBARA LIMA"/>
    <x v="0"/>
    <n v="64"/>
    <x v="1"/>
    <n v="2200"/>
    <d v="2022-07-01T00:00:00"/>
    <x v="0"/>
    <x v="0"/>
  </r>
  <r>
    <x v="15"/>
    <n v="3000"/>
    <n v="1"/>
    <s v="R. Visc. de Pirajá, 136 - Ipanema, Rio de Janeiro - RJ, 22410-000"/>
    <x v="1"/>
    <s v="RAVENA BHERING"/>
    <x v="1"/>
    <n v="42"/>
    <x v="0"/>
    <n v="3000"/>
    <d v="2022-05-21T00:00:00"/>
    <x v="0"/>
    <x v="11"/>
  </r>
  <r>
    <x v="11"/>
    <n v="2000"/>
    <n v="1"/>
    <s v="Av. Goiás Norte, 3.592 - quadra 2.1 - St. Mal. Rondon, Goiânia - GO, 74063-010"/>
    <x v="4"/>
    <s v="GIOVANNA SANTOS"/>
    <x v="1"/>
    <n v="28"/>
    <x v="2"/>
    <n v="2000"/>
    <d v="2022-04-19T00:00:00"/>
    <x v="0"/>
    <x v="2"/>
  </r>
  <r>
    <x v="19"/>
    <n v="1750"/>
    <n v="2"/>
    <s v="Rua Quinze de Novembro, 8 - Loja 301a Loja 301b - Centro, Niterói - RJ, 24020-125"/>
    <x v="1"/>
    <s v="DYKSON SILVA"/>
    <x v="0"/>
    <n v="38"/>
    <x v="0"/>
    <n v="3500"/>
    <d v="2022-09-11T00:00:00"/>
    <x v="0"/>
    <x v="1"/>
  </r>
  <r>
    <x v="6"/>
    <n v="6500"/>
    <n v="3"/>
    <s v="R. Dr. Antônio Castro Prado, 422 - Vila Rossi e Borchi, Campinas - SP, 13076-130"/>
    <x v="0"/>
    <s v="PEDRO DALFORNE"/>
    <x v="0"/>
    <n v="41"/>
    <x v="0"/>
    <n v="19500"/>
    <d v="2022-01-03T00:00:00"/>
    <x v="0"/>
    <x v="5"/>
  </r>
  <r>
    <x v="3"/>
    <n v="1500"/>
    <n v="3"/>
    <s v="Av. Borges de Medeiros, 3120 - Praia de Belas, Porto Alegre - RS, 90110-150"/>
    <x v="8"/>
    <s v="RAFAEL GUIMARÃES"/>
    <x v="0"/>
    <n v="28"/>
    <x v="2"/>
    <n v="4500"/>
    <d v="2022-09-15T00:00:00"/>
    <x v="0"/>
    <x v="1"/>
  </r>
  <r>
    <x v="12"/>
    <n v="1500"/>
    <n v="2"/>
    <s v="R. Luíz Faccini, 212 - Centro, Guarulhos - SP, 07110-000"/>
    <x v="0"/>
    <s v="LUIS GARCIA"/>
    <x v="1"/>
    <n v="29"/>
    <x v="2"/>
    <n v="3000"/>
    <d v="2022-11-20T00:00:00"/>
    <x v="0"/>
    <x v="10"/>
  </r>
  <r>
    <x v="21"/>
    <n v="5200"/>
    <n v="1"/>
    <s v="R. Dr. Antônio Castro Prado, 422 - Vila Rossi e Borchi, Campinas - SP, 13076-130"/>
    <x v="0"/>
    <s v="PEDRO COSTA"/>
    <x v="0"/>
    <n v="47"/>
    <x v="0"/>
    <n v="5200"/>
    <d v="2022-03-10T00:00:00"/>
    <x v="0"/>
    <x v="9"/>
  </r>
  <r>
    <x v="14"/>
    <n v="1500"/>
    <n v="5"/>
    <s v="R. Luíz Faccini, 212 - Centro, Guarulhos - SP, 07110-000"/>
    <x v="0"/>
    <s v="RODRIGO RAMOS"/>
    <x v="0"/>
    <n v="64"/>
    <x v="1"/>
    <n v="7500"/>
    <d v="2022-07-08T00:00:00"/>
    <x v="0"/>
    <x v="0"/>
  </r>
  <r>
    <x v="21"/>
    <n v="5200"/>
    <n v="3"/>
    <s v="R. Teodoro Sampaio, 954 - Pinheiros, São Paulo - SP, 05406-050"/>
    <x v="0"/>
    <s v="CAIO FERREIRA"/>
    <x v="0"/>
    <n v="41"/>
    <x v="0"/>
    <n v="15600"/>
    <d v="2022-05-10T00:00:00"/>
    <x v="0"/>
    <x v="11"/>
  </r>
  <r>
    <x v="14"/>
    <n v="1500"/>
    <n v="3"/>
    <s v="Av. Barão Homem de Melo, 1389 - Nova Granada, Belo Horizonte - MG, 30431-425"/>
    <x v="7"/>
    <s v="YASSER CALBUCCI"/>
    <x v="0"/>
    <n v="45"/>
    <x v="0"/>
    <n v="4500"/>
    <d v="2022-06-16T00:00:00"/>
    <x v="0"/>
    <x v="3"/>
  </r>
  <r>
    <x v="22"/>
    <n v="2400"/>
    <n v="4"/>
    <s v="Av. Borges de Medeiros, 3120 - Praia de Belas, Porto Alegre - RS, 90110-150"/>
    <x v="8"/>
    <s v="MAIKE PEREIRA"/>
    <x v="0"/>
    <n v="41"/>
    <x v="0"/>
    <n v="9600"/>
    <d v="2022-10-17T00:00:00"/>
    <x v="0"/>
    <x v="6"/>
  </r>
  <r>
    <x v="11"/>
    <n v="2000"/>
    <n v="1"/>
    <s v="R. Teodoro Sampaio, 954 - Pinheiros, São Paulo - SP, 05406-050"/>
    <x v="0"/>
    <s v="LUCAS WANDERLEY"/>
    <x v="0"/>
    <n v="42"/>
    <x v="0"/>
    <n v="2000"/>
    <d v="2022-03-30T00:00:00"/>
    <x v="0"/>
    <x v="9"/>
  </r>
  <r>
    <x v="14"/>
    <n v="1500"/>
    <n v="3"/>
    <s v="R. Dr. Antônio Castro Prado, 422 - Vila Rossi e Borchi, Campinas - SP, 13076-130"/>
    <x v="0"/>
    <s v="CARLOS ASSIS"/>
    <x v="0"/>
    <n v="68"/>
    <x v="1"/>
    <n v="4500"/>
    <d v="2022-11-01T00:00:00"/>
    <x v="0"/>
    <x v="10"/>
  </r>
  <r>
    <x v="4"/>
    <n v="700"/>
    <n v="1"/>
    <s v="Rua Quinze de Novembro, 8 - Loja 301a Loja 301b - Centro, Niterói - RJ, 24020-125"/>
    <x v="1"/>
    <s v="LUCAS MONTE"/>
    <x v="0"/>
    <n v="46"/>
    <x v="0"/>
    <n v="700"/>
    <d v="2022-02-02T00:00:00"/>
    <x v="0"/>
    <x v="4"/>
  </r>
  <r>
    <x v="22"/>
    <n v="2400"/>
    <n v="1"/>
    <s v="Av. Barão Homem de Melo, 1389 - Nova Granada, Belo Horizonte - MG, 30431-425"/>
    <x v="7"/>
    <s v="RENAN MELO"/>
    <x v="0"/>
    <n v="36"/>
    <x v="0"/>
    <n v="2400"/>
    <d v="2022-04-06T00:00:00"/>
    <x v="0"/>
    <x v="2"/>
  </r>
  <r>
    <x v="9"/>
    <n v="2000"/>
    <n v="3"/>
    <s v="Shopping Barra - Av. Centenário, 2992 - Barra, Salvador - BA, 40155-150"/>
    <x v="5"/>
    <s v="ANA SILVA"/>
    <x v="1"/>
    <n v="58"/>
    <x v="1"/>
    <n v="6000"/>
    <d v="2022-04-03T00:00:00"/>
    <x v="0"/>
    <x v="2"/>
  </r>
  <r>
    <x v="18"/>
    <n v="2500"/>
    <n v="1"/>
    <s v="Av. Dom Luís, 500 - Aldeota, Fortaleza - CE, 60160-230"/>
    <x v="2"/>
    <s v="KARINA CAMARA"/>
    <x v="1"/>
    <n v="63"/>
    <x v="1"/>
    <n v="2500"/>
    <d v="2022-09-16T00:00:00"/>
    <x v="0"/>
    <x v="1"/>
  </r>
  <r>
    <x v="17"/>
    <n v="2300"/>
    <n v="4"/>
    <s v="R. Visc. de Pirajá, 136 - Ipanema, Rio de Janeiro - RJ, 22410-000"/>
    <x v="1"/>
    <s v="GABRIEL BRITO"/>
    <x v="0"/>
    <n v="75"/>
    <x v="1"/>
    <n v="9200"/>
    <d v="2022-05-21T00:00:00"/>
    <x v="0"/>
    <x v="11"/>
  </r>
  <r>
    <x v="7"/>
    <n v="2600"/>
    <n v="1"/>
    <s v="R. Luíz Faccini, 212 - Centro, Guarulhos - SP, 07110-000"/>
    <x v="0"/>
    <s v="FELIPE MELLO"/>
    <x v="0"/>
    <n v="57"/>
    <x v="1"/>
    <n v="2600"/>
    <d v="2022-08-21T00:00:00"/>
    <x v="0"/>
    <x v="7"/>
  </r>
  <r>
    <x v="12"/>
    <n v="1500"/>
    <n v="4"/>
    <s v="R. Teodoro Sampaio, 954 - Pinheiros, São Paulo - SP, 05406-050"/>
    <x v="0"/>
    <s v="SAMARA PINTO"/>
    <x v="1"/>
    <n v="41"/>
    <x v="0"/>
    <n v="6000"/>
    <d v="2022-05-09T00:00:00"/>
    <x v="0"/>
    <x v="11"/>
  </r>
  <r>
    <x v="8"/>
    <n v="1400"/>
    <n v="3"/>
    <s v="Av. Borges de Medeiros, 3120 - Praia de Belas, Porto Alegre - RS, 90110-150"/>
    <x v="8"/>
    <s v="MATHEUS SAPIR"/>
    <x v="0"/>
    <n v="70"/>
    <x v="1"/>
    <n v="4200"/>
    <d v="2022-05-29T00:00:00"/>
    <x v="0"/>
    <x v="11"/>
  </r>
  <r>
    <x v="20"/>
    <n v="5500"/>
    <n v="5"/>
    <s v="Av. Goiás Norte, 3.592 - quadra 2.1 - St. Mal. Rondon, Goiânia - GO, 74063-010"/>
    <x v="4"/>
    <s v="LEANDRO FERREIRA"/>
    <x v="0"/>
    <n v="38"/>
    <x v="0"/>
    <n v="27500"/>
    <d v="2022-02-05T00:00:00"/>
    <x v="0"/>
    <x v="4"/>
  </r>
  <r>
    <x v="17"/>
    <n v="2300"/>
    <n v="3"/>
    <s v="R. Luíz Faccini, 212 - Centro, Guarulhos - SP, 07110-000"/>
    <x v="0"/>
    <s v="GABRIEL THONI"/>
    <x v="0"/>
    <n v="34"/>
    <x v="0"/>
    <n v="6900"/>
    <d v="2022-06-09T00:00:00"/>
    <x v="0"/>
    <x v="3"/>
  </r>
  <r>
    <x v="20"/>
    <n v="5500"/>
    <n v="3"/>
    <s v="Rua Quinze de Novembro, 8 - Loja 301a Loja 301b - Centro, Niterói - RJ, 24020-125"/>
    <x v="1"/>
    <s v="NORMAN JIMBO"/>
    <x v="0"/>
    <n v="66"/>
    <x v="1"/>
    <n v="16500"/>
    <d v="2022-06-06T00:00:00"/>
    <x v="0"/>
    <x v="3"/>
  </r>
  <r>
    <x v="22"/>
    <n v="2400"/>
    <n v="2"/>
    <s v="R. Visc. de Pirajá, 136 - Ipanema, Rio de Janeiro - RJ, 22410-000"/>
    <x v="1"/>
    <s v="MARIA MOITA"/>
    <x v="1"/>
    <n v="68"/>
    <x v="1"/>
    <n v="4800"/>
    <d v="2022-02-20T00:00:00"/>
    <x v="0"/>
    <x v="4"/>
  </r>
  <r>
    <x v="7"/>
    <n v="2600"/>
    <n v="2"/>
    <s v="R. Teodoro Sampaio, 954 - Pinheiros, São Paulo - SP, 05406-050"/>
    <x v="0"/>
    <s v="TAYLA LIMA"/>
    <x v="1"/>
    <n v="31"/>
    <x v="0"/>
    <n v="5200"/>
    <d v="2022-04-02T00:00:00"/>
    <x v="0"/>
    <x v="2"/>
  </r>
  <r>
    <x v="5"/>
    <n v="1450"/>
    <n v="3"/>
    <s v="R. Luíz Faccini, 212 - Centro, Guarulhos - SP, 07110-000"/>
    <x v="0"/>
    <s v="LARISSA JESUS"/>
    <x v="1"/>
    <n v="29"/>
    <x v="2"/>
    <n v="4350"/>
    <d v="2022-11-17T00:00:00"/>
    <x v="0"/>
    <x v="10"/>
  </r>
  <r>
    <x v="15"/>
    <n v="3000"/>
    <n v="4"/>
    <s v="Av. Barão Homem de Melo, 1389 - Nova Granada, Belo Horizonte - MG, 30431-425"/>
    <x v="7"/>
    <s v="VICTOR GOMES"/>
    <x v="0"/>
    <n v="71"/>
    <x v="1"/>
    <n v="12000"/>
    <d v="2022-09-17T00:00:00"/>
    <x v="0"/>
    <x v="1"/>
  </r>
  <r>
    <x v="2"/>
    <n v="1900"/>
    <n v="4"/>
    <s v="Av. Barão Homem de Melo, 1389 - Nova Granada, Belo Horizonte - MG, 30431-425"/>
    <x v="7"/>
    <s v="KIMBERLY SAD"/>
    <x v="1"/>
    <n v="43"/>
    <x v="0"/>
    <n v="7600"/>
    <d v="2022-06-22T00:00:00"/>
    <x v="0"/>
    <x v="3"/>
  </r>
  <r>
    <x v="20"/>
    <n v="5500"/>
    <n v="2"/>
    <s v="Av. Mal. Floriano Peixoto, 2248-2258 - Centro, Nova Iguaçu - RJ, 26210-000"/>
    <x v="1"/>
    <s v="ANDREZA RAMOS"/>
    <x v="1"/>
    <n v="63"/>
    <x v="1"/>
    <n v="11000"/>
    <d v="2022-01-09T00:00:00"/>
    <x v="0"/>
    <x v="5"/>
  </r>
  <r>
    <x v="20"/>
    <n v="5500"/>
    <n v="5"/>
    <s v="R. Luíz Faccini, 212 - Centro, Guarulhos - SP, 07110-000"/>
    <x v="0"/>
    <s v="THAIS RODRIGUES"/>
    <x v="1"/>
    <n v="58"/>
    <x v="1"/>
    <n v="27500"/>
    <d v="2022-09-01T00:00:00"/>
    <x v="0"/>
    <x v="1"/>
  </r>
  <r>
    <x v="10"/>
    <n v="750"/>
    <n v="5"/>
    <s v="Av. Barão Homem de Melo, 1389 - Nova Granada, Belo Horizonte - MG, 30431-425"/>
    <x v="7"/>
    <s v="LUCAS REIS"/>
    <x v="0"/>
    <n v="67"/>
    <x v="1"/>
    <n v="3750"/>
    <d v="2022-09-16T00:00:00"/>
    <x v="0"/>
    <x v="1"/>
  </r>
  <r>
    <x v="4"/>
    <n v="700"/>
    <n v="2"/>
    <s v="R. Teodoro Sampaio, 954 - Pinheiros, São Paulo - SP, 05406-050"/>
    <x v="0"/>
    <s v="MIGUEL CARNEIRO"/>
    <x v="0"/>
    <n v="45"/>
    <x v="0"/>
    <n v="1400"/>
    <d v="2022-12-21T00:00:00"/>
    <x v="0"/>
    <x v="8"/>
  </r>
  <r>
    <x v="18"/>
    <n v="2500"/>
    <n v="1"/>
    <s v="Av. Goiás Norte, 3.592 - quadra 2.1 - St. Mal. Rondon, Goiânia - GO, 74063-010"/>
    <x v="4"/>
    <s v="ARTHUR SOUZA"/>
    <x v="0"/>
    <n v="45"/>
    <x v="0"/>
    <n v="2500"/>
    <d v="2022-09-14T00:00:00"/>
    <x v="0"/>
    <x v="1"/>
  </r>
  <r>
    <x v="15"/>
    <n v="3000"/>
    <n v="3"/>
    <s v="Shopping Barra - Av. Centenário, 2992 - Barra, Salvador - BA, 40155-150"/>
    <x v="5"/>
    <s v="MATEUS DUQUE"/>
    <x v="0"/>
    <n v="59"/>
    <x v="1"/>
    <n v="9000"/>
    <d v="2022-03-30T00:00:00"/>
    <x v="0"/>
    <x v="9"/>
  </r>
  <r>
    <x v="6"/>
    <n v="6500"/>
    <n v="1"/>
    <s v="Av. Barão Homem de Melo, 1389 - Nova Granada, Belo Horizonte - MG, 30431-425"/>
    <x v="7"/>
    <s v="LUIZ ALMEIDA"/>
    <x v="0"/>
    <n v="71"/>
    <x v="1"/>
    <n v="6500"/>
    <d v="2022-12-01T00:00:00"/>
    <x v="0"/>
    <x v="8"/>
  </r>
  <r>
    <x v="7"/>
    <n v="2600"/>
    <n v="4"/>
    <s v="R. Brasílio Itiberê, 3279 - Água Verde, Curitiba - PR, 80250-160"/>
    <x v="3"/>
    <s v="DANIEL NAUENBERG"/>
    <x v="0"/>
    <n v="36"/>
    <x v="0"/>
    <n v="10400"/>
    <d v="2022-11-15T00:00:00"/>
    <x v="0"/>
    <x v="10"/>
  </r>
  <r>
    <x v="23"/>
    <n v="1100"/>
    <n v="1"/>
    <s v="Av. Goiás Norte, 3.592 - quadra 2.1 - St. Mal. Rondon, Goiânia - GO, 74063-010"/>
    <x v="4"/>
    <s v="LORENA CARVALHO"/>
    <x v="1"/>
    <n v="55"/>
    <x v="1"/>
    <n v="1100"/>
    <d v="2022-06-30T00:00:00"/>
    <x v="0"/>
    <x v="3"/>
  </r>
  <r>
    <x v="15"/>
    <n v="3000"/>
    <n v="5"/>
    <s v="R. Visc. de Pirajá, 136 - Ipanema, Rio de Janeiro - RJ, 22410-000"/>
    <x v="1"/>
    <s v="VICTOR GOMES"/>
    <x v="0"/>
    <n v="47"/>
    <x v="0"/>
    <n v="15000"/>
    <d v="2022-07-08T00:00:00"/>
    <x v="0"/>
    <x v="0"/>
  </r>
  <r>
    <x v="12"/>
    <n v="1500"/>
    <n v="5"/>
    <s v="R. Teodoro Sampaio, 954 - Pinheiros, São Paulo - SP, 05406-050"/>
    <x v="0"/>
    <s v="NINA MAGALHÃES"/>
    <x v="1"/>
    <n v="66"/>
    <x v="1"/>
    <n v="7500"/>
    <d v="2022-09-11T00:00:00"/>
    <x v="0"/>
    <x v="1"/>
  </r>
  <r>
    <x v="1"/>
    <n v="1400"/>
    <n v="2"/>
    <s v="Av. Dom Luís, 500 - Aldeota, Fortaleza - CE, 60160-230"/>
    <x v="2"/>
    <s v="MARINA MARINS"/>
    <x v="1"/>
    <n v="75"/>
    <x v="1"/>
    <n v="2800"/>
    <d v="2022-10-14T00:00:00"/>
    <x v="0"/>
    <x v="6"/>
  </r>
  <r>
    <x v="8"/>
    <n v="1400"/>
    <n v="2"/>
    <s v="Av. Mal. Floriano Peixoto, 2248-2258 - Centro, Nova Iguaçu - RJ, 26210-000"/>
    <x v="1"/>
    <s v="FERNANDA COUTINHO"/>
    <x v="1"/>
    <n v="63"/>
    <x v="1"/>
    <n v="2800"/>
    <d v="2022-10-23T00:00:00"/>
    <x v="0"/>
    <x v="6"/>
  </r>
  <r>
    <x v="6"/>
    <n v="6500"/>
    <n v="4"/>
    <s v="Av. Dom Luís, 500 - Aldeota, Fortaleza - CE, 60160-230"/>
    <x v="2"/>
    <s v="ANDERSON MARTINS"/>
    <x v="0"/>
    <n v="69"/>
    <x v="1"/>
    <n v="26000"/>
    <d v="2022-09-04T00:00:00"/>
    <x v="0"/>
    <x v="1"/>
  </r>
  <r>
    <x v="12"/>
    <n v="1500"/>
    <n v="2"/>
    <s v="Av. Barão Homem de Melo, 1389 - Nova Granada, Belo Horizonte - MG, 30431-425"/>
    <x v="7"/>
    <s v="FILLIPE ALMEIDA"/>
    <x v="0"/>
    <n v="71"/>
    <x v="1"/>
    <n v="3000"/>
    <d v="2022-11-14T00:00:00"/>
    <x v="0"/>
    <x v="10"/>
  </r>
  <r>
    <x v="20"/>
    <n v="5500"/>
    <n v="4"/>
    <s v="R. Luíz Faccini, 212 - Centro, Guarulhos - SP, 07110-000"/>
    <x v="0"/>
    <s v="EDUARDO PACHECO"/>
    <x v="0"/>
    <n v="33"/>
    <x v="0"/>
    <n v="22000"/>
    <d v="2022-04-11T00:00:00"/>
    <x v="0"/>
    <x v="2"/>
  </r>
  <r>
    <x v="20"/>
    <n v="5500"/>
    <n v="3"/>
    <s v="Av. Mal. Floriano Peixoto, 2248-2258 - Centro, Nova Iguaçu - RJ, 26210-000"/>
    <x v="1"/>
    <s v="JOSÉ VIEIRA"/>
    <x v="0"/>
    <n v="59"/>
    <x v="1"/>
    <n v="16500"/>
    <d v="2022-12-16T00:00:00"/>
    <x v="0"/>
    <x v="8"/>
  </r>
  <r>
    <x v="7"/>
    <n v="2600"/>
    <n v="2"/>
    <s v="Rua Quinze de Novembro, 8 - Loja 301a Loja 301b - Centro, Niterói - RJ, 24020-125"/>
    <x v="1"/>
    <s v="LUCAS MONTE"/>
    <x v="0"/>
    <n v="46"/>
    <x v="0"/>
    <n v="5200"/>
    <d v="2022-06-21T00:00:00"/>
    <x v="0"/>
    <x v="3"/>
  </r>
  <r>
    <x v="7"/>
    <n v="2600"/>
    <n v="3"/>
    <s v="R. Luíz Faccini, 212 - Centro, Guarulhos - SP, 07110-000"/>
    <x v="0"/>
    <s v="CARLOS PORTELA"/>
    <x v="0"/>
    <n v="63"/>
    <x v="1"/>
    <n v="7800"/>
    <d v="2022-05-26T00:00:00"/>
    <x v="0"/>
    <x v="11"/>
  </r>
  <r>
    <x v="23"/>
    <n v="1100"/>
    <n v="1"/>
    <s v="Av. Mal. Floriano Peixoto, 2248-2258 - Centro, Nova Iguaçu - RJ, 26210-000"/>
    <x v="1"/>
    <s v="MARIA CORREA"/>
    <x v="1"/>
    <n v="34"/>
    <x v="0"/>
    <n v="1100"/>
    <d v="2022-08-02T00:00:00"/>
    <x v="0"/>
    <x v="7"/>
  </r>
  <r>
    <x v="13"/>
    <n v="1550"/>
    <n v="5"/>
    <s v="Av. Barão Homem de Melo, 1389 - Nova Granada, Belo Horizonte - MG, 30431-425"/>
    <x v="7"/>
    <s v="ROJANE LIMA"/>
    <x v="1"/>
    <n v="39"/>
    <x v="0"/>
    <n v="7750"/>
    <d v="2022-08-23T00:00:00"/>
    <x v="0"/>
    <x v="7"/>
  </r>
  <r>
    <x v="0"/>
    <n v="4500"/>
    <n v="1"/>
    <s v="R. Dr. Antônio Castro Prado, 422 - Vila Rossi e Borchi, Campinas - SP, 13076-130"/>
    <x v="0"/>
    <s v="GABRIEL RIBEIRO"/>
    <x v="0"/>
    <n v="65"/>
    <x v="1"/>
    <n v="4500"/>
    <d v="2022-10-05T00:00:00"/>
    <x v="0"/>
    <x v="6"/>
  </r>
  <r>
    <x v="3"/>
    <n v="1500"/>
    <n v="2"/>
    <s v="Rua Antônio Lumack do Monte, 203 - 1 - Boa Viagem, Recife - PE, 51020-350"/>
    <x v="6"/>
    <s v="FERNANDA SILVA"/>
    <x v="1"/>
    <n v="39"/>
    <x v="0"/>
    <n v="3000"/>
    <d v="2022-01-25T00:00:00"/>
    <x v="0"/>
    <x v="5"/>
  </r>
  <r>
    <x v="7"/>
    <n v="2600"/>
    <n v="5"/>
    <s v="R. Luíz Faccini, 212 - Centro, Guarulhos - SP, 07110-000"/>
    <x v="0"/>
    <s v="CAROLINE CAVALCANTI"/>
    <x v="1"/>
    <n v="37"/>
    <x v="0"/>
    <n v="13000"/>
    <d v="2022-11-14T00:00:00"/>
    <x v="0"/>
    <x v="10"/>
  </r>
  <r>
    <x v="9"/>
    <n v="2000"/>
    <n v="2"/>
    <s v="R. Teodoro Sampaio, 954 - Pinheiros, São Paulo - SP, 05406-050"/>
    <x v="0"/>
    <s v="LUCAS WANDERLEY"/>
    <x v="0"/>
    <n v="42"/>
    <x v="0"/>
    <n v="4000"/>
    <d v="2022-10-08T00:00:00"/>
    <x v="0"/>
    <x v="6"/>
  </r>
  <r>
    <x v="13"/>
    <n v="1550"/>
    <n v="4"/>
    <s v="R. Dr. Antônio Castro Prado, 422 - Vila Rossi e Borchi, Campinas - SP, 13076-130"/>
    <x v="0"/>
    <s v="ALVARO KRANZ"/>
    <x v="0"/>
    <n v="45"/>
    <x v="0"/>
    <n v="6200"/>
    <d v="2022-10-25T00:00:00"/>
    <x v="0"/>
    <x v="6"/>
  </r>
  <r>
    <x v="12"/>
    <n v="1500"/>
    <n v="1"/>
    <s v="R. Luíz Faccini, 212 - Centro, Guarulhos - SP, 07110-000"/>
    <x v="0"/>
    <s v="FERNANDA JUNIOR"/>
    <x v="1"/>
    <n v="51"/>
    <x v="1"/>
    <n v="1500"/>
    <d v="2022-10-12T00:00:00"/>
    <x v="0"/>
    <x v="6"/>
  </r>
  <r>
    <x v="15"/>
    <n v="3000"/>
    <n v="1"/>
    <s v="Av. Mal. Floriano Peixoto, 2248-2258 - Centro, Nova Iguaçu - RJ, 26210-000"/>
    <x v="1"/>
    <s v="GIUSEPPE BORGES"/>
    <x v="0"/>
    <n v="75"/>
    <x v="1"/>
    <n v="3000"/>
    <d v="2022-10-02T00:00:00"/>
    <x v="0"/>
    <x v="6"/>
  </r>
  <r>
    <x v="1"/>
    <n v="1400"/>
    <n v="3"/>
    <s v="R. Luíz Faccini, 212 - Centro, Guarulhos - SP, 07110-000"/>
    <x v="0"/>
    <s v="RAPHAEL KURTZ"/>
    <x v="0"/>
    <n v="48"/>
    <x v="0"/>
    <n v="4200"/>
    <d v="2022-06-26T00:00:00"/>
    <x v="0"/>
    <x v="3"/>
  </r>
  <r>
    <x v="19"/>
    <n v="1750"/>
    <n v="1"/>
    <s v="Av. Barão Homem de Melo, 1389 - Nova Granada, Belo Horizonte - MG, 30431-425"/>
    <x v="7"/>
    <s v="PEDRO CARDOSO"/>
    <x v="0"/>
    <n v="62"/>
    <x v="1"/>
    <n v="1750"/>
    <d v="2022-01-23T00:00:00"/>
    <x v="0"/>
    <x v="5"/>
  </r>
  <r>
    <x v="9"/>
    <n v="2000"/>
    <n v="2"/>
    <s v="Av. Dom Luís, 500 - Aldeota, Fortaleza - CE, 60160-230"/>
    <x v="2"/>
    <s v="HENRIQUE SILVA"/>
    <x v="0"/>
    <n v="62"/>
    <x v="1"/>
    <n v="4000"/>
    <d v="2022-11-10T00:00:00"/>
    <x v="0"/>
    <x v="10"/>
  </r>
  <r>
    <x v="10"/>
    <n v="750"/>
    <n v="3"/>
    <s v="Av. Goiás Norte, 3.592 - quadra 2.1 - St. Mal. Rondon, Goiânia - GO, 74063-010"/>
    <x v="4"/>
    <s v="GABRIELLE VASCONCELOS"/>
    <x v="1"/>
    <n v="43"/>
    <x v="0"/>
    <n v="2250"/>
    <d v="2022-05-07T00:00:00"/>
    <x v="0"/>
    <x v="11"/>
  </r>
  <r>
    <x v="2"/>
    <n v="1900"/>
    <n v="2"/>
    <s v="R. Teodoro Sampaio, 954 - Pinheiros, São Paulo - SP, 05406-050"/>
    <x v="0"/>
    <s v="MARIANA BARROZO"/>
    <x v="1"/>
    <n v="59"/>
    <x v="1"/>
    <n v="3800"/>
    <d v="2022-03-06T00:00:00"/>
    <x v="0"/>
    <x v="9"/>
  </r>
  <r>
    <x v="20"/>
    <n v="5500"/>
    <n v="1"/>
    <s v="R. Luíz Faccini, 212 - Centro, Guarulhos - SP, 07110-000"/>
    <x v="0"/>
    <s v="BEATRIZ RODRIGUES"/>
    <x v="1"/>
    <n v="44"/>
    <x v="0"/>
    <n v="5500"/>
    <d v="2022-02-11T00:00:00"/>
    <x v="0"/>
    <x v="4"/>
  </r>
  <r>
    <x v="4"/>
    <n v="700"/>
    <n v="1"/>
    <s v="R. Luíz Faccini, 212 - Centro, Guarulhos - SP, 07110-000"/>
    <x v="0"/>
    <s v="ANTONIO BERNHARDT"/>
    <x v="0"/>
    <n v="52"/>
    <x v="1"/>
    <n v="700"/>
    <d v="2022-10-22T00:00:00"/>
    <x v="0"/>
    <x v="6"/>
  </r>
  <r>
    <x v="5"/>
    <n v="1450"/>
    <n v="5"/>
    <s v="Shopping Barra - Av. Centenário, 2992 - Barra, Salvador - BA, 40155-150"/>
    <x v="5"/>
    <s v="ANA ALMEIDA"/>
    <x v="1"/>
    <n v="53"/>
    <x v="1"/>
    <n v="7250"/>
    <d v="2022-10-27T00:00:00"/>
    <x v="0"/>
    <x v="6"/>
  </r>
  <r>
    <x v="23"/>
    <n v="1100"/>
    <n v="2"/>
    <s v="Av. Goiás Norte, 3.592 - quadra 2.1 - St. Mal. Rondon, Goiânia - GO, 74063-010"/>
    <x v="4"/>
    <s v="RUBENS NETTO"/>
    <x v="0"/>
    <n v="33"/>
    <x v="0"/>
    <n v="2200"/>
    <d v="2022-05-10T00:00:00"/>
    <x v="0"/>
    <x v="11"/>
  </r>
  <r>
    <x v="7"/>
    <n v="2600"/>
    <n v="3"/>
    <s v="Rua Antônio Lumack do Monte, 203 - 1 - Boa Viagem, Recife - PE, 51020-350"/>
    <x v="6"/>
    <s v="RUBENS VALENTE"/>
    <x v="0"/>
    <n v="76"/>
    <x v="1"/>
    <n v="7800"/>
    <d v="2022-10-13T00:00:00"/>
    <x v="0"/>
    <x v="6"/>
  </r>
  <r>
    <x v="1"/>
    <n v="1400"/>
    <n v="4"/>
    <s v="Rua Antônio Lumack do Monte, 203 - 1 - Boa Viagem, Recife - PE, 51020-350"/>
    <x v="6"/>
    <s v="ALON PALMEIRA"/>
    <x v="0"/>
    <n v="34"/>
    <x v="0"/>
    <n v="5600"/>
    <d v="2022-01-31T00:00:00"/>
    <x v="0"/>
    <x v="5"/>
  </r>
  <r>
    <x v="4"/>
    <n v="700"/>
    <n v="1"/>
    <s v="R. Brasílio Itiberê, 3279 - Água Verde, Curitiba - PR, 80250-160"/>
    <x v="3"/>
    <s v="BRUNO OLIVEIRA"/>
    <x v="0"/>
    <n v="76"/>
    <x v="1"/>
    <n v="700"/>
    <d v="2022-09-21T00:00:00"/>
    <x v="0"/>
    <x v="1"/>
  </r>
  <r>
    <x v="13"/>
    <n v="1550"/>
    <n v="5"/>
    <s v="Av. Barão Homem de Melo, 1389 - Nova Granada, Belo Horizonte - MG, 30431-425"/>
    <x v="7"/>
    <s v="ANTÔNIO SOARES"/>
    <x v="0"/>
    <n v="48"/>
    <x v="0"/>
    <n v="7750"/>
    <d v="2022-11-30T00:00:00"/>
    <x v="0"/>
    <x v="10"/>
  </r>
  <r>
    <x v="0"/>
    <n v="4500"/>
    <n v="3"/>
    <s v="R. Teodoro Sampaio, 954 - Pinheiros, São Paulo - SP, 05406-050"/>
    <x v="0"/>
    <s v="BEATRIZ NOGUEIRA"/>
    <x v="1"/>
    <n v="42"/>
    <x v="0"/>
    <n v="13500"/>
    <d v="2022-01-09T00:00:00"/>
    <x v="0"/>
    <x v="5"/>
  </r>
  <r>
    <x v="17"/>
    <n v="2300"/>
    <n v="2"/>
    <s v="R. Luíz Faccini, 212 - Centro, Guarulhos - SP, 07110-000"/>
    <x v="0"/>
    <s v="MARIANE FERREIRA"/>
    <x v="1"/>
    <n v="54"/>
    <x v="1"/>
    <n v="4600"/>
    <d v="2022-01-11T00:00:00"/>
    <x v="0"/>
    <x v="5"/>
  </r>
  <r>
    <x v="14"/>
    <n v="1500"/>
    <n v="4"/>
    <s v="Rua Antônio Lumack do Monte, 203 - 1 - Boa Viagem, Recife - PE, 51020-350"/>
    <x v="6"/>
    <s v="RAFAEL CARNEIRO"/>
    <x v="0"/>
    <n v="75"/>
    <x v="1"/>
    <n v="6000"/>
    <d v="2022-08-24T00:00:00"/>
    <x v="0"/>
    <x v="7"/>
  </r>
  <r>
    <x v="7"/>
    <n v="2600"/>
    <n v="5"/>
    <s v="Av. Mal. Floriano Peixoto, 2248-2258 - Centro, Nova Iguaçu - RJ, 26210-000"/>
    <x v="1"/>
    <s v="CHAN SANTOS"/>
    <x v="1"/>
    <n v="37"/>
    <x v="0"/>
    <n v="13000"/>
    <d v="2022-06-14T00:00:00"/>
    <x v="0"/>
    <x v="3"/>
  </r>
  <r>
    <x v="8"/>
    <n v="1400"/>
    <n v="3"/>
    <s v="Shopping Barra - Av. Centenário, 2992 - Barra, Salvador - BA, 40155-150"/>
    <x v="5"/>
    <s v="EDUARDO PELUZO"/>
    <x v="0"/>
    <n v="33"/>
    <x v="0"/>
    <n v="4200"/>
    <d v="2022-01-12T00:00:00"/>
    <x v="0"/>
    <x v="5"/>
  </r>
  <r>
    <x v="2"/>
    <n v="1900"/>
    <n v="2"/>
    <s v="R. Luíz Faccini, 212 - Centro, Guarulhos - SP, 07110-000"/>
    <x v="0"/>
    <s v="EDUARDO NUNES"/>
    <x v="0"/>
    <n v="30"/>
    <x v="0"/>
    <n v="3800"/>
    <d v="2022-04-14T00:00:00"/>
    <x v="0"/>
    <x v="2"/>
  </r>
  <r>
    <x v="18"/>
    <n v="2500"/>
    <n v="2"/>
    <s v="R. Visc. de Pirajá, 136 - Ipanema, Rio de Janeiro - RJ, 22410-000"/>
    <x v="1"/>
    <s v="BIANCA ALLEVATO"/>
    <x v="1"/>
    <n v="42"/>
    <x v="0"/>
    <n v="5000"/>
    <d v="2022-12-03T00:00:00"/>
    <x v="0"/>
    <x v="8"/>
  </r>
  <r>
    <x v="8"/>
    <n v="1400"/>
    <n v="4"/>
    <s v="Av. Barão Homem de Melo, 1389 - Nova Granada, Belo Horizonte - MG, 30431-425"/>
    <x v="7"/>
    <s v="CAROLINE DELGADO"/>
    <x v="1"/>
    <n v="40"/>
    <x v="0"/>
    <n v="5600"/>
    <d v="2022-09-23T00:00:00"/>
    <x v="0"/>
    <x v="1"/>
  </r>
  <r>
    <x v="15"/>
    <n v="3000"/>
    <n v="1"/>
    <s v="R. Teodoro Sampaio, 954 - Pinheiros, São Paulo - SP, 05406-050"/>
    <x v="0"/>
    <s v="SAMARA PINTO"/>
    <x v="1"/>
    <n v="41"/>
    <x v="0"/>
    <n v="3000"/>
    <d v="2022-08-27T00:00:00"/>
    <x v="0"/>
    <x v="7"/>
  </r>
  <r>
    <x v="13"/>
    <n v="1550"/>
    <n v="1"/>
    <s v="R. Visc. de Pirajá, 136 - Ipanema, Rio de Janeiro - RJ, 22410-000"/>
    <x v="1"/>
    <s v="JOÃO PEDRAZZA"/>
    <x v="0"/>
    <n v="69"/>
    <x v="1"/>
    <n v="1550"/>
    <d v="2022-09-21T00:00:00"/>
    <x v="0"/>
    <x v="1"/>
  </r>
  <r>
    <x v="6"/>
    <n v="6500"/>
    <n v="5"/>
    <s v="R. Luíz Faccini, 212 - Centro, Guarulhos - SP, 07110-000"/>
    <x v="0"/>
    <s v="ROBERTA PIMENTA"/>
    <x v="1"/>
    <n v="56"/>
    <x v="1"/>
    <n v="32500"/>
    <d v="2022-10-15T00:00:00"/>
    <x v="0"/>
    <x v="6"/>
  </r>
  <r>
    <x v="17"/>
    <n v="2300"/>
    <n v="3"/>
    <s v="Shopping Barra - Av. Centenário, 2992 - Barra, Salvador - BA, 40155-150"/>
    <x v="5"/>
    <s v="CAIO CALDAS"/>
    <x v="0"/>
    <n v="33"/>
    <x v="0"/>
    <n v="6900"/>
    <d v="2022-06-18T00:00:00"/>
    <x v="0"/>
    <x v="3"/>
  </r>
  <r>
    <x v="8"/>
    <n v="1400"/>
    <n v="4"/>
    <s v="Rua Antônio Lumack do Monte, 203 - 1 - Boa Viagem, Recife - PE, 51020-350"/>
    <x v="6"/>
    <s v="ITAI PUNTEL"/>
    <x v="0"/>
    <n v="69"/>
    <x v="1"/>
    <n v="5600"/>
    <d v="2022-01-14T00:00:00"/>
    <x v="0"/>
    <x v="5"/>
  </r>
  <r>
    <x v="6"/>
    <n v="6500"/>
    <n v="3"/>
    <s v="R. Luíz Faccini, 212 - Centro, Guarulhos - SP, 07110-000"/>
    <x v="0"/>
    <s v="FERNANDA JUNIOR"/>
    <x v="1"/>
    <n v="51"/>
    <x v="1"/>
    <n v="19500"/>
    <d v="2022-12-02T00:00:00"/>
    <x v="0"/>
    <x v="8"/>
  </r>
  <r>
    <x v="2"/>
    <n v="1900"/>
    <n v="5"/>
    <s v="Av. Borges de Medeiros, 3120 - Praia de Belas, Porto Alegre - RS, 90110-150"/>
    <x v="8"/>
    <s v="ISAAC SANTOS"/>
    <x v="0"/>
    <n v="44"/>
    <x v="0"/>
    <n v="9500"/>
    <d v="2022-01-02T00:00:00"/>
    <x v="0"/>
    <x v="5"/>
  </r>
  <r>
    <x v="2"/>
    <n v="1900"/>
    <n v="2"/>
    <s v="R. Dr. Antônio Castro Prado, 422 - Vila Rossi e Borchi, Campinas - SP, 13076-130"/>
    <x v="0"/>
    <s v="HELENA CHAFIN"/>
    <x v="1"/>
    <n v="45"/>
    <x v="0"/>
    <n v="3800"/>
    <d v="2022-03-08T00:00:00"/>
    <x v="0"/>
    <x v="9"/>
  </r>
  <r>
    <x v="10"/>
    <n v="750"/>
    <n v="3"/>
    <s v="R. Brasílio Itiberê, 3279 - Água Verde, Curitiba - PR, 80250-160"/>
    <x v="3"/>
    <s v="BRUNO OLIVEIRA"/>
    <x v="0"/>
    <n v="76"/>
    <x v="1"/>
    <n v="2250"/>
    <d v="2022-03-03T00:00:00"/>
    <x v="0"/>
    <x v="9"/>
  </r>
  <r>
    <x v="15"/>
    <n v="3000"/>
    <n v="1"/>
    <s v="Rua Quinze de Novembro, 8 - Loja 301a Loja 301b - Centro, Niterói - RJ, 24020-125"/>
    <x v="1"/>
    <s v="THALES GOUVÊA"/>
    <x v="0"/>
    <n v="41"/>
    <x v="0"/>
    <n v="3000"/>
    <d v="2022-05-05T00:00:00"/>
    <x v="0"/>
    <x v="11"/>
  </r>
  <r>
    <x v="3"/>
    <n v="1500"/>
    <n v="5"/>
    <s v="Av. Dom Luís, 500 - Aldeota, Fortaleza - CE, 60160-230"/>
    <x v="2"/>
    <s v="ANNA MAIA"/>
    <x v="1"/>
    <n v="54"/>
    <x v="1"/>
    <n v="7500"/>
    <d v="2022-02-05T00:00:00"/>
    <x v="0"/>
    <x v="4"/>
  </r>
  <r>
    <x v="18"/>
    <n v="2500"/>
    <n v="2"/>
    <s v="Av. Mal. Floriano Peixoto, 2248-2258 - Centro, Nova Iguaçu - RJ, 26210-000"/>
    <x v="1"/>
    <s v="ANDREZA RAMOS"/>
    <x v="1"/>
    <n v="63"/>
    <x v="1"/>
    <n v="5000"/>
    <d v="2022-08-12T00:00:00"/>
    <x v="0"/>
    <x v="7"/>
  </r>
  <r>
    <x v="4"/>
    <n v="700"/>
    <n v="1"/>
    <s v="R. Teodoro Sampaio, 954 - Pinheiros, São Paulo - SP, 05406-050"/>
    <x v="0"/>
    <s v="RAFAEL ROCHA"/>
    <x v="0"/>
    <n v="25"/>
    <x v="2"/>
    <n v="700"/>
    <d v="2022-06-27T00:00:00"/>
    <x v="0"/>
    <x v="3"/>
  </r>
  <r>
    <x v="15"/>
    <n v="3000"/>
    <n v="3"/>
    <s v="Av. Borges de Medeiros, 3120 - Praia de Belas, Porto Alegre - RS, 90110-150"/>
    <x v="8"/>
    <s v="MARIANE RACY"/>
    <x v="1"/>
    <n v="42"/>
    <x v="0"/>
    <n v="9000"/>
    <d v="2022-03-20T00:00:00"/>
    <x v="0"/>
    <x v="9"/>
  </r>
  <r>
    <x v="10"/>
    <n v="750"/>
    <n v="4"/>
    <s v="R. Dr. Antônio Castro Prado, 422 - Vila Rossi e Borchi, Campinas - SP, 13076-130"/>
    <x v="0"/>
    <s v="BRENNO SANTOS"/>
    <x v="0"/>
    <n v="71"/>
    <x v="1"/>
    <n v="3000"/>
    <d v="2022-12-26T00:00:00"/>
    <x v="0"/>
    <x v="8"/>
  </r>
  <r>
    <x v="12"/>
    <n v="1500"/>
    <n v="4"/>
    <s v="Rua Quinze de Novembro, 8 - Loja 301a Loja 301b - Centro, Niterói - RJ, 24020-125"/>
    <x v="1"/>
    <s v="JOÃO RODRIGUES"/>
    <x v="0"/>
    <n v="59"/>
    <x v="1"/>
    <n v="6000"/>
    <d v="2022-10-08T00:00:00"/>
    <x v="0"/>
    <x v="6"/>
  </r>
  <r>
    <x v="20"/>
    <n v="5500"/>
    <n v="4"/>
    <s v="R. Dr. Antônio Castro Prado, 422 - Vila Rossi e Borchi, Campinas - SP, 13076-130"/>
    <x v="0"/>
    <s v="JOÃO JUNIOR"/>
    <x v="0"/>
    <n v="43"/>
    <x v="0"/>
    <n v="22000"/>
    <d v="2022-05-10T00:00:00"/>
    <x v="0"/>
    <x v="11"/>
  </r>
  <r>
    <x v="4"/>
    <n v="700"/>
    <n v="2"/>
    <s v="R. Dr. Antônio Castro Prado, 422 - Vila Rossi e Borchi, Campinas - SP, 13076-130"/>
    <x v="0"/>
    <s v="LETICIA MESQUITA"/>
    <x v="1"/>
    <n v="66"/>
    <x v="1"/>
    <n v="1400"/>
    <d v="2022-10-23T00:00:00"/>
    <x v="0"/>
    <x v="6"/>
  </r>
  <r>
    <x v="11"/>
    <n v="2000"/>
    <n v="5"/>
    <s v="R. Luíz Faccini, 212 - Centro, Guarulhos - SP, 07110-000"/>
    <x v="0"/>
    <s v="BIANCA TATSCH"/>
    <x v="1"/>
    <n v="40"/>
    <x v="0"/>
    <n v="10000"/>
    <d v="2022-10-14T00:00:00"/>
    <x v="0"/>
    <x v="6"/>
  </r>
  <r>
    <x v="14"/>
    <n v="1500"/>
    <n v="5"/>
    <s v="Rua Antônio Lumack do Monte, 203 - 1 - Boa Viagem, Recife - PE, 51020-350"/>
    <x v="6"/>
    <s v="ITAI PUNTEL"/>
    <x v="0"/>
    <n v="69"/>
    <x v="1"/>
    <n v="7500"/>
    <d v="2022-08-21T00:00:00"/>
    <x v="0"/>
    <x v="7"/>
  </r>
  <r>
    <x v="4"/>
    <n v="700"/>
    <n v="4"/>
    <s v="Av. Barão Homem de Melo, 1389 - Nova Granada, Belo Horizonte - MG, 30431-425"/>
    <x v="7"/>
    <s v="GUILHERME VIANNA"/>
    <x v="0"/>
    <n v="35"/>
    <x v="0"/>
    <n v="2800"/>
    <d v="2022-06-03T00:00:00"/>
    <x v="0"/>
    <x v="3"/>
  </r>
  <r>
    <x v="2"/>
    <n v="1900"/>
    <n v="1"/>
    <s v="Av. Goiás Norte, 3.592 - quadra 2.1 - St. Mal. Rondon, Goiânia - GO, 74063-010"/>
    <x v="4"/>
    <s v="JULIA LEITE"/>
    <x v="1"/>
    <n v="36"/>
    <x v="0"/>
    <n v="1900"/>
    <d v="2022-09-30T00:00:00"/>
    <x v="0"/>
    <x v="1"/>
  </r>
  <r>
    <x v="14"/>
    <n v="1500"/>
    <n v="1"/>
    <s v="Av. Mal. Floriano Peixoto, 2248-2258 - Centro, Nova Iguaçu - RJ, 26210-000"/>
    <x v="1"/>
    <s v="MANUELA MEREGE"/>
    <x v="1"/>
    <n v="25"/>
    <x v="2"/>
    <n v="1500"/>
    <d v="2022-04-14T00:00:00"/>
    <x v="0"/>
    <x v="2"/>
  </r>
  <r>
    <x v="13"/>
    <n v="1550"/>
    <n v="4"/>
    <s v="R. Brasílio Itiberê, 3279 - Água Verde, Curitiba - PR, 80250-160"/>
    <x v="3"/>
    <s v="ALINE MORAIS"/>
    <x v="1"/>
    <n v="45"/>
    <x v="0"/>
    <n v="6200"/>
    <d v="2022-03-02T00:00:00"/>
    <x v="0"/>
    <x v="9"/>
  </r>
  <r>
    <x v="20"/>
    <n v="5500"/>
    <n v="1"/>
    <s v="Rua Antônio Lumack do Monte, 203 - 1 - Boa Viagem, Recife - PE, 51020-350"/>
    <x v="6"/>
    <s v="RAFAEL CARNEIRO"/>
    <x v="0"/>
    <n v="75"/>
    <x v="1"/>
    <n v="5500"/>
    <d v="2022-12-28T00:00:00"/>
    <x v="0"/>
    <x v="8"/>
  </r>
  <r>
    <x v="6"/>
    <n v="6500"/>
    <n v="3"/>
    <s v="Av. Goiás Norte, 3.592 - quadra 2.1 - St. Mal. Rondon, Goiânia - GO, 74063-010"/>
    <x v="4"/>
    <s v="RAÍSSA OROS"/>
    <x v="1"/>
    <n v="40"/>
    <x v="0"/>
    <n v="19500"/>
    <d v="2022-04-21T00:00:00"/>
    <x v="0"/>
    <x v="2"/>
  </r>
  <r>
    <x v="15"/>
    <n v="3000"/>
    <n v="1"/>
    <s v="Av. Barão Homem de Melo, 1389 - Nova Granada, Belo Horizonte - MG, 30431-425"/>
    <x v="7"/>
    <s v="ANTÔNIO SOARES"/>
    <x v="0"/>
    <n v="48"/>
    <x v="0"/>
    <n v="3000"/>
    <d v="2022-04-19T00:00:00"/>
    <x v="0"/>
    <x v="2"/>
  </r>
  <r>
    <x v="17"/>
    <n v="2300"/>
    <n v="2"/>
    <s v="Rua Quinze de Novembro, 8 - Loja 301a Loja 301b - Centro, Niterói - RJ, 24020-125"/>
    <x v="1"/>
    <s v="MARINA CORMACK"/>
    <x v="1"/>
    <n v="50"/>
    <x v="0"/>
    <n v="4600"/>
    <d v="2022-09-06T00:00:00"/>
    <x v="0"/>
    <x v="1"/>
  </r>
  <r>
    <x v="8"/>
    <n v="1400"/>
    <n v="4"/>
    <s v="R. Luíz Faccini, 212 - Centro, Guarulhos - SP, 07110-000"/>
    <x v="0"/>
    <s v="VICTOR LIRA"/>
    <x v="0"/>
    <n v="38"/>
    <x v="0"/>
    <n v="5600"/>
    <d v="2022-08-05T00:00:00"/>
    <x v="0"/>
    <x v="7"/>
  </r>
  <r>
    <x v="6"/>
    <n v="6500"/>
    <n v="2"/>
    <s v="R. Teodoro Sampaio, 954 - Pinheiros, São Paulo - SP, 05406-050"/>
    <x v="0"/>
    <s v="CAIO FERREIRA"/>
    <x v="0"/>
    <n v="41"/>
    <x v="0"/>
    <n v="13000"/>
    <d v="2022-11-27T00:00:00"/>
    <x v="0"/>
    <x v="10"/>
  </r>
  <r>
    <x v="0"/>
    <n v="4500"/>
    <n v="1"/>
    <s v="R. Luíz Faccini, 212 - Centro, Guarulhos - SP, 07110-000"/>
    <x v="0"/>
    <s v="KIM FERREIRA"/>
    <x v="1"/>
    <n v="73"/>
    <x v="1"/>
    <n v="4500"/>
    <d v="2022-02-15T00:00:00"/>
    <x v="0"/>
    <x v="4"/>
  </r>
  <r>
    <x v="6"/>
    <n v="6500"/>
    <n v="3"/>
    <s v="R. Teodoro Sampaio, 954 - Pinheiros, São Paulo - SP, 05406-050"/>
    <x v="0"/>
    <s v="CAIO MORAES"/>
    <x v="0"/>
    <n v="69"/>
    <x v="1"/>
    <n v="19500"/>
    <d v="2022-08-18T00:00:00"/>
    <x v="0"/>
    <x v="7"/>
  </r>
  <r>
    <x v="10"/>
    <n v="750"/>
    <n v="1"/>
    <s v="Rua Quinze de Novembro, 8 - Loja 301a Loja 301b - Centro, Niterói - RJ, 24020-125"/>
    <x v="1"/>
    <s v="NORMAN JIMBO"/>
    <x v="0"/>
    <n v="66"/>
    <x v="1"/>
    <n v="750"/>
    <d v="2022-06-28T00:00:00"/>
    <x v="0"/>
    <x v="3"/>
  </r>
  <r>
    <x v="12"/>
    <n v="1500"/>
    <n v="1"/>
    <s v="R. Dr. Antônio Castro Prado, 422 - Vila Rossi e Borchi, Campinas - SP, 13076-130"/>
    <x v="0"/>
    <s v="VINÍCIUS ANTUNES"/>
    <x v="0"/>
    <n v="40"/>
    <x v="0"/>
    <n v="1500"/>
    <d v="2022-04-23T00:00:00"/>
    <x v="0"/>
    <x v="2"/>
  </r>
  <r>
    <x v="22"/>
    <n v="2400"/>
    <n v="3"/>
    <s v="R. Luíz Faccini, 212 - Centro, Guarulhos - SP, 07110-000"/>
    <x v="0"/>
    <s v="MICHELLE PEREIRA"/>
    <x v="1"/>
    <n v="55"/>
    <x v="1"/>
    <n v="7200"/>
    <d v="2020-04-30T00:00:00"/>
    <x v="1"/>
    <x v="2"/>
  </r>
  <r>
    <x v="7"/>
    <n v="2600"/>
    <n v="4"/>
    <s v="Rua Quinze de Novembro, 8 - Loja 301a Loja 301b - Centro, Niterói - RJ, 24020-125"/>
    <x v="1"/>
    <s v="MICHELLE MIURA"/>
    <x v="1"/>
    <n v="59"/>
    <x v="1"/>
    <n v="10400"/>
    <d v="2020-04-28T00:00:00"/>
    <x v="1"/>
    <x v="2"/>
  </r>
  <r>
    <x v="17"/>
    <n v="2300"/>
    <n v="2"/>
    <s v="Shopping Barra - Av. Centenário, 2992 - Barra, Salvador - BA, 40155-150"/>
    <x v="5"/>
    <s v="ULISSES FILHO"/>
    <x v="0"/>
    <n v="70"/>
    <x v="1"/>
    <n v="4600"/>
    <d v="2020-12-26T00:00:00"/>
    <x v="1"/>
    <x v="8"/>
  </r>
  <r>
    <x v="15"/>
    <n v="3000"/>
    <n v="5"/>
    <s v="Av. Goiás Norte, 3.592 - quadra 2.1 - St. Mal. Rondon, Goiânia - GO, 74063-010"/>
    <x v="4"/>
    <s v="LUCAS FREITAS"/>
    <x v="0"/>
    <n v="37"/>
    <x v="0"/>
    <n v="15000"/>
    <d v="2020-12-30T00:00:00"/>
    <x v="1"/>
    <x v="8"/>
  </r>
  <r>
    <x v="15"/>
    <n v="3000"/>
    <n v="4"/>
    <s v="R. Visc. de Pirajá, 136 - Ipanema, Rio de Janeiro - RJ, 22410-000"/>
    <x v="1"/>
    <s v="ALLAN CANDIDO"/>
    <x v="0"/>
    <n v="70"/>
    <x v="1"/>
    <n v="12000"/>
    <d v="2020-04-17T00:00:00"/>
    <x v="1"/>
    <x v="2"/>
  </r>
  <r>
    <x v="17"/>
    <n v="2300"/>
    <n v="2"/>
    <s v="Av. Mal. Floriano Peixoto, 2248-2258 - Centro, Nova Iguaçu - RJ, 26210-000"/>
    <x v="1"/>
    <s v="RAÍZA LOPES"/>
    <x v="1"/>
    <n v="43"/>
    <x v="0"/>
    <n v="4600"/>
    <d v="2020-02-21T00:00:00"/>
    <x v="1"/>
    <x v="4"/>
  </r>
  <r>
    <x v="18"/>
    <n v="2500"/>
    <n v="1"/>
    <s v="Rua Quinze de Novembro, 8 - Loja 301a Loja 301b - Centro, Niterói - RJ, 24020-125"/>
    <x v="1"/>
    <s v="ALESSANDRA MARTINS"/>
    <x v="1"/>
    <n v="33"/>
    <x v="0"/>
    <n v="2500"/>
    <d v="2020-01-06T00:00:00"/>
    <x v="1"/>
    <x v="5"/>
  </r>
  <r>
    <x v="18"/>
    <n v="2500"/>
    <n v="1"/>
    <s v="Rua Antônio Lumack do Monte, 203 - 1 - Boa Viagem, Recife - PE, 51020-350"/>
    <x v="6"/>
    <s v="FERNANDA RUBIM"/>
    <x v="1"/>
    <n v="74"/>
    <x v="1"/>
    <n v="2500"/>
    <d v="2020-06-25T00:00:00"/>
    <x v="1"/>
    <x v="3"/>
  </r>
  <r>
    <x v="5"/>
    <n v="1450"/>
    <n v="3"/>
    <s v="R. Luíz Faccini, 212 - Centro, Guarulhos - SP, 07110-000"/>
    <x v="0"/>
    <s v="MYLLENA CARNEIRO"/>
    <x v="1"/>
    <n v="60"/>
    <x v="1"/>
    <n v="4350"/>
    <d v="2020-09-22T00:00:00"/>
    <x v="1"/>
    <x v="1"/>
  </r>
  <r>
    <x v="19"/>
    <n v="1750"/>
    <n v="1"/>
    <s v="Av. Dom Luís, 500 - Aldeota, Fortaleza - CE, 60160-230"/>
    <x v="2"/>
    <s v="GUSTAVO ERTHAL"/>
    <x v="0"/>
    <n v="75"/>
    <x v="1"/>
    <n v="1750"/>
    <d v="2020-11-28T00:00:00"/>
    <x v="1"/>
    <x v="10"/>
  </r>
  <r>
    <x v="22"/>
    <n v="2400"/>
    <n v="4"/>
    <s v="Av. Barão Homem de Melo, 1389 - Nova Granada, Belo Horizonte - MG, 30431-425"/>
    <x v="7"/>
    <s v="GABRIEL PUNTEL"/>
    <x v="0"/>
    <n v="26"/>
    <x v="2"/>
    <n v="9600"/>
    <d v="2020-12-04T00:00:00"/>
    <x v="1"/>
    <x v="8"/>
  </r>
  <r>
    <x v="1"/>
    <n v="1400"/>
    <n v="3"/>
    <s v="R. Visc. de Pirajá, 136 - Ipanema, Rio de Janeiro - RJ, 22410-000"/>
    <x v="1"/>
    <s v="JULIANA GOES"/>
    <x v="1"/>
    <n v="53"/>
    <x v="1"/>
    <n v="4200"/>
    <d v="2020-02-17T00:00:00"/>
    <x v="1"/>
    <x v="4"/>
  </r>
  <r>
    <x v="9"/>
    <n v="2000"/>
    <n v="5"/>
    <s v="R. Teodoro Sampaio, 954 - Pinheiros, São Paulo - SP, 05406-050"/>
    <x v="0"/>
    <s v="RAFAEL ROCHA"/>
    <x v="0"/>
    <n v="25"/>
    <x v="2"/>
    <n v="10000"/>
    <d v="2020-11-27T00:00:00"/>
    <x v="1"/>
    <x v="10"/>
  </r>
  <r>
    <x v="3"/>
    <n v="1500"/>
    <n v="5"/>
    <s v="R. Teodoro Sampaio, 954 - Pinheiros, São Paulo - SP, 05406-050"/>
    <x v="0"/>
    <s v="NINA MAGALHÃES"/>
    <x v="1"/>
    <n v="66"/>
    <x v="1"/>
    <n v="7500"/>
    <d v="2020-06-20T00:00:00"/>
    <x v="1"/>
    <x v="3"/>
  </r>
  <r>
    <x v="23"/>
    <n v="1100"/>
    <n v="2"/>
    <s v="Rua Antônio Lumack do Monte, 203 - 1 - Boa Viagem, Recife - PE, 51020-350"/>
    <x v="6"/>
    <s v="JULIA LEIG"/>
    <x v="1"/>
    <n v="31"/>
    <x v="0"/>
    <n v="2200"/>
    <d v="2020-12-07T00:00:00"/>
    <x v="1"/>
    <x v="8"/>
  </r>
  <r>
    <x v="2"/>
    <n v="1900"/>
    <n v="5"/>
    <s v="Rua Antônio Lumack do Monte, 203 - 1 - Boa Viagem, Recife - PE, 51020-350"/>
    <x v="6"/>
    <s v="LUIZA FARIAS"/>
    <x v="1"/>
    <n v="54"/>
    <x v="1"/>
    <n v="9500"/>
    <d v="2020-02-20T00:00:00"/>
    <x v="1"/>
    <x v="4"/>
  </r>
  <r>
    <x v="23"/>
    <n v="1100"/>
    <n v="4"/>
    <s v="R. Visc. de Pirajá, 136 - Ipanema, Rio de Janeiro - RJ, 22410-000"/>
    <x v="1"/>
    <s v="LUIZ MENDONÇA"/>
    <x v="0"/>
    <n v="41"/>
    <x v="0"/>
    <n v="4400"/>
    <d v="2020-07-01T00:00:00"/>
    <x v="1"/>
    <x v="0"/>
  </r>
  <r>
    <x v="23"/>
    <n v="1100"/>
    <n v="2"/>
    <s v="R. Luíz Faccini, 212 - Centro, Guarulhos - SP, 07110-000"/>
    <x v="0"/>
    <s v="GUILHERME MEROTTO"/>
    <x v="0"/>
    <n v="60"/>
    <x v="1"/>
    <n v="2200"/>
    <d v="2020-07-08T00:00:00"/>
    <x v="1"/>
    <x v="0"/>
  </r>
  <r>
    <x v="8"/>
    <n v="1400"/>
    <n v="3"/>
    <s v="Av. Dom Luís, 500 - Aldeota, Fortaleza - CE, 60160-230"/>
    <x v="2"/>
    <s v="BEATRIZ BIASE"/>
    <x v="1"/>
    <n v="62"/>
    <x v="1"/>
    <n v="4200"/>
    <d v="2020-04-17T00:00:00"/>
    <x v="1"/>
    <x v="2"/>
  </r>
  <r>
    <x v="19"/>
    <n v="1750"/>
    <n v="5"/>
    <s v="Av. Borges de Medeiros, 3120 - Praia de Belas, Porto Alegre - RS, 90110-150"/>
    <x v="8"/>
    <s v="GUSTAVO THOME"/>
    <x v="0"/>
    <n v="38"/>
    <x v="0"/>
    <n v="8750"/>
    <d v="2020-07-30T00:00:00"/>
    <x v="1"/>
    <x v="0"/>
  </r>
  <r>
    <x v="0"/>
    <n v="4500"/>
    <n v="2"/>
    <s v="Av. Goiás Norte, 3.592 - quadra 2.1 - St. Mal. Rondon, Goiânia - GO, 74063-010"/>
    <x v="4"/>
    <s v="REBECA TAYLOR"/>
    <x v="1"/>
    <n v="41"/>
    <x v="0"/>
    <n v="9000"/>
    <d v="2020-05-07T00:00:00"/>
    <x v="1"/>
    <x v="11"/>
  </r>
  <r>
    <x v="4"/>
    <n v="700"/>
    <n v="4"/>
    <s v="R. Brasílio Itiberê, 3279 - Água Verde, Curitiba - PR, 80250-160"/>
    <x v="3"/>
    <s v="ALINE MORAIS"/>
    <x v="1"/>
    <n v="45"/>
    <x v="0"/>
    <n v="2800"/>
    <d v="2020-02-05T00:00:00"/>
    <x v="1"/>
    <x v="4"/>
  </r>
  <r>
    <x v="6"/>
    <n v="6500"/>
    <n v="3"/>
    <s v="R. Visc. de Pirajá, 136 - Ipanema, Rio de Janeiro - RJ, 22410-000"/>
    <x v="1"/>
    <s v="JOÃO SILVA"/>
    <x v="0"/>
    <n v="70"/>
    <x v="1"/>
    <n v="19500"/>
    <d v="2020-04-03T00:00:00"/>
    <x v="1"/>
    <x v="2"/>
  </r>
  <r>
    <x v="10"/>
    <n v="750"/>
    <n v="1"/>
    <s v="Av. Borges de Medeiros, 3120 - Praia de Belas, Porto Alegre - RS, 90110-150"/>
    <x v="8"/>
    <s v="CAIO MOURA"/>
    <x v="0"/>
    <n v="66"/>
    <x v="1"/>
    <n v="750"/>
    <d v="2020-06-06T00:00:00"/>
    <x v="1"/>
    <x v="3"/>
  </r>
  <r>
    <x v="0"/>
    <n v="4500"/>
    <n v="2"/>
    <s v="R. Dr. Antônio Castro Prado, 422 - Vila Rossi e Borchi, Campinas - SP, 13076-130"/>
    <x v="0"/>
    <s v="YASMIM VERLY"/>
    <x v="1"/>
    <n v="28"/>
    <x v="2"/>
    <n v="9000"/>
    <d v="2020-05-20T00:00:00"/>
    <x v="1"/>
    <x v="11"/>
  </r>
  <r>
    <x v="20"/>
    <n v="5500"/>
    <n v="3"/>
    <s v="Rua Quinze de Novembro, 8 - Loja 301a Loja 301b - Centro, Niterói - RJ, 24020-125"/>
    <x v="1"/>
    <s v="SYLVIO BERNHARDT"/>
    <x v="0"/>
    <n v="47"/>
    <x v="0"/>
    <n v="16500"/>
    <d v="2020-08-20T00:00:00"/>
    <x v="1"/>
    <x v="7"/>
  </r>
  <r>
    <x v="12"/>
    <n v="1500"/>
    <n v="5"/>
    <s v="Rua Quinze de Novembro, 8 - Loja 301a Loja 301b - Centro, Niterói - RJ, 24020-125"/>
    <x v="1"/>
    <s v="LUIZA MARQUES"/>
    <x v="1"/>
    <n v="30"/>
    <x v="0"/>
    <n v="7500"/>
    <d v="2020-06-15T00:00:00"/>
    <x v="1"/>
    <x v="3"/>
  </r>
  <r>
    <x v="2"/>
    <n v="1900"/>
    <n v="1"/>
    <s v="Av. Dom Luís, 500 - Aldeota, Fortaleza - CE, 60160-230"/>
    <x v="2"/>
    <s v="GUSTAVO ACCARDO"/>
    <x v="0"/>
    <n v="50"/>
    <x v="0"/>
    <n v="1900"/>
    <d v="2020-06-29T00:00:00"/>
    <x v="1"/>
    <x v="3"/>
  </r>
  <r>
    <x v="20"/>
    <n v="5500"/>
    <n v="3"/>
    <s v="Rua Quinze de Novembro, 8 - Loja 301a Loja 301b - Centro, Niterói - RJ, 24020-125"/>
    <x v="1"/>
    <s v="MARIA JUNIOR"/>
    <x v="1"/>
    <n v="67"/>
    <x v="1"/>
    <n v="16500"/>
    <d v="2020-10-09T00:00:00"/>
    <x v="1"/>
    <x v="6"/>
  </r>
  <r>
    <x v="0"/>
    <n v="4500"/>
    <n v="3"/>
    <s v="Rua Quinze de Novembro, 8 - Loja 301a Loja 301b - Centro, Niterói - RJ, 24020-125"/>
    <x v="1"/>
    <s v="LUIZA PROCACI"/>
    <x v="1"/>
    <n v="33"/>
    <x v="0"/>
    <n v="13500"/>
    <d v="2020-06-06T00:00:00"/>
    <x v="1"/>
    <x v="3"/>
  </r>
  <r>
    <x v="17"/>
    <n v="2300"/>
    <n v="4"/>
    <s v="R. Visc. de Pirajá, 136 - Ipanema, Rio de Janeiro - RJ, 22410-000"/>
    <x v="1"/>
    <s v="IURI NETO"/>
    <x v="0"/>
    <n v="56"/>
    <x v="1"/>
    <n v="9200"/>
    <d v="2020-06-30T00:00:00"/>
    <x v="1"/>
    <x v="3"/>
  </r>
  <r>
    <x v="11"/>
    <n v="2000"/>
    <n v="4"/>
    <s v="Rua Antônio Lumack do Monte, 203 - 1 - Boa Viagem, Recife - PE, 51020-350"/>
    <x v="6"/>
    <s v="CARLOS GALVÃO"/>
    <x v="0"/>
    <n v="33"/>
    <x v="0"/>
    <n v="8000"/>
    <d v="2020-12-09T00:00:00"/>
    <x v="1"/>
    <x v="8"/>
  </r>
  <r>
    <x v="10"/>
    <n v="750"/>
    <n v="3"/>
    <s v="R. Luíz Faccini, 212 - Centro, Guarulhos - SP, 07110-000"/>
    <x v="0"/>
    <s v="JULIE FERREIRA"/>
    <x v="1"/>
    <n v="34"/>
    <x v="0"/>
    <n v="2250"/>
    <d v="2020-09-19T00:00:00"/>
    <x v="1"/>
    <x v="1"/>
  </r>
  <r>
    <x v="11"/>
    <n v="2000"/>
    <n v="2"/>
    <s v="R. Luíz Faccini, 212 - Centro, Guarulhos - SP, 07110-000"/>
    <x v="0"/>
    <s v="CAMILLA VIEIRA"/>
    <x v="1"/>
    <n v="69"/>
    <x v="1"/>
    <n v="4000"/>
    <d v="2020-10-12T00:00:00"/>
    <x v="1"/>
    <x v="6"/>
  </r>
  <r>
    <x v="16"/>
    <n v="1200"/>
    <n v="1"/>
    <s v="Av. Mal. Floriano Peixoto, 2248-2258 - Centro, Nova Iguaçu - RJ, 26210-000"/>
    <x v="1"/>
    <s v="FELIPE JÚNIOR"/>
    <x v="0"/>
    <n v="61"/>
    <x v="1"/>
    <n v="1200"/>
    <d v="2020-07-11T00:00:00"/>
    <x v="1"/>
    <x v="0"/>
  </r>
  <r>
    <x v="17"/>
    <n v="2300"/>
    <n v="1"/>
    <s v="R. Brasílio Itiberê, 3279 - Água Verde, Curitiba - PR, 80250-160"/>
    <x v="3"/>
    <s v="STHEFESON PEREIRA"/>
    <x v="0"/>
    <n v="69"/>
    <x v="1"/>
    <n v="2300"/>
    <d v="2020-09-13T00:00:00"/>
    <x v="1"/>
    <x v="1"/>
  </r>
  <r>
    <x v="21"/>
    <n v="5200"/>
    <n v="1"/>
    <s v="Av. Mal. Floriano Peixoto, 2248-2258 - Centro, Nova Iguaçu - RJ, 26210-000"/>
    <x v="1"/>
    <s v="EDUARDO SILVA"/>
    <x v="0"/>
    <n v="70"/>
    <x v="1"/>
    <n v="5200"/>
    <d v="2020-09-22T00:00:00"/>
    <x v="1"/>
    <x v="1"/>
  </r>
  <r>
    <x v="5"/>
    <n v="1450"/>
    <n v="1"/>
    <s v="R. Luíz Faccini, 212 - Centro, Guarulhos - SP, 07110-000"/>
    <x v="0"/>
    <s v="FELIPE MELLO"/>
    <x v="0"/>
    <n v="57"/>
    <x v="1"/>
    <n v="1450"/>
    <d v="2020-07-09T00:00:00"/>
    <x v="1"/>
    <x v="0"/>
  </r>
  <r>
    <x v="14"/>
    <n v="1500"/>
    <n v="3"/>
    <s v="Av. Dom Luís, 500 - Aldeota, Fortaleza - CE, 60160-230"/>
    <x v="2"/>
    <s v="CARLA ZAKHM"/>
    <x v="1"/>
    <n v="35"/>
    <x v="0"/>
    <n v="4500"/>
    <d v="2020-01-13T00:00:00"/>
    <x v="1"/>
    <x v="5"/>
  </r>
  <r>
    <x v="18"/>
    <n v="2500"/>
    <n v="2"/>
    <s v="Av. Dom Luís, 500 - Aldeota, Fortaleza - CE, 60160-230"/>
    <x v="2"/>
    <s v="CÉLIO XAVIER"/>
    <x v="0"/>
    <n v="64"/>
    <x v="1"/>
    <n v="5000"/>
    <d v="2020-02-06T00:00:00"/>
    <x v="1"/>
    <x v="4"/>
  </r>
  <r>
    <x v="4"/>
    <n v="700"/>
    <n v="5"/>
    <s v="Av. Borges de Medeiros, 3120 - Praia de Belas, Porto Alegre - RS, 90110-150"/>
    <x v="8"/>
    <s v="LIVIA CORRÊA"/>
    <x v="1"/>
    <n v="38"/>
    <x v="0"/>
    <n v="3500"/>
    <d v="2020-07-11T00:00:00"/>
    <x v="1"/>
    <x v="0"/>
  </r>
  <r>
    <x v="5"/>
    <n v="1450"/>
    <n v="5"/>
    <s v="R. Luíz Faccini, 212 - Centro, Guarulhos - SP, 07110-000"/>
    <x v="0"/>
    <s v="PEDRO RODRIGUES"/>
    <x v="0"/>
    <n v="41"/>
    <x v="0"/>
    <n v="7250"/>
    <d v="2020-04-12T00:00:00"/>
    <x v="1"/>
    <x v="2"/>
  </r>
  <r>
    <x v="0"/>
    <n v="4500"/>
    <n v="2"/>
    <s v="Rua Antônio Lumack do Monte, 203 - 1 - Boa Viagem, Recife - PE, 51020-350"/>
    <x v="6"/>
    <s v="FERNANDA SILVA"/>
    <x v="1"/>
    <n v="39"/>
    <x v="0"/>
    <n v="9000"/>
    <d v="2020-03-26T00:00:00"/>
    <x v="1"/>
    <x v="9"/>
  </r>
  <r>
    <x v="22"/>
    <n v="2400"/>
    <n v="5"/>
    <s v="R. Brasílio Itiberê, 3279 - Água Verde, Curitiba - PR, 80250-160"/>
    <x v="3"/>
    <s v="CLARA BRUNO"/>
    <x v="1"/>
    <n v="57"/>
    <x v="1"/>
    <n v="12000"/>
    <d v="2020-02-24T00:00:00"/>
    <x v="1"/>
    <x v="4"/>
  </r>
  <r>
    <x v="4"/>
    <n v="700"/>
    <n v="4"/>
    <s v="Rua Quinze de Novembro, 8 - Loja 301a Loja 301b - Centro, Niterói - RJ, 24020-125"/>
    <x v="1"/>
    <s v="SYLVIO BERNHARDT"/>
    <x v="0"/>
    <n v="47"/>
    <x v="0"/>
    <n v="2800"/>
    <d v="2020-07-27T00:00:00"/>
    <x v="1"/>
    <x v="0"/>
  </r>
  <r>
    <x v="17"/>
    <n v="2300"/>
    <n v="1"/>
    <s v="Av. Dom Luís, 500 - Aldeota, Fortaleza - CE, 60160-230"/>
    <x v="2"/>
    <s v="THAYANE RESENDE"/>
    <x v="1"/>
    <n v="37"/>
    <x v="0"/>
    <n v="2300"/>
    <d v="2020-11-27T00:00:00"/>
    <x v="1"/>
    <x v="10"/>
  </r>
  <r>
    <x v="14"/>
    <n v="1500"/>
    <n v="3"/>
    <s v="R. Dr. Antônio Castro Prado, 422 - Vila Rossi e Borchi, Campinas - SP, 13076-130"/>
    <x v="0"/>
    <s v="LUÍZA MELO"/>
    <x v="1"/>
    <n v="66"/>
    <x v="1"/>
    <n v="4500"/>
    <d v="2020-09-03T00:00:00"/>
    <x v="1"/>
    <x v="1"/>
  </r>
  <r>
    <x v="4"/>
    <n v="700"/>
    <n v="1"/>
    <s v="Rua Quinze de Novembro, 8 - Loja 301a Loja 301b - Centro, Niterói - RJ, 24020-125"/>
    <x v="1"/>
    <s v="JULIANA SILVA"/>
    <x v="1"/>
    <n v="35"/>
    <x v="0"/>
    <n v="700"/>
    <d v="2020-05-09T00:00:00"/>
    <x v="1"/>
    <x v="11"/>
  </r>
  <r>
    <x v="4"/>
    <n v="700"/>
    <n v="2"/>
    <s v="R. Luíz Faccini, 212 - Centro, Guarulhos - SP, 07110-000"/>
    <x v="0"/>
    <s v="ELENA BARRETO"/>
    <x v="1"/>
    <n v="74"/>
    <x v="1"/>
    <n v="1400"/>
    <d v="2020-12-11T00:00:00"/>
    <x v="1"/>
    <x v="8"/>
  </r>
  <r>
    <x v="7"/>
    <n v="2600"/>
    <n v="5"/>
    <s v="R. Brasílio Itiberê, 3279 - Água Verde, Curitiba - PR, 80250-160"/>
    <x v="3"/>
    <s v="NATALIA MARINHO"/>
    <x v="1"/>
    <n v="71"/>
    <x v="1"/>
    <n v="13000"/>
    <d v="2020-09-13T00:00:00"/>
    <x v="1"/>
    <x v="1"/>
  </r>
  <r>
    <x v="6"/>
    <n v="6500"/>
    <n v="3"/>
    <s v="Rua Quinze de Novembro, 8 - Loja 301a Loja 301b - Centro, Niterói - RJ, 24020-125"/>
    <x v="1"/>
    <s v="ANDERSON BARRETO"/>
    <x v="0"/>
    <n v="40"/>
    <x v="0"/>
    <n v="19500"/>
    <d v="2020-01-11T00:00:00"/>
    <x v="1"/>
    <x v="5"/>
  </r>
  <r>
    <x v="15"/>
    <n v="3000"/>
    <n v="3"/>
    <s v="Av. Goiás Norte, 3.592 - quadra 2.1 - St. Mal. Rondon, Goiânia - GO, 74063-010"/>
    <x v="4"/>
    <s v="GUILHERME SEIXAS"/>
    <x v="0"/>
    <n v="52"/>
    <x v="1"/>
    <n v="9000"/>
    <d v="2020-08-07T00:00:00"/>
    <x v="1"/>
    <x v="7"/>
  </r>
  <r>
    <x v="9"/>
    <n v="2000"/>
    <n v="2"/>
    <s v="Av. Dom Luís, 500 - Aldeota, Fortaleza - CE, 60160-230"/>
    <x v="2"/>
    <s v="MATHEUS MIRANDA"/>
    <x v="0"/>
    <n v="58"/>
    <x v="1"/>
    <n v="4000"/>
    <d v="2020-03-11T00:00:00"/>
    <x v="1"/>
    <x v="9"/>
  </r>
  <r>
    <x v="13"/>
    <n v="1550"/>
    <n v="5"/>
    <s v="Rua Antônio Lumack do Monte, 203 - 1 - Boa Viagem, Recife - PE, 51020-350"/>
    <x v="6"/>
    <s v="ITAI PUNTEL"/>
    <x v="0"/>
    <n v="69"/>
    <x v="1"/>
    <n v="7750"/>
    <d v="2020-06-17T00:00:00"/>
    <x v="1"/>
    <x v="3"/>
  </r>
  <r>
    <x v="21"/>
    <n v="5200"/>
    <n v="1"/>
    <s v="Av. Mal. Floriano Peixoto, 2248-2258 - Centro, Nova Iguaçu - RJ, 26210-000"/>
    <x v="1"/>
    <s v="LUANA SANTOS"/>
    <x v="1"/>
    <n v="45"/>
    <x v="0"/>
    <n v="5200"/>
    <d v="2020-11-15T00:00:00"/>
    <x v="1"/>
    <x v="10"/>
  </r>
  <r>
    <x v="18"/>
    <n v="2500"/>
    <n v="1"/>
    <s v="Av. Barão Homem de Melo, 1389 - Nova Granada, Belo Horizonte - MG, 30431-425"/>
    <x v="7"/>
    <s v="LUÍSA FONSECA"/>
    <x v="0"/>
    <n v="41"/>
    <x v="0"/>
    <n v="2500"/>
    <d v="2020-08-30T00:00:00"/>
    <x v="1"/>
    <x v="7"/>
  </r>
  <r>
    <x v="15"/>
    <n v="3000"/>
    <n v="1"/>
    <s v="Av. Dom Luís, 500 - Aldeota, Fortaleza - CE, 60160-230"/>
    <x v="2"/>
    <s v="BEATRIZ BIASE"/>
    <x v="1"/>
    <n v="62"/>
    <x v="1"/>
    <n v="3000"/>
    <d v="2020-09-28T00:00:00"/>
    <x v="1"/>
    <x v="1"/>
  </r>
  <r>
    <x v="9"/>
    <n v="2000"/>
    <n v="2"/>
    <s v="R. Teodoro Sampaio, 954 - Pinheiros, São Paulo - SP, 05406-050"/>
    <x v="0"/>
    <s v="LUCAS MACHADO"/>
    <x v="0"/>
    <n v="49"/>
    <x v="0"/>
    <n v="4000"/>
    <d v="2020-07-20T00:00:00"/>
    <x v="1"/>
    <x v="0"/>
  </r>
  <r>
    <x v="5"/>
    <n v="1450"/>
    <n v="2"/>
    <s v="R. Brasílio Itiberê, 3279 - Água Verde, Curitiba - PR, 80250-160"/>
    <x v="3"/>
    <s v="JOÃO CAPITULO"/>
    <x v="0"/>
    <n v="72"/>
    <x v="1"/>
    <n v="2900"/>
    <d v="2020-02-20T00:00:00"/>
    <x v="1"/>
    <x v="4"/>
  </r>
  <r>
    <x v="10"/>
    <n v="750"/>
    <n v="3"/>
    <s v="Av. Barão Homem de Melo, 1389 - Nova Granada, Belo Horizonte - MG, 30431-425"/>
    <x v="7"/>
    <s v="RENAN MELO"/>
    <x v="0"/>
    <n v="36"/>
    <x v="0"/>
    <n v="2250"/>
    <d v="2020-08-12T00:00:00"/>
    <x v="1"/>
    <x v="7"/>
  </r>
  <r>
    <x v="22"/>
    <n v="2400"/>
    <n v="4"/>
    <s v="Rua Antônio Lumack do Monte, 203 - 1 - Boa Viagem, Recife - PE, 51020-350"/>
    <x v="6"/>
    <s v="ISABELLA MONTANHOLI"/>
    <x v="1"/>
    <n v="50"/>
    <x v="0"/>
    <n v="9600"/>
    <d v="2020-01-25T00:00:00"/>
    <x v="1"/>
    <x v="5"/>
  </r>
  <r>
    <x v="16"/>
    <n v="1200"/>
    <n v="4"/>
    <s v="R. Brasílio Itiberê, 3279 - Água Verde, Curitiba - PR, 80250-160"/>
    <x v="3"/>
    <s v="JOÃO PEÇANHA"/>
    <x v="0"/>
    <n v="48"/>
    <x v="0"/>
    <n v="4800"/>
    <d v="2020-08-16T00:00:00"/>
    <x v="1"/>
    <x v="7"/>
  </r>
  <r>
    <x v="12"/>
    <n v="1500"/>
    <n v="3"/>
    <s v="R. Dr. Antônio Castro Prado, 422 - Vila Rossi e Borchi, Campinas - SP, 13076-130"/>
    <x v="0"/>
    <s v="CARLOS ARAUJO"/>
    <x v="0"/>
    <n v="61"/>
    <x v="1"/>
    <n v="4500"/>
    <d v="2020-09-16T00:00:00"/>
    <x v="1"/>
    <x v="1"/>
  </r>
  <r>
    <x v="14"/>
    <n v="1500"/>
    <n v="3"/>
    <s v="R. Brasílio Itiberê, 3279 - Água Verde, Curitiba - PR, 80250-160"/>
    <x v="3"/>
    <s v="BRENO CAPUTO"/>
    <x v="0"/>
    <n v="64"/>
    <x v="1"/>
    <n v="4500"/>
    <d v="2020-01-25T00:00:00"/>
    <x v="1"/>
    <x v="5"/>
  </r>
  <r>
    <x v="19"/>
    <n v="1750"/>
    <n v="5"/>
    <s v="R. Luíz Faccini, 212 - Centro, Guarulhos - SP, 07110-000"/>
    <x v="0"/>
    <s v="GABRIEL THONI"/>
    <x v="0"/>
    <n v="34"/>
    <x v="0"/>
    <n v="8750"/>
    <d v="2020-08-10T00:00:00"/>
    <x v="1"/>
    <x v="7"/>
  </r>
  <r>
    <x v="18"/>
    <n v="2500"/>
    <n v="3"/>
    <s v="Rua Antônio Lumack do Monte, 203 - 1 - Boa Viagem, Recife - PE, 51020-350"/>
    <x v="6"/>
    <s v="JULIA LEIG"/>
    <x v="1"/>
    <n v="31"/>
    <x v="0"/>
    <n v="7500"/>
    <d v="2020-09-16T00:00:00"/>
    <x v="1"/>
    <x v="1"/>
  </r>
  <r>
    <x v="1"/>
    <n v="1400"/>
    <n v="2"/>
    <s v="R. Teodoro Sampaio, 954 - Pinheiros, São Paulo - SP, 05406-050"/>
    <x v="0"/>
    <s v="NATÁLIA APPEL"/>
    <x v="1"/>
    <n v="51"/>
    <x v="1"/>
    <n v="2800"/>
    <d v="2020-11-25T00:00:00"/>
    <x v="1"/>
    <x v="10"/>
  </r>
  <r>
    <x v="7"/>
    <n v="2600"/>
    <n v="5"/>
    <s v="Av. Barão Homem de Melo, 1389 - Nova Granada, Belo Horizonte - MG, 30431-425"/>
    <x v="7"/>
    <s v="LUIZ ALMEIDA"/>
    <x v="0"/>
    <n v="71"/>
    <x v="1"/>
    <n v="13000"/>
    <d v="2020-11-14T00:00:00"/>
    <x v="1"/>
    <x v="10"/>
  </r>
  <r>
    <x v="9"/>
    <n v="2000"/>
    <n v="1"/>
    <s v="Av. Dom Luís, 500 - Aldeota, Fortaleza - CE, 60160-230"/>
    <x v="2"/>
    <s v="LÍVIA MARQUES"/>
    <x v="1"/>
    <n v="50"/>
    <x v="0"/>
    <n v="2000"/>
    <d v="2020-04-21T00:00:00"/>
    <x v="1"/>
    <x v="2"/>
  </r>
  <r>
    <x v="11"/>
    <n v="2000"/>
    <n v="3"/>
    <s v="Av. Goiás Norte, 3.592 - quadra 2.1 - St. Mal. Rondon, Goiânia - GO, 74063-010"/>
    <x v="4"/>
    <s v="ERIC JÚNIOR"/>
    <x v="0"/>
    <n v="37"/>
    <x v="0"/>
    <n v="6000"/>
    <d v="2020-04-23T00:00:00"/>
    <x v="1"/>
    <x v="2"/>
  </r>
  <r>
    <x v="17"/>
    <n v="2300"/>
    <n v="3"/>
    <s v="R. Brasílio Itiberê, 3279 - Água Verde, Curitiba - PR, 80250-160"/>
    <x v="3"/>
    <s v="ANA GOMES"/>
    <x v="1"/>
    <n v="64"/>
    <x v="1"/>
    <n v="6900"/>
    <d v="2020-01-19T00:00:00"/>
    <x v="1"/>
    <x v="5"/>
  </r>
  <r>
    <x v="21"/>
    <n v="5200"/>
    <n v="2"/>
    <s v="R. Luíz Faccini, 212 - Centro, Guarulhos - SP, 07110-000"/>
    <x v="0"/>
    <s v="ANTONIO BERNHARDT"/>
    <x v="0"/>
    <n v="52"/>
    <x v="1"/>
    <n v="10400"/>
    <d v="2020-09-11T00:00:00"/>
    <x v="1"/>
    <x v="1"/>
  </r>
  <r>
    <x v="8"/>
    <n v="1400"/>
    <n v="3"/>
    <s v="Rua Quinze de Novembro, 8 - Loja 301a Loja 301b - Centro, Niterói - RJ, 24020-125"/>
    <x v="1"/>
    <s v="CARLOS SOUZA"/>
    <x v="0"/>
    <n v="39"/>
    <x v="0"/>
    <n v="4200"/>
    <d v="2020-07-31T00:00:00"/>
    <x v="1"/>
    <x v="0"/>
  </r>
  <r>
    <x v="4"/>
    <n v="700"/>
    <n v="3"/>
    <s v="Av. Mal. Floriano Peixoto, 2248-2258 - Centro, Nova Iguaçu - RJ, 26210-000"/>
    <x v="1"/>
    <s v="RAMON ARAUJO"/>
    <x v="0"/>
    <n v="49"/>
    <x v="0"/>
    <n v="2100"/>
    <d v="2020-01-30T00:00:00"/>
    <x v="1"/>
    <x v="5"/>
  </r>
  <r>
    <x v="21"/>
    <n v="5200"/>
    <n v="1"/>
    <s v="R. Brasílio Itiberê, 3279 - Água Verde, Curitiba - PR, 80250-160"/>
    <x v="3"/>
    <s v="JOÃO CAPITULO"/>
    <x v="0"/>
    <n v="72"/>
    <x v="1"/>
    <n v="5200"/>
    <d v="2020-11-17T00:00:00"/>
    <x v="1"/>
    <x v="10"/>
  </r>
  <r>
    <x v="0"/>
    <n v="4500"/>
    <n v="3"/>
    <s v="R. Dr. Antônio Castro Prado, 422 - Vila Rossi e Borchi, Campinas - SP, 13076-130"/>
    <x v="0"/>
    <s v="PEDRO COSTA"/>
    <x v="0"/>
    <n v="47"/>
    <x v="0"/>
    <n v="13500"/>
    <d v="2020-05-12T00:00:00"/>
    <x v="1"/>
    <x v="11"/>
  </r>
  <r>
    <x v="2"/>
    <n v="1900"/>
    <n v="3"/>
    <s v="R. Brasílio Itiberê, 3279 - Água Verde, Curitiba - PR, 80250-160"/>
    <x v="3"/>
    <s v="MATHEUS SANTOS"/>
    <x v="0"/>
    <n v="36"/>
    <x v="0"/>
    <n v="5700"/>
    <d v="2020-07-15T00:00:00"/>
    <x v="1"/>
    <x v="0"/>
  </r>
  <r>
    <x v="10"/>
    <n v="750"/>
    <n v="1"/>
    <s v="R. Visc. de Pirajá, 136 - Ipanema, Rio de Janeiro - RJ, 22410-000"/>
    <x v="1"/>
    <s v="ISABELLE FIRMINO"/>
    <x v="1"/>
    <n v="58"/>
    <x v="1"/>
    <n v="750"/>
    <d v="2020-08-02T00:00:00"/>
    <x v="1"/>
    <x v="7"/>
  </r>
  <r>
    <x v="3"/>
    <n v="1500"/>
    <n v="1"/>
    <s v="R. Luíz Faccini, 212 - Centro, Guarulhos - SP, 07110-000"/>
    <x v="0"/>
    <s v="LÁZARO VILLANOVA"/>
    <x v="0"/>
    <n v="71"/>
    <x v="1"/>
    <n v="1500"/>
    <d v="2020-10-24T00:00:00"/>
    <x v="1"/>
    <x v="6"/>
  </r>
  <r>
    <x v="12"/>
    <n v="1500"/>
    <n v="5"/>
    <s v="Rua Antônio Lumack do Monte, 203 - 1 - Boa Viagem, Recife - PE, 51020-350"/>
    <x v="6"/>
    <s v="BARBARA PROCACI"/>
    <x v="1"/>
    <n v="60"/>
    <x v="1"/>
    <n v="7500"/>
    <d v="2020-01-21T00:00:00"/>
    <x v="1"/>
    <x v="5"/>
  </r>
  <r>
    <x v="12"/>
    <n v="1500"/>
    <n v="2"/>
    <s v="Av. Borges de Medeiros, 3120 - Praia de Belas, Porto Alegre - RS, 90110-150"/>
    <x v="8"/>
    <s v="LUIZA RIBEIRO"/>
    <x v="1"/>
    <n v="31"/>
    <x v="0"/>
    <n v="3000"/>
    <d v="2020-08-03T00:00:00"/>
    <x v="1"/>
    <x v="7"/>
  </r>
  <r>
    <x v="2"/>
    <n v="1900"/>
    <n v="2"/>
    <s v="R. Visc. de Pirajá, 136 - Ipanema, Rio de Janeiro - RJ, 22410-000"/>
    <x v="1"/>
    <s v="BIANCA FEREZIN"/>
    <x v="1"/>
    <n v="39"/>
    <x v="0"/>
    <n v="3800"/>
    <d v="2020-07-26T00:00:00"/>
    <x v="1"/>
    <x v="0"/>
  </r>
  <r>
    <x v="12"/>
    <n v="1500"/>
    <n v="3"/>
    <s v="Av. Mal. Floriano Peixoto, 2248-2258 - Centro, Nova Iguaçu - RJ, 26210-000"/>
    <x v="1"/>
    <s v="GIULIA PESSANHA"/>
    <x v="1"/>
    <n v="28"/>
    <x v="2"/>
    <n v="4500"/>
    <d v="2020-01-27T00:00:00"/>
    <x v="1"/>
    <x v="5"/>
  </r>
  <r>
    <x v="19"/>
    <n v="1750"/>
    <n v="4"/>
    <s v="Av. Borges de Medeiros, 3120 - Praia de Belas, Porto Alegre - RS, 90110-150"/>
    <x v="8"/>
    <s v="LUIZA JOHNSON"/>
    <x v="1"/>
    <n v="72"/>
    <x v="1"/>
    <n v="7000"/>
    <d v="2020-10-14T00:00:00"/>
    <x v="1"/>
    <x v="6"/>
  </r>
  <r>
    <x v="22"/>
    <n v="2400"/>
    <n v="3"/>
    <s v="Av. Borges de Medeiros, 3120 - Praia de Belas, Porto Alegre - RS, 90110-150"/>
    <x v="8"/>
    <s v="DAVID ASSUMPÇÃO"/>
    <x v="0"/>
    <n v="30"/>
    <x v="0"/>
    <n v="7200"/>
    <d v="2020-01-25T00:00:00"/>
    <x v="1"/>
    <x v="5"/>
  </r>
  <r>
    <x v="0"/>
    <n v="4500"/>
    <n v="4"/>
    <s v="Av. Borges de Medeiros, 3120 - Praia de Belas, Porto Alegre - RS, 90110-150"/>
    <x v="8"/>
    <s v="JOÃO MENEZES"/>
    <x v="0"/>
    <n v="52"/>
    <x v="1"/>
    <n v="18000"/>
    <d v="2020-05-03T00:00:00"/>
    <x v="1"/>
    <x v="11"/>
  </r>
  <r>
    <x v="15"/>
    <n v="3000"/>
    <n v="2"/>
    <s v="Av. Mal. Floriano Peixoto, 2248-2258 - Centro, Nova Iguaçu - RJ, 26210-000"/>
    <x v="1"/>
    <s v="HELVIO PEDROSA"/>
    <x v="0"/>
    <n v="59"/>
    <x v="1"/>
    <n v="6000"/>
    <d v="2020-02-26T00:00:00"/>
    <x v="1"/>
    <x v="4"/>
  </r>
  <r>
    <x v="18"/>
    <n v="2500"/>
    <n v="5"/>
    <s v="Av. Dom Luís, 500 - Aldeota, Fortaleza - CE, 60160-230"/>
    <x v="2"/>
    <s v="ANNA MAIA"/>
    <x v="1"/>
    <n v="54"/>
    <x v="1"/>
    <n v="12500"/>
    <d v="2020-05-10T00:00:00"/>
    <x v="1"/>
    <x v="11"/>
  </r>
  <r>
    <x v="1"/>
    <n v="1400"/>
    <n v="2"/>
    <s v="R. Visc. de Pirajá, 136 - Ipanema, Rio de Janeiro - RJ, 22410-000"/>
    <x v="1"/>
    <s v="RAISSA NEGRELLI"/>
    <x v="1"/>
    <n v="40"/>
    <x v="0"/>
    <n v="2800"/>
    <d v="2020-08-29T00:00:00"/>
    <x v="1"/>
    <x v="7"/>
  </r>
  <r>
    <x v="2"/>
    <n v="1900"/>
    <n v="3"/>
    <s v="Av. Barão Homem de Melo, 1389 - Nova Granada, Belo Horizonte - MG, 30431-425"/>
    <x v="7"/>
    <s v="CARLOS MESQUITA"/>
    <x v="0"/>
    <n v="38"/>
    <x v="0"/>
    <n v="5700"/>
    <d v="2020-09-07T00:00:00"/>
    <x v="1"/>
    <x v="1"/>
  </r>
  <r>
    <x v="12"/>
    <n v="1500"/>
    <n v="4"/>
    <s v="Av. Dom Luís, 500 - Aldeota, Fortaleza - CE, 60160-230"/>
    <x v="2"/>
    <s v="DAVID VASCONCELOS"/>
    <x v="0"/>
    <n v="47"/>
    <x v="0"/>
    <n v="6000"/>
    <d v="2020-07-12T00:00:00"/>
    <x v="1"/>
    <x v="0"/>
  </r>
  <r>
    <x v="19"/>
    <n v="1750"/>
    <n v="4"/>
    <s v="Rua Quinze de Novembro, 8 - Loja 301a Loja 301b - Centro, Niterói - RJ, 24020-125"/>
    <x v="1"/>
    <s v="GABRIEL AZEVEDO"/>
    <x v="0"/>
    <n v="42"/>
    <x v="0"/>
    <n v="7000"/>
    <d v="2020-06-01T00:00:00"/>
    <x v="1"/>
    <x v="3"/>
  </r>
  <r>
    <x v="4"/>
    <n v="700"/>
    <n v="4"/>
    <s v="Av. Barão Homem de Melo, 1389 - Nova Granada, Belo Horizonte - MG, 30431-425"/>
    <x v="7"/>
    <s v="FELIPE FREITAS"/>
    <x v="0"/>
    <n v="36"/>
    <x v="0"/>
    <n v="2800"/>
    <d v="2020-10-01T00:00:00"/>
    <x v="1"/>
    <x v="6"/>
  </r>
  <r>
    <x v="15"/>
    <n v="3000"/>
    <n v="3"/>
    <s v="Rua Antônio Lumack do Monte, 203 - 1 - Boa Viagem, Recife - PE, 51020-350"/>
    <x v="6"/>
    <s v="GUILHERME LIMA"/>
    <x v="0"/>
    <n v="53"/>
    <x v="1"/>
    <n v="9000"/>
    <d v="2020-03-09T00:00:00"/>
    <x v="1"/>
    <x v="9"/>
  </r>
  <r>
    <x v="21"/>
    <n v="5200"/>
    <n v="5"/>
    <s v="Av. Goiás Norte, 3.592 - quadra 2.1 - St. Mal. Rondon, Goiânia - GO, 74063-010"/>
    <x v="4"/>
    <s v="RODRIGO SILVA"/>
    <x v="0"/>
    <n v="31"/>
    <x v="0"/>
    <n v="26000"/>
    <d v="2020-10-17T00:00:00"/>
    <x v="1"/>
    <x v="6"/>
  </r>
  <r>
    <x v="4"/>
    <n v="700"/>
    <n v="2"/>
    <s v="Rua Antônio Lumack do Monte, 203 - 1 - Boa Viagem, Recife - PE, 51020-350"/>
    <x v="6"/>
    <s v="LUIZ MARINHO"/>
    <x v="0"/>
    <n v="72"/>
    <x v="1"/>
    <n v="1400"/>
    <d v="2020-03-17T00:00:00"/>
    <x v="1"/>
    <x v="9"/>
  </r>
  <r>
    <x v="23"/>
    <n v="1100"/>
    <n v="2"/>
    <s v="Av. Barão Homem de Melo, 1389 - Nova Granada, Belo Horizonte - MG, 30431-425"/>
    <x v="7"/>
    <s v="CAROLINA ALFRADIQUE"/>
    <x v="1"/>
    <n v="26"/>
    <x v="2"/>
    <n v="2200"/>
    <d v="2020-02-17T00:00:00"/>
    <x v="1"/>
    <x v="4"/>
  </r>
  <r>
    <x v="10"/>
    <n v="750"/>
    <n v="5"/>
    <s v="Rua Antônio Lumack do Monte, 203 - 1 - Boa Viagem, Recife - PE, 51020-350"/>
    <x v="6"/>
    <s v="IGOR AZEVEDO"/>
    <x v="0"/>
    <n v="59"/>
    <x v="1"/>
    <n v="3750"/>
    <d v="2020-05-13T00:00:00"/>
    <x v="1"/>
    <x v="11"/>
  </r>
  <r>
    <x v="3"/>
    <n v="1500"/>
    <n v="3"/>
    <s v="Shopping Barra - Av. Centenário, 2992 - Barra, Salvador - BA, 40155-150"/>
    <x v="5"/>
    <s v="ROGÉRIO GENTILE"/>
    <x v="0"/>
    <n v="27"/>
    <x v="2"/>
    <n v="4500"/>
    <d v="2020-12-29T00:00:00"/>
    <x v="1"/>
    <x v="8"/>
  </r>
  <r>
    <x v="0"/>
    <n v="4500"/>
    <n v="3"/>
    <s v="R. Brasílio Itiberê, 3279 - Água Verde, Curitiba - PR, 80250-160"/>
    <x v="3"/>
    <s v="VICTOR MAGALHÃES"/>
    <x v="0"/>
    <n v="56"/>
    <x v="1"/>
    <n v="13500"/>
    <d v="2020-11-22T00:00:00"/>
    <x v="1"/>
    <x v="10"/>
  </r>
  <r>
    <x v="0"/>
    <n v="4500"/>
    <n v="5"/>
    <s v="Rua Quinze de Novembro, 8 - Loja 301a Loja 301b - Centro, Niterói - RJ, 24020-125"/>
    <x v="1"/>
    <s v="LUIZ FREIRE"/>
    <x v="0"/>
    <n v="32"/>
    <x v="0"/>
    <n v="22500"/>
    <d v="2020-05-09T00:00:00"/>
    <x v="1"/>
    <x v="11"/>
  </r>
  <r>
    <x v="4"/>
    <n v="700"/>
    <n v="4"/>
    <s v="R. Luíz Faccini, 212 - Centro, Guarulhos - SP, 07110-000"/>
    <x v="0"/>
    <s v="PEDRO JORGE"/>
    <x v="0"/>
    <n v="31"/>
    <x v="0"/>
    <n v="2800"/>
    <d v="2020-05-11T00:00:00"/>
    <x v="1"/>
    <x v="11"/>
  </r>
  <r>
    <x v="19"/>
    <n v="1750"/>
    <n v="3"/>
    <s v="Av. Goiás Norte, 3.592 - quadra 2.1 - St. Mal. Rondon, Goiânia - GO, 74063-010"/>
    <x v="4"/>
    <s v="CAROLINA VASCONCELOS"/>
    <x v="1"/>
    <n v="42"/>
    <x v="0"/>
    <n v="5250"/>
    <d v="2020-12-11T00:00:00"/>
    <x v="1"/>
    <x v="8"/>
  </r>
  <r>
    <x v="2"/>
    <n v="1900"/>
    <n v="2"/>
    <s v="R. Luíz Faccini, 212 - Centro, Guarulhos - SP, 07110-000"/>
    <x v="0"/>
    <s v="DOUGLAS RODRIGUES"/>
    <x v="0"/>
    <n v="33"/>
    <x v="0"/>
    <n v="3800"/>
    <d v="2020-05-13T00:00:00"/>
    <x v="1"/>
    <x v="11"/>
  </r>
  <r>
    <x v="8"/>
    <n v="1400"/>
    <n v="1"/>
    <s v="Av. Mal. Floriano Peixoto, 2248-2258 - Centro, Nova Iguaçu - RJ, 26210-000"/>
    <x v="1"/>
    <s v="STELA MENDONÇA"/>
    <x v="1"/>
    <n v="60"/>
    <x v="1"/>
    <n v="1400"/>
    <d v="2020-08-14T00:00:00"/>
    <x v="1"/>
    <x v="7"/>
  </r>
  <r>
    <x v="22"/>
    <n v="2400"/>
    <n v="4"/>
    <s v="R. Luíz Faccini, 212 - Centro, Guarulhos - SP, 07110-000"/>
    <x v="0"/>
    <s v="MYLLENA CARNEIRO"/>
    <x v="1"/>
    <n v="60"/>
    <x v="1"/>
    <n v="9600"/>
    <d v="2020-05-25T00:00:00"/>
    <x v="1"/>
    <x v="11"/>
  </r>
  <r>
    <x v="3"/>
    <n v="1500"/>
    <n v="1"/>
    <s v="Av. Mal. Floriano Peixoto, 2248-2258 - Centro, Nova Iguaçu - RJ, 26210-000"/>
    <x v="1"/>
    <s v="ROBERTA NOGUEIRA"/>
    <x v="1"/>
    <n v="44"/>
    <x v="0"/>
    <n v="1500"/>
    <d v="2020-04-24T00:00:00"/>
    <x v="1"/>
    <x v="2"/>
  </r>
  <r>
    <x v="6"/>
    <n v="6500"/>
    <n v="5"/>
    <s v="Av. Dom Luís, 500 - Aldeota, Fortaleza - CE, 60160-230"/>
    <x v="2"/>
    <s v="CÉLIO XAVIER"/>
    <x v="0"/>
    <n v="64"/>
    <x v="1"/>
    <n v="32500"/>
    <d v="2020-12-26T00:00:00"/>
    <x v="1"/>
    <x v="8"/>
  </r>
  <r>
    <x v="14"/>
    <n v="1500"/>
    <n v="3"/>
    <s v="Av. Barão Homem de Melo, 1389 - Nova Granada, Belo Horizonte - MG, 30431-425"/>
    <x v="7"/>
    <s v="VIVIANNE RODRIGUES"/>
    <x v="1"/>
    <n v="49"/>
    <x v="0"/>
    <n v="4500"/>
    <d v="2020-02-21T00:00:00"/>
    <x v="1"/>
    <x v="4"/>
  </r>
  <r>
    <x v="2"/>
    <n v="1900"/>
    <n v="2"/>
    <s v="R. Luíz Faccini, 212 - Centro, Guarulhos - SP, 07110-000"/>
    <x v="0"/>
    <s v="PEDRO JORGE"/>
    <x v="0"/>
    <n v="31"/>
    <x v="0"/>
    <n v="3800"/>
    <d v="2020-01-23T00:00:00"/>
    <x v="1"/>
    <x v="5"/>
  </r>
  <r>
    <x v="18"/>
    <n v="2500"/>
    <n v="1"/>
    <s v="Shopping Barra - Av. Centenário, 2992 - Barra, Salvador - BA, 40155-150"/>
    <x v="5"/>
    <s v="PAOLA ABREU"/>
    <x v="1"/>
    <n v="31"/>
    <x v="0"/>
    <n v="2500"/>
    <d v="2020-04-08T00:00:00"/>
    <x v="1"/>
    <x v="2"/>
  </r>
  <r>
    <x v="19"/>
    <n v="1750"/>
    <n v="5"/>
    <s v="Shopping Barra - Av. Centenário, 2992 - Barra, Salvador - BA, 40155-150"/>
    <x v="5"/>
    <s v="GUSTAVO JUNIOR"/>
    <x v="0"/>
    <n v="69"/>
    <x v="1"/>
    <n v="8750"/>
    <d v="2020-02-19T00:00:00"/>
    <x v="1"/>
    <x v="4"/>
  </r>
  <r>
    <x v="12"/>
    <n v="1500"/>
    <n v="2"/>
    <s v="R. Luíz Faccini, 212 - Centro, Guarulhos - SP, 07110-000"/>
    <x v="0"/>
    <s v="RODRIGO RAMOS"/>
    <x v="0"/>
    <n v="64"/>
    <x v="1"/>
    <n v="3000"/>
    <d v="2020-06-12T00:00:00"/>
    <x v="1"/>
    <x v="3"/>
  </r>
  <r>
    <x v="3"/>
    <n v="1500"/>
    <n v="5"/>
    <s v="Av. Borges de Medeiros, 3120 - Praia de Belas, Porto Alegre - RS, 90110-150"/>
    <x v="8"/>
    <s v="NATHALIA VENTURA"/>
    <x v="1"/>
    <n v="27"/>
    <x v="2"/>
    <n v="7500"/>
    <d v="2020-04-23T00:00:00"/>
    <x v="1"/>
    <x v="2"/>
  </r>
  <r>
    <x v="10"/>
    <n v="750"/>
    <n v="1"/>
    <s v="R. Brasílio Itiberê, 3279 - Água Verde, Curitiba - PR, 80250-160"/>
    <x v="3"/>
    <s v="CAMILLA CARDEMAN"/>
    <x v="1"/>
    <n v="56"/>
    <x v="1"/>
    <n v="750"/>
    <d v="2020-05-15T00:00:00"/>
    <x v="1"/>
    <x v="11"/>
  </r>
  <r>
    <x v="2"/>
    <n v="1900"/>
    <n v="2"/>
    <s v="Rua Antônio Lumack do Monte, 203 - 1 - Boa Viagem, Recife - PE, 51020-350"/>
    <x v="6"/>
    <s v="RAFAEL CARNEIRO"/>
    <x v="0"/>
    <n v="75"/>
    <x v="1"/>
    <n v="3800"/>
    <d v="2020-09-11T00:00:00"/>
    <x v="1"/>
    <x v="1"/>
  </r>
  <r>
    <x v="7"/>
    <n v="2600"/>
    <n v="4"/>
    <s v="Av. Barão Homem de Melo, 1389 - Nova Granada, Belo Horizonte - MG, 30431-425"/>
    <x v="7"/>
    <s v="REBECA REIS"/>
    <x v="1"/>
    <n v="66"/>
    <x v="1"/>
    <n v="10400"/>
    <d v="2020-10-07T00:00:00"/>
    <x v="1"/>
    <x v="6"/>
  </r>
  <r>
    <x v="5"/>
    <n v="1450"/>
    <n v="5"/>
    <s v="R. Brasílio Itiberê, 3279 - Água Verde, Curitiba - PR, 80250-160"/>
    <x v="3"/>
    <s v="RAFAELA GONÇALVES"/>
    <x v="1"/>
    <n v="67"/>
    <x v="1"/>
    <n v="7250"/>
    <d v="2020-06-11T00:00:00"/>
    <x v="1"/>
    <x v="3"/>
  </r>
  <r>
    <x v="6"/>
    <n v="6500"/>
    <n v="2"/>
    <s v="R. Luíz Faccini, 212 - Centro, Guarulhos - SP, 07110-000"/>
    <x v="0"/>
    <s v="JOSÉ SEIXAS"/>
    <x v="0"/>
    <n v="74"/>
    <x v="1"/>
    <n v="13000"/>
    <d v="2020-11-06T00:00:00"/>
    <x v="1"/>
    <x v="10"/>
  </r>
  <r>
    <x v="21"/>
    <n v="5200"/>
    <n v="5"/>
    <s v="Av. Dom Luís, 500 - Aldeota, Fortaleza - CE, 60160-230"/>
    <x v="2"/>
    <s v="MARCELO GUADAGNINO"/>
    <x v="0"/>
    <n v="37"/>
    <x v="0"/>
    <n v="26000"/>
    <d v="2020-08-16T00:00:00"/>
    <x v="1"/>
    <x v="7"/>
  </r>
  <r>
    <x v="17"/>
    <n v="2300"/>
    <n v="4"/>
    <s v="Rua Antônio Lumack do Monte, 203 - 1 - Boa Viagem, Recife - PE, 51020-350"/>
    <x v="6"/>
    <s v="GABRIELLE COSTA"/>
    <x v="1"/>
    <n v="36"/>
    <x v="0"/>
    <n v="9200"/>
    <d v="2020-12-01T00:00:00"/>
    <x v="1"/>
    <x v="8"/>
  </r>
  <r>
    <x v="13"/>
    <n v="1550"/>
    <n v="2"/>
    <s v="R. Luíz Faccini, 212 - Centro, Guarulhos - SP, 07110-000"/>
    <x v="0"/>
    <s v="DAVID CAMPELO"/>
    <x v="0"/>
    <n v="29"/>
    <x v="2"/>
    <n v="3100"/>
    <d v="2020-05-04T00:00:00"/>
    <x v="1"/>
    <x v="11"/>
  </r>
  <r>
    <x v="8"/>
    <n v="1400"/>
    <n v="2"/>
    <s v="R. Visc. de Pirajá, 136 - Ipanema, Rio de Janeiro - RJ, 22410-000"/>
    <x v="1"/>
    <s v="ANA BÔAS"/>
    <x v="1"/>
    <n v="54"/>
    <x v="1"/>
    <n v="2800"/>
    <d v="2020-06-07T00:00:00"/>
    <x v="1"/>
    <x v="3"/>
  </r>
  <r>
    <x v="1"/>
    <n v="1400"/>
    <n v="4"/>
    <s v="Av. Mal. Floriano Peixoto, 2248-2258 - Centro, Nova Iguaçu - RJ, 26210-000"/>
    <x v="1"/>
    <s v="PRISCILA SUZANO"/>
    <x v="1"/>
    <n v="50"/>
    <x v="0"/>
    <n v="5600"/>
    <d v="2020-04-27T00:00:00"/>
    <x v="1"/>
    <x v="2"/>
  </r>
  <r>
    <x v="3"/>
    <n v="1500"/>
    <n v="5"/>
    <s v="Av. Mal. Floriano Peixoto, 2248-2258 - Centro, Nova Iguaçu - RJ, 26210-000"/>
    <x v="1"/>
    <s v="MANUELA MEREGE"/>
    <x v="1"/>
    <n v="25"/>
    <x v="2"/>
    <n v="7500"/>
    <d v="2020-04-03T00:00:00"/>
    <x v="1"/>
    <x v="2"/>
  </r>
  <r>
    <x v="21"/>
    <n v="5200"/>
    <n v="5"/>
    <s v="Rua Antônio Lumack do Monte, 203 - 1 - Boa Viagem, Recife - PE, 51020-350"/>
    <x v="6"/>
    <s v="HÉRCULES JÚNIOR"/>
    <x v="0"/>
    <n v="56"/>
    <x v="1"/>
    <n v="26000"/>
    <d v="2020-05-16T00:00:00"/>
    <x v="1"/>
    <x v="11"/>
  </r>
  <r>
    <x v="9"/>
    <n v="2000"/>
    <n v="2"/>
    <s v="R. Dr. Antônio Castro Prado, 422 - Vila Rossi e Borchi, Campinas - SP, 13076-130"/>
    <x v="0"/>
    <s v="ALON PESTANA"/>
    <x v="0"/>
    <n v="26"/>
    <x v="2"/>
    <n v="4000"/>
    <d v="2020-09-19T00:00:00"/>
    <x v="1"/>
    <x v="1"/>
  </r>
  <r>
    <x v="3"/>
    <n v="1500"/>
    <n v="1"/>
    <s v="R. Luíz Faccini, 212 - Centro, Guarulhos - SP, 07110-000"/>
    <x v="0"/>
    <s v="EDUARDO NUNES"/>
    <x v="0"/>
    <n v="30"/>
    <x v="0"/>
    <n v="1500"/>
    <d v="2020-09-17T00:00:00"/>
    <x v="1"/>
    <x v="1"/>
  </r>
  <r>
    <x v="7"/>
    <n v="2600"/>
    <n v="3"/>
    <s v="R. Visc. de Pirajá, 136 - Ipanema, Rio de Janeiro - RJ, 22410-000"/>
    <x v="1"/>
    <s v="JULIANA CORREA"/>
    <x v="1"/>
    <n v="69"/>
    <x v="1"/>
    <n v="7800"/>
    <d v="2020-11-13T00:00:00"/>
    <x v="1"/>
    <x v="10"/>
  </r>
  <r>
    <x v="17"/>
    <n v="2300"/>
    <n v="3"/>
    <s v="Av. Goiás Norte, 3.592 - quadra 2.1 - St. Mal. Rondon, Goiânia - GO, 74063-010"/>
    <x v="4"/>
    <s v="BRUNO BARCESSAT"/>
    <x v="0"/>
    <n v="37"/>
    <x v="0"/>
    <n v="6900"/>
    <d v="2020-08-30T00:00:00"/>
    <x v="1"/>
    <x v="7"/>
  </r>
  <r>
    <x v="7"/>
    <n v="2600"/>
    <n v="3"/>
    <s v="Rua Quinze de Novembro, 8 - Loja 301a Loja 301b - Centro, Niterói - RJ, 24020-125"/>
    <x v="1"/>
    <s v="FABIO BOCCALETTI"/>
    <x v="0"/>
    <n v="64"/>
    <x v="1"/>
    <n v="7800"/>
    <d v="2020-08-30T00:00:00"/>
    <x v="1"/>
    <x v="7"/>
  </r>
  <r>
    <x v="8"/>
    <n v="1400"/>
    <n v="3"/>
    <s v="Av. Mal. Floriano Peixoto, 2248-2258 - Centro, Nova Iguaçu - RJ, 26210-000"/>
    <x v="1"/>
    <s v="JUAN FERNANDES"/>
    <x v="0"/>
    <n v="40"/>
    <x v="0"/>
    <n v="4200"/>
    <d v="2020-12-15T00:00:00"/>
    <x v="1"/>
    <x v="8"/>
  </r>
  <r>
    <x v="21"/>
    <n v="5200"/>
    <n v="5"/>
    <s v="Av. Borges de Medeiros, 3120 - Praia de Belas, Porto Alegre - RS, 90110-150"/>
    <x v="8"/>
    <s v="GUSTAVO GUIMARÃES"/>
    <x v="0"/>
    <n v="47"/>
    <x v="0"/>
    <n v="26000"/>
    <d v="2020-06-19T00:00:00"/>
    <x v="1"/>
    <x v="3"/>
  </r>
  <r>
    <x v="14"/>
    <n v="1500"/>
    <n v="4"/>
    <s v="R. Brasílio Itiberê, 3279 - Água Verde, Curitiba - PR, 80250-160"/>
    <x v="3"/>
    <s v="JOYCE MEDINA"/>
    <x v="1"/>
    <n v="55"/>
    <x v="1"/>
    <n v="6000"/>
    <d v="2020-08-09T00:00:00"/>
    <x v="1"/>
    <x v="7"/>
  </r>
  <r>
    <x v="16"/>
    <n v="1200"/>
    <n v="4"/>
    <s v="Av. Barão Homem de Melo, 1389 - Nova Granada, Belo Horizonte - MG, 30431-425"/>
    <x v="7"/>
    <s v="CAROLINE DELGADO"/>
    <x v="1"/>
    <n v="40"/>
    <x v="0"/>
    <n v="4800"/>
    <d v="2020-06-12T00:00:00"/>
    <x v="1"/>
    <x v="3"/>
  </r>
  <r>
    <x v="11"/>
    <n v="2000"/>
    <n v="3"/>
    <s v="Av. Goiás Norte, 3.592 - quadra 2.1 - St. Mal. Rondon, Goiânia - GO, 74063-010"/>
    <x v="4"/>
    <s v="RODRIGO SILVA"/>
    <x v="0"/>
    <n v="31"/>
    <x v="0"/>
    <n v="6000"/>
    <d v="2020-08-27T00:00:00"/>
    <x v="1"/>
    <x v="7"/>
  </r>
  <r>
    <x v="18"/>
    <n v="2500"/>
    <n v="3"/>
    <s v="R. Luíz Faccini, 212 - Centro, Guarulhos - SP, 07110-000"/>
    <x v="0"/>
    <s v="GABRIELA FERNANDES"/>
    <x v="1"/>
    <n v="46"/>
    <x v="0"/>
    <n v="7500"/>
    <d v="2020-09-20T00:00:00"/>
    <x v="1"/>
    <x v="1"/>
  </r>
  <r>
    <x v="6"/>
    <n v="6500"/>
    <n v="4"/>
    <s v="Av. Goiás Norte, 3.592 - quadra 2.1 - St. Mal. Rondon, Goiânia - GO, 74063-010"/>
    <x v="4"/>
    <s v="BRUNO BARCESSAT"/>
    <x v="0"/>
    <n v="37"/>
    <x v="0"/>
    <n v="26000"/>
    <d v="2020-09-03T00:00:00"/>
    <x v="1"/>
    <x v="1"/>
  </r>
  <r>
    <x v="15"/>
    <n v="3000"/>
    <n v="2"/>
    <s v="R. Brasílio Itiberê, 3279 - Água Verde, Curitiba - PR, 80250-160"/>
    <x v="3"/>
    <s v="BRUNA GOMES"/>
    <x v="1"/>
    <n v="28"/>
    <x v="2"/>
    <n v="6000"/>
    <d v="2020-09-25T00:00:00"/>
    <x v="1"/>
    <x v="1"/>
  </r>
  <r>
    <x v="11"/>
    <n v="2000"/>
    <n v="2"/>
    <s v="Av. Borges de Medeiros, 3120 - Praia de Belas, Porto Alegre - RS, 90110-150"/>
    <x v="8"/>
    <s v="LARA MOREIRA"/>
    <x v="1"/>
    <n v="52"/>
    <x v="1"/>
    <n v="4000"/>
    <d v="2020-05-29T00:00:00"/>
    <x v="1"/>
    <x v="11"/>
  </r>
  <r>
    <x v="13"/>
    <n v="1550"/>
    <n v="2"/>
    <s v="R. Visc. de Pirajá, 136 - Ipanema, Rio de Janeiro - RJ, 22410-000"/>
    <x v="1"/>
    <s v="CARLOS SILVA"/>
    <x v="0"/>
    <n v="60"/>
    <x v="1"/>
    <n v="3100"/>
    <d v="2020-04-18T00:00:00"/>
    <x v="1"/>
    <x v="2"/>
  </r>
  <r>
    <x v="22"/>
    <n v="2400"/>
    <n v="1"/>
    <s v="R. Teodoro Sampaio, 954 - Pinheiros, São Paulo - SP, 05406-050"/>
    <x v="0"/>
    <s v="ROBERTO MATTOS"/>
    <x v="0"/>
    <n v="76"/>
    <x v="1"/>
    <n v="2400"/>
    <d v="2020-07-25T00:00:00"/>
    <x v="1"/>
    <x v="0"/>
  </r>
  <r>
    <x v="15"/>
    <n v="3000"/>
    <n v="4"/>
    <s v="Av. Dom Luís, 500 - Aldeota, Fortaleza - CE, 60160-230"/>
    <x v="2"/>
    <s v="PRISCILA CARVALHO"/>
    <x v="1"/>
    <n v="42"/>
    <x v="0"/>
    <n v="12000"/>
    <d v="2020-01-30T00:00:00"/>
    <x v="1"/>
    <x v="5"/>
  </r>
  <r>
    <x v="1"/>
    <n v="1400"/>
    <n v="4"/>
    <s v="Rua Antônio Lumack do Monte, 203 - 1 - Boa Viagem, Recife - PE, 51020-350"/>
    <x v="6"/>
    <s v="JOAO PEREIRA"/>
    <x v="0"/>
    <n v="27"/>
    <x v="2"/>
    <n v="5600"/>
    <d v="2020-05-16T00:00:00"/>
    <x v="1"/>
    <x v="11"/>
  </r>
  <r>
    <x v="19"/>
    <n v="1750"/>
    <n v="4"/>
    <s v="Av. Barão Homem de Melo, 1389 - Nova Granada, Belo Horizonte - MG, 30431-425"/>
    <x v="7"/>
    <s v="PRISCILA GARCIA"/>
    <x v="1"/>
    <n v="33"/>
    <x v="0"/>
    <n v="7000"/>
    <d v="2020-08-04T00:00:00"/>
    <x v="1"/>
    <x v="7"/>
  </r>
  <r>
    <x v="22"/>
    <n v="2400"/>
    <n v="3"/>
    <s v="Rua Quinze de Novembro, 8 - Loja 301a Loja 301b - Centro, Niterói - RJ, 24020-125"/>
    <x v="1"/>
    <s v="CARLOS SOUZA"/>
    <x v="0"/>
    <n v="39"/>
    <x v="0"/>
    <n v="7200"/>
    <d v="2020-06-28T00:00:00"/>
    <x v="1"/>
    <x v="3"/>
  </r>
  <r>
    <x v="14"/>
    <n v="1500"/>
    <n v="2"/>
    <s v="R. Luíz Faccini, 212 - Centro, Guarulhos - SP, 07110-000"/>
    <x v="0"/>
    <s v="GABRIELLE PORTO"/>
    <x v="1"/>
    <n v="40"/>
    <x v="0"/>
    <n v="3000"/>
    <d v="2020-12-17T00:00:00"/>
    <x v="1"/>
    <x v="8"/>
  </r>
  <r>
    <x v="7"/>
    <n v="2600"/>
    <n v="1"/>
    <s v="Av. Borges de Medeiros, 3120 - Praia de Belas, Porto Alegre - RS, 90110-150"/>
    <x v="8"/>
    <s v="MARCELO MAGALHÃES"/>
    <x v="0"/>
    <n v="59"/>
    <x v="1"/>
    <n v="2600"/>
    <d v="2020-01-07T00:00:00"/>
    <x v="1"/>
    <x v="5"/>
  </r>
  <r>
    <x v="23"/>
    <n v="1100"/>
    <n v="4"/>
    <s v="Av. Dom Luís, 500 - Aldeota, Fortaleza - CE, 60160-230"/>
    <x v="2"/>
    <s v="BRENO BRITTO"/>
    <x v="0"/>
    <n v="55"/>
    <x v="1"/>
    <n v="4400"/>
    <d v="2020-09-26T00:00:00"/>
    <x v="1"/>
    <x v="1"/>
  </r>
  <r>
    <x v="8"/>
    <n v="1400"/>
    <n v="4"/>
    <s v="Rua Quinze de Novembro, 8 - Loja 301a Loja 301b - Centro, Niterói - RJ, 24020-125"/>
    <x v="1"/>
    <s v="EDUARDO LOPES"/>
    <x v="0"/>
    <n v="30"/>
    <x v="0"/>
    <n v="5600"/>
    <d v="2020-05-05T00:00:00"/>
    <x v="1"/>
    <x v="11"/>
  </r>
  <r>
    <x v="15"/>
    <n v="3000"/>
    <n v="1"/>
    <s v="Rua Quinze de Novembro, 8 - Loja 301a Loja 301b - Centro, Niterói - RJ, 24020-125"/>
    <x v="1"/>
    <s v="MICHELLE MIURA"/>
    <x v="1"/>
    <n v="59"/>
    <x v="1"/>
    <n v="3000"/>
    <d v="2020-11-28T00:00:00"/>
    <x v="1"/>
    <x v="10"/>
  </r>
  <r>
    <x v="17"/>
    <n v="2300"/>
    <n v="3"/>
    <s v="R. Dr. Antônio Castro Prado, 422 - Vila Rossi e Borchi, Campinas - SP, 13076-130"/>
    <x v="0"/>
    <s v="JÉSSICA RESINENTE"/>
    <x v="1"/>
    <n v="75"/>
    <x v="1"/>
    <n v="6900"/>
    <d v="2020-02-06T00:00:00"/>
    <x v="1"/>
    <x v="4"/>
  </r>
  <r>
    <x v="15"/>
    <n v="3000"/>
    <n v="3"/>
    <s v="Shopping Barra - Av. Centenário, 2992 - Barra, Salvador - BA, 40155-150"/>
    <x v="5"/>
    <s v="RAISSA MAIA"/>
    <x v="1"/>
    <n v="38"/>
    <x v="0"/>
    <n v="9000"/>
    <d v="2020-03-08T00:00:00"/>
    <x v="1"/>
    <x v="9"/>
  </r>
  <r>
    <x v="9"/>
    <n v="2000"/>
    <n v="3"/>
    <s v="R. Teodoro Sampaio, 954 - Pinheiros, São Paulo - SP, 05406-050"/>
    <x v="0"/>
    <s v="JULIANA SOUZA"/>
    <x v="1"/>
    <n v="73"/>
    <x v="1"/>
    <n v="6000"/>
    <d v="2020-10-21T00:00:00"/>
    <x v="1"/>
    <x v="6"/>
  </r>
  <r>
    <x v="20"/>
    <n v="5500"/>
    <n v="3"/>
    <s v="R. Luíz Faccini, 212 - Centro, Guarulhos - SP, 07110-000"/>
    <x v="0"/>
    <s v="ISABEL LEITE"/>
    <x v="1"/>
    <n v="31"/>
    <x v="0"/>
    <n v="16500"/>
    <d v="2020-06-28T00:00:00"/>
    <x v="1"/>
    <x v="3"/>
  </r>
  <r>
    <x v="1"/>
    <n v="1400"/>
    <n v="5"/>
    <s v="R. Luíz Faccini, 212 - Centro, Guarulhos - SP, 07110-000"/>
    <x v="0"/>
    <s v="LORENA KOHN"/>
    <x v="1"/>
    <n v="60"/>
    <x v="1"/>
    <n v="7000"/>
    <d v="2020-03-15T00:00:00"/>
    <x v="1"/>
    <x v="9"/>
  </r>
  <r>
    <x v="18"/>
    <n v="2500"/>
    <n v="1"/>
    <s v="Shopping Barra - Av. Centenário, 2992 - Barra, Salvador - BA, 40155-150"/>
    <x v="5"/>
    <s v="MARINA MIRANDA"/>
    <x v="1"/>
    <n v="69"/>
    <x v="1"/>
    <n v="2500"/>
    <d v="2020-08-02T00:00:00"/>
    <x v="1"/>
    <x v="7"/>
  </r>
  <r>
    <x v="17"/>
    <n v="2300"/>
    <n v="4"/>
    <s v="Rua Antônio Lumack do Monte, 203 - 1 - Boa Viagem, Recife - PE, 51020-350"/>
    <x v="6"/>
    <s v="RODRIGO MENDES"/>
    <x v="0"/>
    <n v="56"/>
    <x v="1"/>
    <n v="9200"/>
    <d v="2020-02-10T00:00:00"/>
    <x v="1"/>
    <x v="4"/>
  </r>
  <r>
    <x v="10"/>
    <n v="750"/>
    <n v="1"/>
    <s v="R. Dr. Antônio Castro Prado, 422 - Vila Rossi e Borchi, Campinas - SP, 13076-130"/>
    <x v="0"/>
    <s v="DEBORA SILVA"/>
    <x v="1"/>
    <n v="61"/>
    <x v="1"/>
    <n v="750"/>
    <d v="2020-06-09T00:00:00"/>
    <x v="1"/>
    <x v="3"/>
  </r>
  <r>
    <x v="18"/>
    <n v="2500"/>
    <n v="3"/>
    <s v="Av. Borges de Medeiros, 3120 - Praia de Belas, Porto Alegre - RS, 90110-150"/>
    <x v="8"/>
    <s v="NATHALIA VENTURA"/>
    <x v="1"/>
    <n v="27"/>
    <x v="2"/>
    <n v="7500"/>
    <d v="2020-01-27T00:00:00"/>
    <x v="1"/>
    <x v="5"/>
  </r>
  <r>
    <x v="3"/>
    <n v="1500"/>
    <n v="4"/>
    <s v="Av. Dom Luís, 500 - Aldeota, Fortaleza - CE, 60160-230"/>
    <x v="2"/>
    <s v="WILSON BRANDÃO"/>
    <x v="0"/>
    <n v="74"/>
    <x v="1"/>
    <n v="6000"/>
    <d v="2020-05-21T00:00:00"/>
    <x v="1"/>
    <x v="11"/>
  </r>
  <r>
    <x v="11"/>
    <n v="2000"/>
    <n v="2"/>
    <s v="R. Dr. Antônio Castro Prado, 422 - Vila Rossi e Borchi, Campinas - SP, 13076-130"/>
    <x v="0"/>
    <s v="PEDRO COSTA"/>
    <x v="0"/>
    <n v="47"/>
    <x v="0"/>
    <n v="4000"/>
    <d v="2020-09-23T00:00:00"/>
    <x v="1"/>
    <x v="1"/>
  </r>
  <r>
    <x v="22"/>
    <n v="2400"/>
    <n v="4"/>
    <s v="R. Dr. Antônio Castro Prado, 422 - Vila Rossi e Borchi, Campinas - SP, 13076-130"/>
    <x v="0"/>
    <s v="VICTOR FIRMINO"/>
    <x v="0"/>
    <n v="43"/>
    <x v="0"/>
    <n v="9600"/>
    <d v="2020-04-25T00:00:00"/>
    <x v="1"/>
    <x v="2"/>
  </r>
  <r>
    <x v="10"/>
    <n v="750"/>
    <n v="5"/>
    <s v="R. Dr. Antônio Castro Prado, 422 - Vila Rossi e Borchi, Campinas - SP, 13076-130"/>
    <x v="0"/>
    <s v="JOSÉ MARQUES"/>
    <x v="0"/>
    <n v="37"/>
    <x v="0"/>
    <n v="3750"/>
    <d v="2020-05-24T00:00:00"/>
    <x v="1"/>
    <x v="11"/>
  </r>
  <r>
    <x v="8"/>
    <n v="1400"/>
    <n v="5"/>
    <s v="R. Luíz Faccini, 212 - Centro, Guarulhos - SP, 07110-000"/>
    <x v="0"/>
    <s v="MARCELO ROSA"/>
    <x v="0"/>
    <n v="26"/>
    <x v="2"/>
    <n v="7000"/>
    <d v="2020-07-19T00:00:00"/>
    <x v="1"/>
    <x v="0"/>
  </r>
  <r>
    <x v="23"/>
    <n v="1100"/>
    <n v="2"/>
    <s v="R. Luíz Faccini, 212 - Centro, Guarulhos - SP, 07110-000"/>
    <x v="0"/>
    <s v="LÁZARO VILLANOVA"/>
    <x v="0"/>
    <n v="71"/>
    <x v="1"/>
    <n v="2200"/>
    <d v="2020-11-15T00:00:00"/>
    <x v="1"/>
    <x v="10"/>
  </r>
  <r>
    <x v="10"/>
    <n v="750"/>
    <n v="1"/>
    <s v="Rua Quinze de Novembro, 8 - Loja 301a Loja 301b - Centro, Niterói - RJ, 24020-125"/>
    <x v="1"/>
    <s v="CLARISSA SANTOS"/>
    <x v="1"/>
    <n v="71"/>
    <x v="1"/>
    <n v="750"/>
    <d v="2020-09-22T00:00:00"/>
    <x v="1"/>
    <x v="1"/>
  </r>
  <r>
    <x v="23"/>
    <n v="1100"/>
    <n v="3"/>
    <s v="R. Teodoro Sampaio, 954 - Pinheiros, São Paulo - SP, 05406-050"/>
    <x v="0"/>
    <s v="MATHEUS FIGUEIREDO"/>
    <x v="0"/>
    <n v="48"/>
    <x v="0"/>
    <n v="3300"/>
    <d v="2020-02-20T00:00:00"/>
    <x v="1"/>
    <x v="4"/>
  </r>
  <r>
    <x v="3"/>
    <n v="1500"/>
    <n v="3"/>
    <s v="Av. Barão Homem de Melo, 1389 - Nova Granada, Belo Horizonte - MG, 30431-425"/>
    <x v="7"/>
    <s v="CLARA SILVEIRA"/>
    <x v="1"/>
    <n v="39"/>
    <x v="0"/>
    <n v="4500"/>
    <d v="2020-07-07T00:00:00"/>
    <x v="1"/>
    <x v="0"/>
  </r>
  <r>
    <x v="4"/>
    <n v="700"/>
    <n v="3"/>
    <s v="R. Brasílio Itiberê, 3279 - Água Verde, Curitiba - PR, 80250-160"/>
    <x v="3"/>
    <s v="CARLOS AZEVEDO"/>
    <x v="0"/>
    <n v="34"/>
    <x v="0"/>
    <n v="2100"/>
    <d v="2020-09-26T00:00:00"/>
    <x v="1"/>
    <x v="1"/>
  </r>
  <r>
    <x v="20"/>
    <n v="5500"/>
    <n v="5"/>
    <s v="Av. Mal. Floriano Peixoto, 2248-2258 - Centro, Nova Iguaçu - RJ, 26210-000"/>
    <x v="1"/>
    <s v="JUAN FERNANDES"/>
    <x v="0"/>
    <n v="40"/>
    <x v="0"/>
    <n v="27500"/>
    <d v="2020-08-04T00:00:00"/>
    <x v="1"/>
    <x v="7"/>
  </r>
  <r>
    <x v="16"/>
    <n v="1200"/>
    <n v="2"/>
    <s v="Shopping Barra - Av. Centenário, 2992 - Barra, Salvador - BA, 40155-150"/>
    <x v="5"/>
    <s v="GUILHERME CASTILHO"/>
    <x v="0"/>
    <n v="55"/>
    <x v="1"/>
    <n v="2400"/>
    <d v="2020-01-10T00:00:00"/>
    <x v="1"/>
    <x v="5"/>
  </r>
  <r>
    <x v="23"/>
    <n v="1100"/>
    <n v="4"/>
    <s v="Shopping Barra - Av. Centenário, 2992 - Barra, Salvador - BA, 40155-150"/>
    <x v="5"/>
    <s v="JULIA TEIXEIRA"/>
    <x v="1"/>
    <n v="25"/>
    <x v="2"/>
    <n v="4400"/>
    <d v="2020-06-08T00:00:00"/>
    <x v="1"/>
    <x v="3"/>
  </r>
  <r>
    <x v="17"/>
    <n v="2300"/>
    <n v="3"/>
    <s v="Rua Quinze de Novembro, 8 - Loja 301a Loja 301b - Centro, Niterói - RJ, 24020-125"/>
    <x v="1"/>
    <s v="MICHELLE MIURA"/>
    <x v="1"/>
    <n v="59"/>
    <x v="1"/>
    <n v="6900"/>
    <d v="2020-10-05T00:00:00"/>
    <x v="1"/>
    <x v="6"/>
  </r>
  <r>
    <x v="3"/>
    <n v="1500"/>
    <n v="1"/>
    <s v="Shopping Barra - Av. Centenário, 2992 - Barra, Salvador - BA, 40155-150"/>
    <x v="5"/>
    <s v="ROGÉRIO GENTILE"/>
    <x v="0"/>
    <n v="27"/>
    <x v="2"/>
    <n v="1500"/>
    <d v="2020-05-10T00:00:00"/>
    <x v="1"/>
    <x v="11"/>
  </r>
  <r>
    <x v="13"/>
    <n v="1550"/>
    <n v="4"/>
    <s v="Av. Borges de Medeiros, 3120 - Praia de Belas, Porto Alegre - RS, 90110-150"/>
    <x v="8"/>
    <s v="PAULA ISBELLE"/>
    <x v="1"/>
    <n v="61"/>
    <x v="1"/>
    <n v="6200"/>
    <d v="2020-01-23T00:00:00"/>
    <x v="1"/>
    <x v="5"/>
  </r>
  <r>
    <x v="15"/>
    <n v="3000"/>
    <n v="5"/>
    <s v="Rua Antônio Lumack do Monte, 203 - 1 - Boa Viagem, Recife - PE, 51020-350"/>
    <x v="6"/>
    <s v="ISABELLA SANTOS"/>
    <x v="1"/>
    <n v="47"/>
    <x v="0"/>
    <n v="15000"/>
    <d v="2020-08-18T00:00:00"/>
    <x v="1"/>
    <x v="7"/>
  </r>
  <r>
    <x v="8"/>
    <n v="1400"/>
    <n v="3"/>
    <s v="Av. Barão Homem de Melo, 1389 - Nova Granada, Belo Horizonte - MG, 30431-425"/>
    <x v="7"/>
    <s v="VICTOR GOMES"/>
    <x v="0"/>
    <n v="71"/>
    <x v="1"/>
    <n v="4200"/>
    <d v="2020-12-21T00:00:00"/>
    <x v="1"/>
    <x v="8"/>
  </r>
  <r>
    <x v="19"/>
    <n v="1750"/>
    <n v="5"/>
    <s v="R. Dr. Antônio Castro Prado, 422 - Vila Rossi e Borchi, Campinas - SP, 13076-130"/>
    <x v="0"/>
    <s v="CAIO AFFONSO"/>
    <x v="0"/>
    <n v="59"/>
    <x v="1"/>
    <n v="8750"/>
    <d v="2020-05-16T00:00:00"/>
    <x v="1"/>
    <x v="11"/>
  </r>
  <r>
    <x v="6"/>
    <n v="6500"/>
    <n v="5"/>
    <s v="Rua Antônio Lumack do Monte, 203 - 1 - Boa Viagem, Recife - PE, 51020-350"/>
    <x v="6"/>
    <s v="RAÍSA RODRIGUES"/>
    <x v="1"/>
    <n v="68"/>
    <x v="1"/>
    <n v="32500"/>
    <d v="2020-01-20T00:00:00"/>
    <x v="1"/>
    <x v="5"/>
  </r>
  <r>
    <x v="7"/>
    <n v="2600"/>
    <n v="4"/>
    <s v="Av. Goiás Norte, 3.592 - quadra 2.1 - St. Mal. Rondon, Goiânia - GO, 74063-010"/>
    <x v="4"/>
    <s v="LUIS SILVA"/>
    <x v="1"/>
    <n v="27"/>
    <x v="2"/>
    <n v="10400"/>
    <d v="2020-08-15T00:00:00"/>
    <x v="1"/>
    <x v="7"/>
  </r>
  <r>
    <x v="14"/>
    <n v="1500"/>
    <n v="1"/>
    <s v="Shopping Barra - Av. Centenário, 2992 - Barra, Salvador - BA, 40155-150"/>
    <x v="5"/>
    <s v="DÉBORA LOPES"/>
    <x v="1"/>
    <n v="44"/>
    <x v="0"/>
    <n v="1500"/>
    <d v="2020-04-29T00:00:00"/>
    <x v="1"/>
    <x v="2"/>
  </r>
  <r>
    <x v="16"/>
    <n v="1200"/>
    <n v="5"/>
    <s v="R. Visc. de Pirajá, 136 - Ipanema, Rio de Janeiro - RJ, 22410-000"/>
    <x v="1"/>
    <s v="JULIANA CORREA"/>
    <x v="1"/>
    <n v="69"/>
    <x v="1"/>
    <n v="6000"/>
    <d v="2020-09-20T00:00:00"/>
    <x v="1"/>
    <x v="1"/>
  </r>
  <r>
    <x v="15"/>
    <n v="3000"/>
    <n v="3"/>
    <s v="R. Luíz Faccini, 212 - Centro, Guarulhos - SP, 07110-000"/>
    <x v="0"/>
    <s v="RILSON DIAS"/>
    <x v="0"/>
    <n v="74"/>
    <x v="1"/>
    <n v="9000"/>
    <d v="2020-05-05T00:00:00"/>
    <x v="1"/>
    <x v="11"/>
  </r>
  <r>
    <x v="5"/>
    <n v="1450"/>
    <n v="2"/>
    <s v="R. Dr. Antônio Castro Prado, 422 - Vila Rossi e Borchi, Campinas - SP, 13076-130"/>
    <x v="0"/>
    <s v="VANESSA BACH"/>
    <x v="1"/>
    <n v="50"/>
    <x v="0"/>
    <n v="2900"/>
    <d v="2020-01-23T00:00:00"/>
    <x v="1"/>
    <x v="5"/>
  </r>
  <r>
    <x v="0"/>
    <n v="4500"/>
    <n v="1"/>
    <s v="Av. Barão Homem de Melo, 1389 - Nova Granada, Belo Horizonte - MG, 30431-425"/>
    <x v="7"/>
    <s v="MARIA COSTA"/>
    <x v="1"/>
    <n v="54"/>
    <x v="1"/>
    <n v="4500"/>
    <d v="2020-10-26T00:00:00"/>
    <x v="1"/>
    <x v="6"/>
  </r>
  <r>
    <x v="16"/>
    <n v="1200"/>
    <n v="4"/>
    <s v="Av. Mal. Floriano Peixoto, 2248-2258 - Centro, Nova Iguaçu - RJ, 26210-000"/>
    <x v="1"/>
    <s v="LUCAS CAVALCANTI"/>
    <x v="0"/>
    <n v="34"/>
    <x v="0"/>
    <n v="4800"/>
    <d v="2020-06-30T00:00:00"/>
    <x v="1"/>
    <x v="3"/>
  </r>
  <r>
    <x v="2"/>
    <n v="1900"/>
    <n v="3"/>
    <s v="R. Teodoro Sampaio, 954 - Pinheiros, São Paulo - SP, 05406-050"/>
    <x v="0"/>
    <s v="AMANDA MACHADO"/>
    <x v="1"/>
    <n v="57"/>
    <x v="1"/>
    <n v="5700"/>
    <d v="2020-11-15T00:00:00"/>
    <x v="1"/>
    <x v="10"/>
  </r>
  <r>
    <x v="6"/>
    <n v="6500"/>
    <n v="2"/>
    <s v="Rua Quinze de Novembro, 8 - Loja 301a Loja 301b - Centro, Niterói - RJ, 24020-125"/>
    <x v="1"/>
    <s v="ULISSES QUINTO"/>
    <x v="0"/>
    <n v="69"/>
    <x v="1"/>
    <n v="13000"/>
    <d v="2020-08-04T00:00:00"/>
    <x v="1"/>
    <x v="7"/>
  </r>
  <r>
    <x v="14"/>
    <n v="1500"/>
    <n v="3"/>
    <s v="R. Luíz Faccini, 212 - Centro, Guarulhos - SP, 07110-000"/>
    <x v="0"/>
    <s v="CAROLL JOHNSON"/>
    <x v="1"/>
    <n v="35"/>
    <x v="0"/>
    <n v="4500"/>
    <d v="2020-10-01T00:00:00"/>
    <x v="1"/>
    <x v="6"/>
  </r>
  <r>
    <x v="2"/>
    <n v="1900"/>
    <n v="2"/>
    <s v="Rua Antônio Lumack do Monte, 203 - 1 - Boa Viagem, Recife - PE, 51020-350"/>
    <x v="6"/>
    <s v="LUIZA CABRAL"/>
    <x v="1"/>
    <n v="32"/>
    <x v="0"/>
    <n v="3800"/>
    <d v="2020-07-07T00:00:00"/>
    <x v="1"/>
    <x v="0"/>
  </r>
  <r>
    <x v="19"/>
    <n v="1750"/>
    <n v="5"/>
    <s v="Av. Barão Homem de Melo, 1389 - Nova Granada, Belo Horizonte - MG, 30431-425"/>
    <x v="7"/>
    <s v="CARLOS MESQUITA"/>
    <x v="0"/>
    <n v="38"/>
    <x v="0"/>
    <n v="8750"/>
    <d v="2020-03-10T00:00:00"/>
    <x v="1"/>
    <x v="9"/>
  </r>
  <r>
    <x v="7"/>
    <n v="2600"/>
    <n v="2"/>
    <s v="R. Luíz Faccini, 212 - Centro, Guarulhos - SP, 07110-000"/>
    <x v="0"/>
    <s v="LUIS GARCIA"/>
    <x v="1"/>
    <n v="29"/>
    <x v="2"/>
    <n v="5200"/>
    <d v="2020-08-19T00:00:00"/>
    <x v="1"/>
    <x v="7"/>
  </r>
  <r>
    <x v="2"/>
    <n v="1900"/>
    <n v="5"/>
    <s v="Av. Goiás Norte, 3.592 - quadra 2.1 - St. Mal. Rondon, Goiânia - GO, 74063-010"/>
    <x v="4"/>
    <s v="LEANDRO FERREIRA"/>
    <x v="0"/>
    <n v="38"/>
    <x v="0"/>
    <n v="9500"/>
    <d v="2020-10-28T00:00:00"/>
    <x v="1"/>
    <x v="6"/>
  </r>
  <r>
    <x v="3"/>
    <n v="1500"/>
    <n v="2"/>
    <s v="Av. Borges de Medeiros, 3120 - Praia de Belas, Porto Alegre - RS, 90110-150"/>
    <x v="8"/>
    <s v="GUSTAVO GUIMARÃES"/>
    <x v="0"/>
    <n v="47"/>
    <x v="0"/>
    <n v="3000"/>
    <d v="2020-08-20T00:00:00"/>
    <x v="1"/>
    <x v="7"/>
  </r>
  <r>
    <x v="18"/>
    <n v="2500"/>
    <n v="5"/>
    <s v="R. Dr. Antônio Castro Prado, 422 - Vila Rossi e Borchi, Campinas - SP, 13076-130"/>
    <x v="0"/>
    <s v="BRENNO SANTOS"/>
    <x v="0"/>
    <n v="71"/>
    <x v="1"/>
    <n v="12500"/>
    <d v="2020-02-21T00:00:00"/>
    <x v="1"/>
    <x v="4"/>
  </r>
  <r>
    <x v="12"/>
    <n v="1500"/>
    <n v="4"/>
    <s v="Av. Dom Luís, 500 - Aldeota, Fortaleza - CE, 60160-230"/>
    <x v="2"/>
    <s v="IZABEL LOPES"/>
    <x v="1"/>
    <n v="27"/>
    <x v="2"/>
    <n v="6000"/>
    <d v="2020-09-26T00:00:00"/>
    <x v="1"/>
    <x v="1"/>
  </r>
  <r>
    <x v="13"/>
    <n v="1550"/>
    <n v="3"/>
    <s v="Av. Borges de Medeiros, 3120 - Praia de Belas, Porto Alegre - RS, 90110-150"/>
    <x v="8"/>
    <s v="MATHEUS GOMES"/>
    <x v="0"/>
    <n v="64"/>
    <x v="1"/>
    <n v="4650"/>
    <d v="2020-02-25T00:00:00"/>
    <x v="1"/>
    <x v="4"/>
  </r>
  <r>
    <x v="2"/>
    <n v="1900"/>
    <n v="5"/>
    <s v="Rua Quinze de Novembro, 8 - Loja 301a Loja 301b - Centro, Niterói - RJ, 24020-125"/>
    <x v="1"/>
    <s v="CÍCERO LIMA"/>
    <x v="0"/>
    <n v="74"/>
    <x v="1"/>
    <n v="9500"/>
    <d v="2020-02-14T00:00:00"/>
    <x v="1"/>
    <x v="4"/>
  </r>
  <r>
    <x v="1"/>
    <n v="1400"/>
    <n v="3"/>
    <s v="R. Brasílio Itiberê, 3279 - Água Verde, Curitiba - PR, 80250-160"/>
    <x v="3"/>
    <s v="PATRÍCIA AMARAL"/>
    <x v="1"/>
    <n v="35"/>
    <x v="0"/>
    <n v="4200"/>
    <d v="2020-10-29T00:00:00"/>
    <x v="1"/>
    <x v="6"/>
  </r>
  <r>
    <x v="23"/>
    <n v="1100"/>
    <n v="5"/>
    <s v="R. Dr. Antônio Castro Prado, 422 - Vila Rossi e Borchi, Campinas - SP, 13076-130"/>
    <x v="0"/>
    <s v="ANTÔNIO OLIVEIRA"/>
    <x v="0"/>
    <n v="53"/>
    <x v="1"/>
    <n v="5500"/>
    <d v="2020-02-02T00:00:00"/>
    <x v="1"/>
    <x v="4"/>
  </r>
  <r>
    <x v="9"/>
    <n v="2000"/>
    <n v="1"/>
    <s v="R. Teodoro Sampaio, 954 - Pinheiros, São Paulo - SP, 05406-050"/>
    <x v="0"/>
    <s v="MATHEUS SOUZA"/>
    <x v="0"/>
    <n v="51"/>
    <x v="1"/>
    <n v="2000"/>
    <d v="2020-01-28T00:00:00"/>
    <x v="1"/>
    <x v="5"/>
  </r>
  <r>
    <x v="7"/>
    <n v="2600"/>
    <n v="5"/>
    <s v="R. Dr. Antônio Castro Prado, 422 - Vila Rossi e Borchi, Campinas - SP, 13076-130"/>
    <x v="0"/>
    <s v="JONATAS PASSOS"/>
    <x v="0"/>
    <n v="52"/>
    <x v="1"/>
    <n v="13000"/>
    <d v="2020-11-12T00:00:00"/>
    <x v="1"/>
    <x v="10"/>
  </r>
  <r>
    <x v="22"/>
    <n v="2400"/>
    <n v="2"/>
    <s v="Av. Dom Luís, 500 - Aldeota, Fortaleza - CE, 60160-230"/>
    <x v="2"/>
    <s v="IZABEL LOPES"/>
    <x v="1"/>
    <n v="27"/>
    <x v="2"/>
    <n v="4800"/>
    <d v="2020-11-23T00:00:00"/>
    <x v="1"/>
    <x v="10"/>
  </r>
  <r>
    <x v="2"/>
    <n v="1900"/>
    <n v="4"/>
    <s v="Av. Dom Luís, 500 - Aldeota, Fortaleza - CE, 60160-230"/>
    <x v="2"/>
    <s v="CARLA ZAKHM"/>
    <x v="1"/>
    <n v="35"/>
    <x v="0"/>
    <n v="7600"/>
    <d v="2020-06-01T00:00:00"/>
    <x v="1"/>
    <x v="3"/>
  </r>
  <r>
    <x v="7"/>
    <n v="2600"/>
    <n v="5"/>
    <s v="R. Luíz Faccini, 212 - Centro, Guarulhos - SP, 07110-000"/>
    <x v="0"/>
    <s v="CAROLINE CAVALCANTI"/>
    <x v="1"/>
    <n v="37"/>
    <x v="0"/>
    <n v="13000"/>
    <d v="2020-11-29T00:00:00"/>
    <x v="1"/>
    <x v="10"/>
  </r>
  <r>
    <x v="16"/>
    <n v="1200"/>
    <n v="3"/>
    <s v="Av. Mal. Floriano Peixoto, 2248-2258 - Centro, Nova Iguaçu - RJ, 26210-000"/>
    <x v="1"/>
    <s v="ANDRESSA ROTSZTEJN"/>
    <x v="1"/>
    <n v="48"/>
    <x v="0"/>
    <n v="3600"/>
    <d v="2020-07-25T00:00:00"/>
    <x v="1"/>
    <x v="0"/>
  </r>
  <r>
    <x v="18"/>
    <n v="2500"/>
    <n v="3"/>
    <s v="Av. Barão Homem de Melo, 1389 - Nova Granada, Belo Horizonte - MG, 30431-425"/>
    <x v="7"/>
    <s v="ANA SOLEDADE"/>
    <x v="1"/>
    <n v="76"/>
    <x v="1"/>
    <n v="7500"/>
    <d v="2020-08-30T00:00:00"/>
    <x v="1"/>
    <x v="7"/>
  </r>
  <r>
    <x v="7"/>
    <n v="2600"/>
    <n v="3"/>
    <s v="R. Dr. Antônio Castro Prado, 422 - Vila Rossi e Borchi, Campinas - SP, 13076-130"/>
    <x v="0"/>
    <s v="BEATRIZ ALMEIDA"/>
    <x v="1"/>
    <n v="39"/>
    <x v="0"/>
    <n v="7800"/>
    <d v="2020-10-10T00:00:00"/>
    <x v="1"/>
    <x v="6"/>
  </r>
  <r>
    <x v="20"/>
    <n v="5500"/>
    <n v="1"/>
    <s v="Shopping Barra - Av. Centenário, 2992 - Barra, Salvador - BA, 40155-150"/>
    <x v="5"/>
    <s v="LUCAS LACERDA"/>
    <x v="0"/>
    <n v="25"/>
    <x v="2"/>
    <n v="5500"/>
    <d v="2020-08-31T00:00:00"/>
    <x v="1"/>
    <x v="7"/>
  </r>
  <r>
    <x v="16"/>
    <n v="1200"/>
    <n v="1"/>
    <s v="R. Luíz Faccini, 212 - Centro, Guarulhos - SP, 07110-000"/>
    <x v="0"/>
    <s v="AMANDA PROCACI"/>
    <x v="1"/>
    <n v="34"/>
    <x v="0"/>
    <n v="1200"/>
    <d v="2020-12-08T00:00:00"/>
    <x v="1"/>
    <x v="8"/>
  </r>
  <r>
    <x v="9"/>
    <n v="2000"/>
    <n v="3"/>
    <s v="R. Dr. Antônio Castro Prado, 422 - Vila Rossi e Borchi, Campinas - SP, 13076-130"/>
    <x v="0"/>
    <s v="RAPHAEL FILHO"/>
    <x v="0"/>
    <n v="65"/>
    <x v="1"/>
    <n v="6000"/>
    <d v="2020-09-04T00:00:00"/>
    <x v="1"/>
    <x v="1"/>
  </r>
  <r>
    <x v="9"/>
    <n v="2000"/>
    <n v="1"/>
    <s v="Rua Antônio Lumack do Monte, 203 - 1 - Boa Viagem, Recife - PE, 51020-350"/>
    <x v="6"/>
    <s v="LUIZA FARIAS"/>
    <x v="1"/>
    <n v="54"/>
    <x v="1"/>
    <n v="2000"/>
    <d v="2020-11-20T00:00:00"/>
    <x v="1"/>
    <x v="10"/>
  </r>
  <r>
    <x v="23"/>
    <n v="1100"/>
    <n v="3"/>
    <s v="R. Teodoro Sampaio, 954 - Pinheiros, São Paulo - SP, 05406-050"/>
    <x v="0"/>
    <s v="JÉSSICA TEIXEIRA"/>
    <x v="1"/>
    <n v="33"/>
    <x v="0"/>
    <n v="3300"/>
    <d v="2020-03-17T00:00:00"/>
    <x v="1"/>
    <x v="9"/>
  </r>
  <r>
    <x v="3"/>
    <n v="1500"/>
    <n v="4"/>
    <s v="Av. Dom Luís, 500 - Aldeota, Fortaleza - CE, 60160-230"/>
    <x v="2"/>
    <s v="LUÃ SÁ"/>
    <x v="0"/>
    <n v="50"/>
    <x v="0"/>
    <n v="6000"/>
    <d v="2020-08-24T00:00:00"/>
    <x v="1"/>
    <x v="7"/>
  </r>
  <r>
    <x v="4"/>
    <n v="700"/>
    <n v="5"/>
    <s v="Av. Dom Luís, 500 - Aldeota, Fortaleza - CE, 60160-230"/>
    <x v="2"/>
    <s v="IZABEL LOPES"/>
    <x v="1"/>
    <n v="27"/>
    <x v="2"/>
    <n v="3500"/>
    <d v="2020-10-10T00:00:00"/>
    <x v="1"/>
    <x v="6"/>
  </r>
  <r>
    <x v="3"/>
    <n v="1500"/>
    <n v="1"/>
    <s v="R. Brasílio Itiberê, 3279 - Água Verde, Curitiba - PR, 80250-160"/>
    <x v="3"/>
    <s v="LEANDRO MELO"/>
    <x v="0"/>
    <n v="27"/>
    <x v="2"/>
    <n v="1500"/>
    <d v="2020-11-29T00:00:00"/>
    <x v="1"/>
    <x v="10"/>
  </r>
  <r>
    <x v="9"/>
    <n v="2000"/>
    <n v="1"/>
    <s v="Av. Dom Luís, 500 - Aldeota, Fortaleza - CE, 60160-230"/>
    <x v="2"/>
    <s v="GUSTAVO ACCARDO"/>
    <x v="0"/>
    <n v="50"/>
    <x v="0"/>
    <n v="2000"/>
    <d v="2020-03-25T00:00:00"/>
    <x v="1"/>
    <x v="9"/>
  </r>
  <r>
    <x v="5"/>
    <n v="1450"/>
    <n v="5"/>
    <s v="Av. Barão Homem de Melo, 1389 - Nova Granada, Belo Horizonte - MG, 30431-425"/>
    <x v="7"/>
    <s v="LUCAS REIS"/>
    <x v="0"/>
    <n v="67"/>
    <x v="1"/>
    <n v="7250"/>
    <d v="2020-02-10T00:00:00"/>
    <x v="1"/>
    <x v="4"/>
  </r>
  <r>
    <x v="23"/>
    <n v="1100"/>
    <n v="4"/>
    <s v="R. Teodoro Sampaio, 954 - Pinheiros, São Paulo - SP, 05406-050"/>
    <x v="0"/>
    <s v="MIGUEL CARNEIRO"/>
    <x v="0"/>
    <n v="45"/>
    <x v="0"/>
    <n v="4400"/>
    <d v="2020-03-08T00:00:00"/>
    <x v="1"/>
    <x v="9"/>
  </r>
  <r>
    <x v="15"/>
    <n v="3000"/>
    <n v="3"/>
    <s v="R. Luíz Faccini, 212 - Centro, Guarulhos - SP, 07110-000"/>
    <x v="0"/>
    <s v="MARINA GAMA"/>
    <x v="1"/>
    <n v="68"/>
    <x v="1"/>
    <n v="9000"/>
    <d v="2020-05-16T00:00:00"/>
    <x v="1"/>
    <x v="11"/>
  </r>
  <r>
    <x v="3"/>
    <n v="1500"/>
    <n v="3"/>
    <s v="Rua Quinze de Novembro, 8 - Loja 301a Loja 301b - Centro, Niterói - RJ, 24020-125"/>
    <x v="1"/>
    <s v="BEATRIZ CAVALCANTI"/>
    <x v="1"/>
    <n v="38"/>
    <x v="0"/>
    <n v="4500"/>
    <d v="2020-05-18T00:00:00"/>
    <x v="1"/>
    <x v="11"/>
  </r>
  <r>
    <x v="10"/>
    <n v="750"/>
    <n v="1"/>
    <s v="Av. Borges de Medeiros, 3120 - Praia de Belas, Porto Alegre - RS, 90110-150"/>
    <x v="8"/>
    <s v="LIVIA CORRÊA"/>
    <x v="1"/>
    <n v="38"/>
    <x v="0"/>
    <n v="750"/>
    <d v="2020-05-27T00:00:00"/>
    <x v="1"/>
    <x v="11"/>
  </r>
  <r>
    <x v="6"/>
    <n v="6500"/>
    <n v="1"/>
    <s v="R. Dr. Antônio Castro Prado, 422 - Vila Rossi e Borchi, Campinas - SP, 13076-130"/>
    <x v="0"/>
    <s v="AMANDA ROBERTO"/>
    <x v="1"/>
    <n v="41"/>
    <x v="0"/>
    <n v="6500"/>
    <d v="2020-10-07T00:00:00"/>
    <x v="1"/>
    <x v="6"/>
  </r>
  <r>
    <x v="22"/>
    <n v="2400"/>
    <n v="4"/>
    <s v="R. Luíz Faccini, 212 - Centro, Guarulhos - SP, 07110-000"/>
    <x v="0"/>
    <s v="BEATRIZ RODRIGUES"/>
    <x v="1"/>
    <n v="44"/>
    <x v="0"/>
    <n v="9600"/>
    <d v="2020-12-27T00:00:00"/>
    <x v="1"/>
    <x v="8"/>
  </r>
  <r>
    <x v="7"/>
    <n v="2600"/>
    <n v="1"/>
    <s v="Shopping Barra - Av. Centenário, 2992 - Barra, Salvador - BA, 40155-150"/>
    <x v="5"/>
    <s v="CÍCERO RAMOS"/>
    <x v="0"/>
    <n v="62"/>
    <x v="1"/>
    <n v="2600"/>
    <d v="2020-08-03T00:00:00"/>
    <x v="1"/>
    <x v="7"/>
  </r>
  <r>
    <x v="19"/>
    <n v="1750"/>
    <n v="5"/>
    <s v="Av. Mal. Floriano Peixoto, 2248-2258 - Centro, Nova Iguaçu - RJ, 26210-000"/>
    <x v="1"/>
    <s v="MAURÍCIO DIAS"/>
    <x v="0"/>
    <n v="59"/>
    <x v="1"/>
    <n v="8750"/>
    <d v="2020-02-22T00:00:00"/>
    <x v="1"/>
    <x v="4"/>
  </r>
  <r>
    <x v="15"/>
    <n v="3000"/>
    <n v="4"/>
    <s v="R. Teodoro Sampaio, 954 - Pinheiros, São Paulo - SP, 05406-050"/>
    <x v="0"/>
    <s v="AMANDA MACHADO"/>
    <x v="1"/>
    <n v="57"/>
    <x v="1"/>
    <n v="12000"/>
    <d v="2020-08-09T00:00:00"/>
    <x v="1"/>
    <x v="7"/>
  </r>
  <r>
    <x v="12"/>
    <n v="1500"/>
    <n v="3"/>
    <s v="Av. Goiás Norte, 3.592 - quadra 2.1 - St. Mal. Rondon, Goiânia - GO, 74063-010"/>
    <x v="4"/>
    <s v="LEONARDO FERREIRA"/>
    <x v="0"/>
    <n v="47"/>
    <x v="0"/>
    <n v="4500"/>
    <d v="2020-10-07T00:00:00"/>
    <x v="1"/>
    <x v="6"/>
  </r>
  <r>
    <x v="7"/>
    <n v="2600"/>
    <n v="2"/>
    <s v="R. Teodoro Sampaio, 954 - Pinheiros, São Paulo - SP, 05406-050"/>
    <x v="0"/>
    <s v="NATÁLIA APPEL"/>
    <x v="1"/>
    <n v="51"/>
    <x v="1"/>
    <n v="5200"/>
    <d v="2020-03-22T00:00:00"/>
    <x v="1"/>
    <x v="9"/>
  </r>
  <r>
    <x v="10"/>
    <n v="750"/>
    <n v="1"/>
    <s v="Av. Mal. Floriano Peixoto, 2248-2258 - Centro, Nova Iguaçu - RJ, 26210-000"/>
    <x v="1"/>
    <s v="PLATINI HEIMLICH"/>
    <x v="0"/>
    <n v="48"/>
    <x v="0"/>
    <n v="750"/>
    <d v="2020-09-26T00:00:00"/>
    <x v="1"/>
    <x v="1"/>
  </r>
  <r>
    <x v="21"/>
    <n v="5200"/>
    <n v="4"/>
    <s v="Shopping Barra - Av. Centenário, 2992 - Barra, Salvador - BA, 40155-150"/>
    <x v="5"/>
    <s v="WILSON VIANNA"/>
    <x v="0"/>
    <n v="54"/>
    <x v="1"/>
    <n v="20800"/>
    <d v="2020-01-14T00:00:00"/>
    <x v="1"/>
    <x v="5"/>
  </r>
  <r>
    <x v="3"/>
    <n v="1500"/>
    <n v="1"/>
    <s v="R. Luíz Faccini, 212 - Centro, Guarulhos - SP, 07110-000"/>
    <x v="0"/>
    <s v="MATEUS POLASTRI"/>
    <x v="0"/>
    <n v="57"/>
    <x v="1"/>
    <n v="1500"/>
    <d v="2020-10-04T00:00:00"/>
    <x v="1"/>
    <x v="6"/>
  </r>
  <r>
    <x v="2"/>
    <n v="1900"/>
    <n v="4"/>
    <s v="Av. Borges de Medeiros, 3120 - Praia de Belas, Porto Alegre - RS, 90110-150"/>
    <x v="8"/>
    <s v="DIOGO RESSURREIÇÃO"/>
    <x v="0"/>
    <n v="70"/>
    <x v="1"/>
    <n v="7600"/>
    <d v="2020-04-15T00:00:00"/>
    <x v="1"/>
    <x v="2"/>
  </r>
  <r>
    <x v="1"/>
    <n v="1400"/>
    <n v="2"/>
    <s v="R. Visc. de Pirajá, 136 - Ipanema, Rio de Janeiro - RJ, 22410-000"/>
    <x v="1"/>
    <s v="JULIANA GOES"/>
    <x v="1"/>
    <n v="53"/>
    <x v="1"/>
    <n v="2800"/>
    <d v="2020-02-05T00:00:00"/>
    <x v="1"/>
    <x v="4"/>
  </r>
  <r>
    <x v="19"/>
    <n v="1750"/>
    <n v="4"/>
    <s v="R. Luíz Faccini, 212 - Centro, Guarulhos - SP, 07110-000"/>
    <x v="0"/>
    <s v="PEDRO BITENCOURT"/>
    <x v="0"/>
    <n v="43"/>
    <x v="0"/>
    <n v="7000"/>
    <d v="2020-01-09T00:00:00"/>
    <x v="1"/>
    <x v="5"/>
  </r>
  <r>
    <x v="3"/>
    <n v="1500"/>
    <n v="1"/>
    <s v="Av. Barão Homem de Melo, 1389 - Nova Granada, Belo Horizonte - MG, 30431-425"/>
    <x v="7"/>
    <s v="FELIPE FREITAS"/>
    <x v="0"/>
    <n v="36"/>
    <x v="0"/>
    <n v="1500"/>
    <d v="2020-12-10T00:00:00"/>
    <x v="1"/>
    <x v="8"/>
  </r>
  <r>
    <x v="0"/>
    <n v="4500"/>
    <n v="3"/>
    <s v="Shopping Barra - Av. Centenário, 2992 - Barra, Salvador - BA, 40155-150"/>
    <x v="5"/>
    <s v="GUSTAVO JUNIOR"/>
    <x v="0"/>
    <n v="69"/>
    <x v="1"/>
    <n v="13500"/>
    <d v="2020-03-27T00:00:00"/>
    <x v="1"/>
    <x v="9"/>
  </r>
  <r>
    <x v="15"/>
    <n v="3000"/>
    <n v="2"/>
    <s v="Rua Quinze de Novembro, 8 - Loja 301a Loja 301b - Centro, Niterói - RJ, 24020-125"/>
    <x v="1"/>
    <s v="LUCAS MONTE"/>
    <x v="0"/>
    <n v="46"/>
    <x v="0"/>
    <n v="6000"/>
    <d v="2020-07-27T00:00:00"/>
    <x v="1"/>
    <x v="0"/>
  </r>
  <r>
    <x v="8"/>
    <n v="1400"/>
    <n v="4"/>
    <s v="Rua Quinze de Novembro, 8 - Loja 301a Loja 301b - Centro, Niterói - RJ, 24020-125"/>
    <x v="1"/>
    <s v="THIAGO COSTA"/>
    <x v="0"/>
    <n v="73"/>
    <x v="1"/>
    <n v="5600"/>
    <d v="2020-07-02T00:00:00"/>
    <x v="1"/>
    <x v="0"/>
  </r>
  <r>
    <x v="20"/>
    <n v="5500"/>
    <n v="2"/>
    <s v="Av. Mal. Floriano Peixoto, 2248-2258 - Centro, Nova Iguaçu - RJ, 26210-000"/>
    <x v="1"/>
    <s v="CLÁUDIO ARAGÃO"/>
    <x v="0"/>
    <n v="61"/>
    <x v="1"/>
    <n v="11000"/>
    <d v="2020-05-06T00:00:00"/>
    <x v="1"/>
    <x v="11"/>
  </r>
  <r>
    <x v="13"/>
    <n v="1550"/>
    <n v="1"/>
    <s v="Av. Barão Homem de Melo, 1389 - Nova Granada, Belo Horizonte - MG, 30431-425"/>
    <x v="7"/>
    <s v="PEDRO CARDOSO"/>
    <x v="0"/>
    <n v="62"/>
    <x v="1"/>
    <n v="1550"/>
    <d v="2020-04-02T00:00:00"/>
    <x v="1"/>
    <x v="2"/>
  </r>
  <r>
    <x v="0"/>
    <n v="4500"/>
    <n v="5"/>
    <s v="Av. Mal. Floriano Peixoto, 2248-2258 - Centro, Nova Iguaçu - RJ, 26210-000"/>
    <x v="1"/>
    <s v="JOÃO JÚNIOR"/>
    <x v="0"/>
    <n v="49"/>
    <x v="0"/>
    <n v="22500"/>
    <d v="2020-05-06T00:00:00"/>
    <x v="1"/>
    <x v="11"/>
  </r>
  <r>
    <x v="18"/>
    <n v="2500"/>
    <n v="2"/>
    <s v="R. Brasílio Itiberê, 3279 - Água Verde, Curitiba - PR, 80250-160"/>
    <x v="3"/>
    <s v="JOÃO CAPITULO"/>
    <x v="0"/>
    <n v="72"/>
    <x v="1"/>
    <n v="5000"/>
    <d v="2020-04-02T00:00:00"/>
    <x v="1"/>
    <x v="2"/>
  </r>
  <r>
    <x v="8"/>
    <n v="1400"/>
    <n v="1"/>
    <s v="R. Dr. Antônio Castro Prado, 422 - Vila Rossi e Borchi, Campinas - SP, 13076-130"/>
    <x v="0"/>
    <s v="ANA MICHETTI"/>
    <x v="1"/>
    <n v="34"/>
    <x v="0"/>
    <n v="1400"/>
    <d v="2020-05-22T00:00:00"/>
    <x v="1"/>
    <x v="11"/>
  </r>
  <r>
    <x v="21"/>
    <n v="5200"/>
    <n v="3"/>
    <s v="Rua Quinze de Novembro, 8 - Loja 301a Loja 301b - Centro, Niterói - RJ, 24020-125"/>
    <x v="1"/>
    <s v="VICTOR OLIVEIRA"/>
    <x v="0"/>
    <n v="73"/>
    <x v="1"/>
    <n v="15600"/>
    <d v="2020-10-23T00:00:00"/>
    <x v="1"/>
    <x v="6"/>
  </r>
  <r>
    <x v="0"/>
    <n v="4500"/>
    <n v="4"/>
    <s v="Av. Mal. Floriano Peixoto, 2248-2258 - Centro, Nova Iguaçu - RJ, 26210-000"/>
    <x v="1"/>
    <s v="ADRIELLE GABRIEL"/>
    <x v="1"/>
    <n v="66"/>
    <x v="1"/>
    <n v="18000"/>
    <d v="2020-12-28T00:00:00"/>
    <x v="1"/>
    <x v="8"/>
  </r>
  <r>
    <x v="18"/>
    <n v="2500"/>
    <n v="2"/>
    <s v="Rua Quinze de Novembro, 8 - Loja 301a Loja 301b - Centro, Niterói - RJ, 24020-125"/>
    <x v="1"/>
    <s v="STEPHANIE OLIVEIRA"/>
    <x v="1"/>
    <n v="32"/>
    <x v="0"/>
    <n v="5000"/>
    <d v="2020-01-13T00:00:00"/>
    <x v="1"/>
    <x v="5"/>
  </r>
  <r>
    <x v="18"/>
    <n v="2500"/>
    <n v="3"/>
    <s v="Av. Goiás Norte, 3.592 - quadra 2.1 - St. Mal. Rondon, Goiânia - GO, 74063-010"/>
    <x v="4"/>
    <s v="BRENO GODOY"/>
    <x v="0"/>
    <n v="25"/>
    <x v="2"/>
    <n v="7500"/>
    <d v="2020-12-17T00:00:00"/>
    <x v="1"/>
    <x v="8"/>
  </r>
  <r>
    <x v="21"/>
    <n v="5200"/>
    <n v="3"/>
    <s v="Av. Borges de Medeiros, 3120 - Praia de Belas, Porto Alegre - RS, 90110-150"/>
    <x v="8"/>
    <s v="JUAN BARBOSA"/>
    <x v="0"/>
    <n v="61"/>
    <x v="1"/>
    <n v="15600"/>
    <d v="2020-10-18T00:00:00"/>
    <x v="1"/>
    <x v="6"/>
  </r>
  <r>
    <x v="12"/>
    <n v="1500"/>
    <n v="4"/>
    <s v="R. Visc. de Pirajá, 136 - Ipanema, Rio de Janeiro - RJ, 22410-000"/>
    <x v="1"/>
    <s v="CAROLINA MOTTA"/>
    <x v="1"/>
    <n v="29"/>
    <x v="2"/>
    <n v="6000"/>
    <d v="2020-08-20T00:00:00"/>
    <x v="1"/>
    <x v="7"/>
  </r>
  <r>
    <x v="19"/>
    <n v="1750"/>
    <n v="4"/>
    <s v="Shopping Barra - Av. Centenário, 2992 - Barra, Salvador - BA, 40155-150"/>
    <x v="5"/>
    <s v="JOÃO LUZ"/>
    <x v="0"/>
    <n v="25"/>
    <x v="2"/>
    <n v="7000"/>
    <d v="2020-09-26T00:00:00"/>
    <x v="1"/>
    <x v="1"/>
  </r>
  <r>
    <x v="12"/>
    <n v="1500"/>
    <n v="5"/>
    <s v="Av. Goiás Norte, 3.592 - quadra 2.1 - St. Mal. Rondon, Goiânia - GO, 74063-010"/>
    <x v="4"/>
    <s v="REBECA TAYLOR"/>
    <x v="1"/>
    <n v="41"/>
    <x v="0"/>
    <n v="7500"/>
    <d v="2020-12-26T00:00:00"/>
    <x v="1"/>
    <x v="8"/>
  </r>
  <r>
    <x v="10"/>
    <n v="750"/>
    <n v="5"/>
    <s v="R. Luíz Faccini, 212 - Centro, Guarulhos - SP, 07110-000"/>
    <x v="0"/>
    <s v="THALES PORTILLO"/>
    <x v="0"/>
    <n v="71"/>
    <x v="1"/>
    <n v="3750"/>
    <d v="2020-04-29T00:00:00"/>
    <x v="1"/>
    <x v="2"/>
  </r>
  <r>
    <x v="12"/>
    <n v="1500"/>
    <n v="4"/>
    <s v="R. Teodoro Sampaio, 954 - Pinheiros, São Paulo - SP, 05406-050"/>
    <x v="0"/>
    <s v="SAMARA PINTO"/>
    <x v="1"/>
    <n v="41"/>
    <x v="0"/>
    <n v="6000"/>
    <d v="2020-06-04T00:00:00"/>
    <x v="1"/>
    <x v="3"/>
  </r>
  <r>
    <x v="18"/>
    <n v="2500"/>
    <n v="3"/>
    <s v="Av. Borges de Medeiros, 3120 - Praia de Belas, Porto Alegre - RS, 90110-150"/>
    <x v="8"/>
    <s v="JÚLIO FRAGA"/>
    <x v="0"/>
    <n v="53"/>
    <x v="1"/>
    <n v="7500"/>
    <d v="2020-09-27T00:00:00"/>
    <x v="1"/>
    <x v="1"/>
  </r>
  <r>
    <x v="21"/>
    <n v="5200"/>
    <n v="3"/>
    <s v="Av. Goiás Norte, 3.592 - quadra 2.1 - St. Mal. Rondon, Goiânia - GO, 74063-010"/>
    <x v="4"/>
    <s v="LUCAS ASSUNÇÃO"/>
    <x v="0"/>
    <n v="71"/>
    <x v="1"/>
    <n v="15600"/>
    <d v="2020-11-30T00:00:00"/>
    <x v="1"/>
    <x v="10"/>
  </r>
  <r>
    <x v="14"/>
    <n v="1500"/>
    <n v="2"/>
    <s v="Av. Dom Luís, 500 - Aldeota, Fortaleza - CE, 60160-230"/>
    <x v="2"/>
    <s v="IZABEL LOPES"/>
    <x v="1"/>
    <n v="27"/>
    <x v="2"/>
    <n v="3000"/>
    <d v="2020-03-19T00:00:00"/>
    <x v="1"/>
    <x v="9"/>
  </r>
  <r>
    <x v="9"/>
    <n v="2000"/>
    <n v="5"/>
    <s v="R. Visc. de Pirajá, 136 - Ipanema, Rio de Janeiro - RJ, 22410-000"/>
    <x v="1"/>
    <s v="RODRIGO BRUNO"/>
    <x v="0"/>
    <n v="64"/>
    <x v="1"/>
    <n v="10000"/>
    <d v="2020-02-07T00:00:00"/>
    <x v="1"/>
    <x v="4"/>
  </r>
  <r>
    <x v="4"/>
    <n v="700"/>
    <n v="4"/>
    <s v="R. Luíz Faccini, 212 - Centro, Guarulhos - SP, 07110-000"/>
    <x v="0"/>
    <s v="JULIANA HUON"/>
    <x v="1"/>
    <n v="55"/>
    <x v="1"/>
    <n v="2800"/>
    <d v="2020-01-06T00:00:00"/>
    <x v="1"/>
    <x v="5"/>
  </r>
  <r>
    <x v="15"/>
    <n v="3000"/>
    <n v="4"/>
    <s v="Rua Quinze de Novembro, 8 - Loja 301a Loja 301b - Centro, Niterói - RJ, 24020-125"/>
    <x v="1"/>
    <s v="RENAN FIRMINO"/>
    <x v="0"/>
    <n v="73"/>
    <x v="1"/>
    <n v="12000"/>
    <d v="2020-07-30T00:00:00"/>
    <x v="1"/>
    <x v="0"/>
  </r>
  <r>
    <x v="15"/>
    <n v="3000"/>
    <n v="1"/>
    <s v="Av. Borges de Medeiros, 3120 - Praia de Belas, Porto Alegre - RS, 90110-150"/>
    <x v="8"/>
    <s v="BRUNA SILVEIRA"/>
    <x v="1"/>
    <n v="70"/>
    <x v="1"/>
    <n v="3000"/>
    <d v="2020-11-04T00:00:00"/>
    <x v="1"/>
    <x v="10"/>
  </r>
  <r>
    <x v="16"/>
    <n v="1200"/>
    <n v="5"/>
    <s v="Rua Quinze de Novembro, 8 - Loja 301a Loja 301b - Centro, Niterói - RJ, 24020-125"/>
    <x v="1"/>
    <s v="MARIA JUNIOR"/>
    <x v="1"/>
    <n v="67"/>
    <x v="1"/>
    <n v="6000"/>
    <d v="2020-09-30T00:00:00"/>
    <x v="1"/>
    <x v="1"/>
  </r>
  <r>
    <x v="11"/>
    <n v="2000"/>
    <n v="5"/>
    <s v="Rua Antônio Lumack do Monte, 203 - 1 - Boa Viagem, Recife - PE, 51020-350"/>
    <x v="6"/>
    <s v="LUCAS JUNIOR"/>
    <x v="0"/>
    <n v="35"/>
    <x v="0"/>
    <n v="10000"/>
    <d v="2020-03-25T00:00:00"/>
    <x v="1"/>
    <x v="9"/>
  </r>
  <r>
    <x v="21"/>
    <n v="5200"/>
    <n v="1"/>
    <s v="Rua Quinze de Novembro, 8 - Loja 301a Loja 301b - Centro, Niterói - RJ, 24020-125"/>
    <x v="1"/>
    <s v="BRUNO SALOMÃO"/>
    <x v="0"/>
    <n v="53"/>
    <x v="1"/>
    <n v="5200"/>
    <d v="2020-06-01T00:00:00"/>
    <x v="1"/>
    <x v="3"/>
  </r>
  <r>
    <x v="16"/>
    <n v="1200"/>
    <n v="5"/>
    <s v="Shopping Barra - Av. Centenário, 2992 - Barra, Salvador - BA, 40155-150"/>
    <x v="5"/>
    <s v="LUCAS LACERDA"/>
    <x v="0"/>
    <n v="25"/>
    <x v="2"/>
    <n v="6000"/>
    <d v="2020-11-05T00:00:00"/>
    <x v="1"/>
    <x v="10"/>
  </r>
  <r>
    <x v="12"/>
    <n v="1500"/>
    <n v="3"/>
    <s v="R. Teodoro Sampaio, 954 - Pinheiros, São Paulo - SP, 05406-050"/>
    <x v="0"/>
    <s v="MARIANA BARROZO"/>
    <x v="1"/>
    <n v="59"/>
    <x v="1"/>
    <n v="4500"/>
    <d v="2020-09-29T00:00:00"/>
    <x v="1"/>
    <x v="1"/>
  </r>
  <r>
    <x v="5"/>
    <n v="1450"/>
    <n v="2"/>
    <s v="Av. Dom Luís, 500 - Aldeota, Fortaleza - CE, 60160-230"/>
    <x v="2"/>
    <s v="JÚLIO FREIRE"/>
    <x v="0"/>
    <n v="28"/>
    <x v="2"/>
    <n v="2900"/>
    <d v="2020-11-24T00:00:00"/>
    <x v="1"/>
    <x v="10"/>
  </r>
  <r>
    <x v="15"/>
    <n v="3000"/>
    <n v="3"/>
    <s v="Av. Goiás Norte, 3.592 - quadra 2.1 - St. Mal. Rondon, Goiânia - GO, 74063-010"/>
    <x v="4"/>
    <s v="VICTOR CORRÊA"/>
    <x v="0"/>
    <n v="48"/>
    <x v="0"/>
    <n v="9000"/>
    <d v="2020-06-13T00:00:00"/>
    <x v="1"/>
    <x v="3"/>
  </r>
  <r>
    <x v="9"/>
    <n v="2000"/>
    <n v="5"/>
    <s v="Shopping Barra - Av. Centenário, 2992 - Barra, Salvador - BA, 40155-150"/>
    <x v="5"/>
    <s v="MARIA MELLO"/>
    <x v="1"/>
    <n v="67"/>
    <x v="1"/>
    <n v="10000"/>
    <d v="2020-11-03T00:00:00"/>
    <x v="1"/>
    <x v="10"/>
  </r>
  <r>
    <x v="20"/>
    <n v="5500"/>
    <n v="2"/>
    <s v="Av. Dom Luís, 500 - Aldeota, Fortaleza - CE, 60160-230"/>
    <x v="2"/>
    <s v="BEATRIZ BIASE"/>
    <x v="1"/>
    <n v="62"/>
    <x v="1"/>
    <n v="11000"/>
    <d v="2020-03-02T00:00:00"/>
    <x v="1"/>
    <x v="9"/>
  </r>
  <r>
    <x v="19"/>
    <n v="1750"/>
    <n v="1"/>
    <s v="Shopping Barra - Av. Centenário, 2992 - Barra, Salvador - BA, 40155-150"/>
    <x v="5"/>
    <s v="PAOLA ABREU"/>
    <x v="1"/>
    <n v="31"/>
    <x v="0"/>
    <n v="1750"/>
    <d v="2020-02-18T00:00:00"/>
    <x v="1"/>
    <x v="4"/>
  </r>
  <r>
    <x v="9"/>
    <n v="2000"/>
    <n v="4"/>
    <s v="Av. Mal. Floriano Peixoto, 2248-2258 - Centro, Nova Iguaçu - RJ, 26210-000"/>
    <x v="1"/>
    <s v="GUILHERME LIMA"/>
    <x v="0"/>
    <n v="54"/>
    <x v="1"/>
    <n v="8000"/>
    <d v="2020-01-12T00:00:00"/>
    <x v="1"/>
    <x v="5"/>
  </r>
  <r>
    <x v="11"/>
    <n v="2000"/>
    <n v="4"/>
    <s v="R. Brasílio Itiberê, 3279 - Água Verde, Curitiba - PR, 80250-160"/>
    <x v="3"/>
    <s v="ANNA SILVA"/>
    <x v="1"/>
    <n v="69"/>
    <x v="1"/>
    <n v="8000"/>
    <d v="2020-07-12T00:00:00"/>
    <x v="1"/>
    <x v="0"/>
  </r>
  <r>
    <x v="1"/>
    <n v="1400"/>
    <n v="2"/>
    <s v="R. Teodoro Sampaio, 954 - Pinheiros, São Paulo - SP, 05406-050"/>
    <x v="0"/>
    <s v="THALES FANARA"/>
    <x v="0"/>
    <n v="49"/>
    <x v="0"/>
    <n v="2800"/>
    <d v="2020-07-19T00:00:00"/>
    <x v="1"/>
    <x v="0"/>
  </r>
  <r>
    <x v="20"/>
    <n v="5500"/>
    <n v="4"/>
    <s v="R. Teodoro Sampaio, 954 - Pinheiros, São Paulo - SP, 05406-050"/>
    <x v="0"/>
    <s v="LUCAS ALMEIDA"/>
    <x v="0"/>
    <n v="48"/>
    <x v="0"/>
    <n v="22000"/>
    <d v="2020-11-27T00:00:00"/>
    <x v="1"/>
    <x v="10"/>
  </r>
  <r>
    <x v="5"/>
    <n v="1450"/>
    <n v="5"/>
    <s v="R. Brasílio Itiberê, 3279 - Água Verde, Curitiba - PR, 80250-160"/>
    <x v="3"/>
    <s v="PATRÍCIA AMARAL"/>
    <x v="1"/>
    <n v="35"/>
    <x v="0"/>
    <n v="7250"/>
    <d v="2020-03-11T00:00:00"/>
    <x v="1"/>
    <x v="9"/>
  </r>
  <r>
    <x v="15"/>
    <n v="3000"/>
    <n v="4"/>
    <s v="R. Visc. de Pirajá, 136 - Ipanema, Rio de Janeiro - RJ, 22410-000"/>
    <x v="1"/>
    <s v="RAVENA BHERING"/>
    <x v="1"/>
    <n v="42"/>
    <x v="0"/>
    <n v="12000"/>
    <d v="2020-10-19T00:00:00"/>
    <x v="1"/>
    <x v="6"/>
  </r>
  <r>
    <x v="23"/>
    <n v="1100"/>
    <n v="5"/>
    <s v="Rua Quinze de Novembro, 8 - Loja 301a Loja 301b - Centro, Niterói - RJ, 24020-125"/>
    <x v="1"/>
    <s v="BRUNA ROSA"/>
    <x v="1"/>
    <n v="57"/>
    <x v="1"/>
    <n v="5500"/>
    <d v="2020-04-01T00:00:00"/>
    <x v="1"/>
    <x v="2"/>
  </r>
  <r>
    <x v="17"/>
    <n v="2300"/>
    <n v="3"/>
    <s v="Shopping Barra - Av. Centenário, 2992 - Barra, Salvador - BA, 40155-150"/>
    <x v="5"/>
    <s v="PAULA CARNEIRO"/>
    <x v="1"/>
    <n v="53"/>
    <x v="1"/>
    <n v="6900"/>
    <d v="2020-04-07T00:00:00"/>
    <x v="1"/>
    <x v="2"/>
  </r>
  <r>
    <x v="23"/>
    <n v="1100"/>
    <n v="5"/>
    <s v="Av. Dom Luís, 500 - Aldeota, Fortaleza - CE, 60160-230"/>
    <x v="2"/>
    <s v="MATHEUS SILVA"/>
    <x v="0"/>
    <n v="73"/>
    <x v="1"/>
    <n v="5500"/>
    <d v="2020-02-15T00:00:00"/>
    <x v="1"/>
    <x v="4"/>
  </r>
  <r>
    <x v="7"/>
    <n v="2600"/>
    <n v="2"/>
    <s v="R. Dr. Antônio Castro Prado, 422 - Vila Rossi e Borchi, Campinas - SP, 13076-130"/>
    <x v="0"/>
    <s v="YASMIM VERLY"/>
    <x v="1"/>
    <n v="28"/>
    <x v="2"/>
    <n v="5200"/>
    <d v="2020-04-23T00:00:00"/>
    <x v="1"/>
    <x v="2"/>
  </r>
  <r>
    <x v="8"/>
    <n v="1400"/>
    <n v="1"/>
    <s v="R. Luíz Faccini, 212 - Centro, Guarulhos - SP, 07110-000"/>
    <x v="0"/>
    <s v="PEDRO BITENCOURT"/>
    <x v="0"/>
    <n v="43"/>
    <x v="0"/>
    <n v="1400"/>
    <d v="2020-01-04T00:00:00"/>
    <x v="1"/>
    <x v="5"/>
  </r>
  <r>
    <x v="12"/>
    <n v="1500"/>
    <n v="3"/>
    <s v="R. Teodoro Sampaio, 954 - Pinheiros, São Paulo - SP, 05406-050"/>
    <x v="0"/>
    <s v="THAÍS MOURA"/>
    <x v="1"/>
    <n v="28"/>
    <x v="2"/>
    <n v="4500"/>
    <d v="2020-12-05T00:00:00"/>
    <x v="1"/>
    <x v="8"/>
  </r>
  <r>
    <x v="2"/>
    <n v="1900"/>
    <n v="2"/>
    <s v="R. Luíz Faccini, 212 - Centro, Guarulhos - SP, 07110-000"/>
    <x v="0"/>
    <s v="JULIANA BARREIRA"/>
    <x v="1"/>
    <n v="53"/>
    <x v="1"/>
    <n v="3800"/>
    <d v="2020-11-11T00:00:00"/>
    <x v="1"/>
    <x v="10"/>
  </r>
  <r>
    <x v="21"/>
    <n v="5200"/>
    <n v="2"/>
    <s v="R. Dr. Antônio Castro Prado, 422 - Vila Rossi e Borchi, Campinas - SP, 13076-130"/>
    <x v="0"/>
    <s v="YASMIM VERLY"/>
    <x v="1"/>
    <n v="28"/>
    <x v="2"/>
    <n v="10400"/>
    <d v="2020-06-06T00:00:00"/>
    <x v="1"/>
    <x v="3"/>
  </r>
  <r>
    <x v="13"/>
    <n v="1550"/>
    <n v="1"/>
    <s v="Av. Goiás Norte, 3.592 - quadra 2.1 - St. Mal. Rondon, Goiânia - GO, 74063-010"/>
    <x v="4"/>
    <s v="ALBERTO SILVEIRA"/>
    <x v="0"/>
    <n v="36"/>
    <x v="0"/>
    <n v="1550"/>
    <d v="2020-12-13T00:00:00"/>
    <x v="1"/>
    <x v="8"/>
  </r>
  <r>
    <x v="20"/>
    <n v="5500"/>
    <n v="5"/>
    <s v="Av. Dom Luís, 500 - Aldeota, Fortaleza - CE, 60160-230"/>
    <x v="2"/>
    <s v="MATHEUS MIRANDA"/>
    <x v="0"/>
    <n v="58"/>
    <x v="1"/>
    <n v="27500"/>
    <d v="2020-11-09T00:00:00"/>
    <x v="1"/>
    <x v="10"/>
  </r>
  <r>
    <x v="15"/>
    <n v="3000"/>
    <n v="5"/>
    <s v="Av. Barão Homem de Melo, 1389 - Nova Granada, Belo Horizonte - MG, 30431-425"/>
    <x v="7"/>
    <s v="LUÍSA FONSECA"/>
    <x v="0"/>
    <n v="41"/>
    <x v="0"/>
    <n v="15000"/>
    <d v="2020-08-07T00:00:00"/>
    <x v="1"/>
    <x v="7"/>
  </r>
  <r>
    <x v="5"/>
    <n v="1450"/>
    <n v="4"/>
    <s v="Shopping Barra - Av. Centenário, 2992 - Barra, Salvador - BA, 40155-150"/>
    <x v="5"/>
    <s v="JULIANA SILVA"/>
    <x v="1"/>
    <n v="41"/>
    <x v="0"/>
    <n v="5800"/>
    <d v="2020-03-06T00:00:00"/>
    <x v="1"/>
    <x v="9"/>
  </r>
  <r>
    <x v="18"/>
    <n v="2500"/>
    <n v="4"/>
    <s v="Av. Goiás Norte, 3.592 - quadra 2.1 - St. Mal. Rondon, Goiânia - GO, 74063-010"/>
    <x v="4"/>
    <s v="MATHEUS RAMOS"/>
    <x v="0"/>
    <n v="56"/>
    <x v="1"/>
    <n v="10000"/>
    <d v="2020-07-24T00:00:00"/>
    <x v="1"/>
    <x v="0"/>
  </r>
  <r>
    <x v="15"/>
    <n v="3000"/>
    <n v="3"/>
    <s v="Av. Borges de Medeiros, 3120 - Praia de Belas, Porto Alegre - RS, 90110-150"/>
    <x v="8"/>
    <s v="BRUNA SILVEIRA"/>
    <x v="1"/>
    <n v="70"/>
    <x v="1"/>
    <n v="9000"/>
    <d v="2020-10-31T00:00:00"/>
    <x v="1"/>
    <x v="6"/>
  </r>
  <r>
    <x v="11"/>
    <n v="2000"/>
    <n v="4"/>
    <s v="Av. Barão Homem de Melo, 1389 - Nova Granada, Belo Horizonte - MG, 30431-425"/>
    <x v="7"/>
    <s v="CAROLINE DELGADO"/>
    <x v="1"/>
    <n v="40"/>
    <x v="0"/>
    <n v="8000"/>
    <d v="2020-10-22T00:00:00"/>
    <x v="1"/>
    <x v="6"/>
  </r>
  <r>
    <x v="7"/>
    <n v="2600"/>
    <n v="1"/>
    <s v="Av. Dom Luís, 500 - Aldeota, Fortaleza - CE, 60160-230"/>
    <x v="2"/>
    <s v="JULIANA GUIMARÃES"/>
    <x v="1"/>
    <n v="73"/>
    <x v="1"/>
    <n v="2600"/>
    <d v="2020-07-02T00:00:00"/>
    <x v="1"/>
    <x v="0"/>
  </r>
  <r>
    <x v="23"/>
    <n v="1100"/>
    <n v="3"/>
    <s v="Av. Borges de Medeiros, 3120 - Praia de Belas, Porto Alegre - RS, 90110-150"/>
    <x v="8"/>
    <s v="LIVIA COZENDEY"/>
    <x v="1"/>
    <n v="32"/>
    <x v="0"/>
    <n v="3300"/>
    <d v="2020-09-14T00:00:00"/>
    <x v="1"/>
    <x v="1"/>
  </r>
  <r>
    <x v="5"/>
    <n v="1450"/>
    <n v="5"/>
    <s v="R. Dr. Antônio Castro Prado, 422 - Vila Rossi e Borchi, Campinas - SP, 13076-130"/>
    <x v="0"/>
    <s v="ADRIANE CHAGAS"/>
    <x v="1"/>
    <n v="37"/>
    <x v="0"/>
    <n v="7250"/>
    <d v="2020-06-30T00:00:00"/>
    <x v="1"/>
    <x v="3"/>
  </r>
  <r>
    <x v="4"/>
    <n v="700"/>
    <n v="3"/>
    <s v="R. Dr. Antônio Castro Prado, 422 - Vila Rossi e Borchi, Campinas - SP, 13076-130"/>
    <x v="0"/>
    <s v="BÁRBARA CAVALCANTE"/>
    <x v="0"/>
    <n v="31"/>
    <x v="0"/>
    <n v="2100"/>
    <d v="2020-04-14T00:00:00"/>
    <x v="1"/>
    <x v="2"/>
  </r>
  <r>
    <x v="16"/>
    <n v="1200"/>
    <n v="4"/>
    <s v="Av. Mal. Floriano Peixoto, 2248-2258 - Centro, Nova Iguaçu - RJ, 26210-000"/>
    <x v="1"/>
    <s v="FERNANDA COUTINHO"/>
    <x v="1"/>
    <n v="63"/>
    <x v="1"/>
    <n v="4800"/>
    <d v="2020-12-14T00:00:00"/>
    <x v="1"/>
    <x v="8"/>
  </r>
  <r>
    <x v="20"/>
    <n v="5500"/>
    <n v="5"/>
    <s v="Av. Mal. Floriano Peixoto, 2248-2258 - Centro, Nova Iguaçu - RJ, 26210-000"/>
    <x v="1"/>
    <s v="ALON FAHRNHOLZ"/>
    <x v="0"/>
    <n v="71"/>
    <x v="1"/>
    <n v="27500"/>
    <d v="2020-01-15T00:00:00"/>
    <x v="1"/>
    <x v="5"/>
  </r>
  <r>
    <x v="8"/>
    <n v="1400"/>
    <n v="2"/>
    <s v="Av. Goiás Norte, 3.592 - quadra 2.1 - St. Mal. Rondon, Goiânia - GO, 74063-010"/>
    <x v="4"/>
    <s v="PAULA CAVALCANTI"/>
    <x v="1"/>
    <n v="53"/>
    <x v="1"/>
    <n v="2800"/>
    <d v="2020-10-24T00:00:00"/>
    <x v="1"/>
    <x v="6"/>
  </r>
  <r>
    <x v="8"/>
    <n v="1400"/>
    <n v="1"/>
    <s v="R. Teodoro Sampaio, 954 - Pinheiros, São Paulo - SP, 05406-050"/>
    <x v="0"/>
    <s v="LETÍCIA LEAL"/>
    <x v="1"/>
    <n v="45"/>
    <x v="0"/>
    <n v="1400"/>
    <d v="2020-05-19T00:00:00"/>
    <x v="1"/>
    <x v="11"/>
  </r>
  <r>
    <x v="14"/>
    <n v="1500"/>
    <n v="5"/>
    <s v="Av. Goiás Norte, 3.592 - quadra 2.1 - St. Mal. Rondon, Goiânia - GO, 74063-010"/>
    <x v="4"/>
    <s v="LUIS SILVA"/>
    <x v="1"/>
    <n v="27"/>
    <x v="2"/>
    <n v="7500"/>
    <d v="2020-06-30T00:00:00"/>
    <x v="1"/>
    <x v="3"/>
  </r>
  <r>
    <x v="8"/>
    <n v="1400"/>
    <n v="3"/>
    <s v="R. Brasílio Itiberê, 3279 - Água Verde, Curitiba - PR, 80250-160"/>
    <x v="3"/>
    <s v="WILSON MEIRELLES"/>
    <x v="0"/>
    <n v="65"/>
    <x v="1"/>
    <n v="4200"/>
    <d v="2020-10-02T00:00:00"/>
    <x v="1"/>
    <x v="6"/>
  </r>
  <r>
    <x v="2"/>
    <n v="1900"/>
    <n v="3"/>
    <s v="Av. Goiás Norte, 3.592 - quadra 2.1 - St. Mal. Rondon, Goiânia - GO, 74063-010"/>
    <x v="4"/>
    <s v="BRENO COSTA"/>
    <x v="0"/>
    <n v="55"/>
    <x v="1"/>
    <n v="5700"/>
    <d v="2020-07-13T00:00:00"/>
    <x v="1"/>
    <x v="0"/>
  </r>
  <r>
    <x v="23"/>
    <n v="1100"/>
    <n v="1"/>
    <s v="Rua Antônio Lumack do Monte, 203 - 1 - Boa Viagem, Recife - PE, 51020-350"/>
    <x v="6"/>
    <s v="GABRIELLE COSTA"/>
    <x v="1"/>
    <n v="36"/>
    <x v="0"/>
    <n v="1100"/>
    <d v="2020-01-09T00:00:00"/>
    <x v="1"/>
    <x v="5"/>
  </r>
  <r>
    <x v="7"/>
    <n v="2600"/>
    <n v="3"/>
    <s v="Shopping Barra - Av. Centenário, 2992 - Barra, Salvador - BA, 40155-150"/>
    <x v="5"/>
    <s v="GABRIELLE VIRÍSSIMO"/>
    <x v="1"/>
    <n v="26"/>
    <x v="2"/>
    <n v="7800"/>
    <d v="2020-09-19T00:00:00"/>
    <x v="1"/>
    <x v="1"/>
  </r>
  <r>
    <x v="17"/>
    <n v="2300"/>
    <n v="5"/>
    <s v="Rua Quinze de Novembro, 8 - Loja 301a Loja 301b - Centro, Niterói - RJ, 24020-125"/>
    <x v="1"/>
    <s v="ALESSANDRA MARTINS"/>
    <x v="1"/>
    <n v="33"/>
    <x v="0"/>
    <n v="11500"/>
    <d v="2020-10-23T00:00:00"/>
    <x v="1"/>
    <x v="6"/>
  </r>
  <r>
    <x v="9"/>
    <n v="2000"/>
    <n v="5"/>
    <s v="Shopping Barra - Av. Centenário, 2992 - Barra, Salvador - BA, 40155-150"/>
    <x v="5"/>
    <s v="JOANA CALMON"/>
    <x v="1"/>
    <n v="27"/>
    <x v="2"/>
    <n v="10000"/>
    <d v="2020-09-23T00:00:00"/>
    <x v="1"/>
    <x v="1"/>
  </r>
  <r>
    <x v="6"/>
    <n v="6500"/>
    <n v="1"/>
    <s v="Av. Dom Luís, 500 - Aldeota, Fortaleza - CE, 60160-230"/>
    <x v="2"/>
    <s v="IZABEL LOPES"/>
    <x v="1"/>
    <n v="27"/>
    <x v="2"/>
    <n v="6500"/>
    <d v="2020-08-01T00:00:00"/>
    <x v="1"/>
    <x v="7"/>
  </r>
  <r>
    <x v="18"/>
    <n v="2500"/>
    <n v="5"/>
    <s v="Av. Goiás Norte, 3.592 - quadra 2.1 - St. Mal. Rondon, Goiânia - GO, 74063-010"/>
    <x v="4"/>
    <s v="LEANDRO FERREIRA"/>
    <x v="0"/>
    <n v="38"/>
    <x v="0"/>
    <n v="12500"/>
    <d v="2020-05-20T00:00:00"/>
    <x v="1"/>
    <x v="11"/>
  </r>
  <r>
    <x v="16"/>
    <n v="1200"/>
    <n v="4"/>
    <s v="R. Dr. Antônio Castro Prado, 422 - Vila Rossi e Borchi, Campinas - SP, 13076-130"/>
    <x v="0"/>
    <s v="ANA FELIPPE"/>
    <x v="1"/>
    <n v="32"/>
    <x v="0"/>
    <n v="4800"/>
    <d v="2020-04-02T00:00:00"/>
    <x v="1"/>
    <x v="2"/>
  </r>
  <r>
    <x v="5"/>
    <n v="1450"/>
    <n v="5"/>
    <s v="R. Luíz Faccini, 212 - Centro, Guarulhos - SP, 07110-000"/>
    <x v="0"/>
    <s v="LÁZARO VILLANOVA"/>
    <x v="0"/>
    <n v="71"/>
    <x v="1"/>
    <n v="7250"/>
    <d v="2020-12-01T00:00:00"/>
    <x v="1"/>
    <x v="8"/>
  </r>
  <r>
    <x v="10"/>
    <n v="750"/>
    <n v="5"/>
    <s v="Av. Dom Luís, 500 - Aldeota, Fortaleza - CE, 60160-230"/>
    <x v="2"/>
    <s v="GUSTAVO ERTHAL"/>
    <x v="0"/>
    <n v="75"/>
    <x v="1"/>
    <n v="3750"/>
    <d v="2020-05-05T00:00:00"/>
    <x v="1"/>
    <x v="11"/>
  </r>
  <r>
    <x v="19"/>
    <n v="1750"/>
    <n v="3"/>
    <s v="Rua Antônio Lumack do Monte, 203 - 1 - Boa Viagem, Recife - PE, 51020-350"/>
    <x v="6"/>
    <s v="RAFAELA GOMES"/>
    <x v="1"/>
    <n v="35"/>
    <x v="0"/>
    <n v="5250"/>
    <d v="2020-08-11T00:00:00"/>
    <x v="1"/>
    <x v="7"/>
  </r>
  <r>
    <x v="5"/>
    <n v="1450"/>
    <n v="3"/>
    <s v="R. Brasílio Itiberê, 3279 - Água Verde, Curitiba - PR, 80250-160"/>
    <x v="3"/>
    <s v="STHEFESON PEREIRA"/>
    <x v="0"/>
    <n v="69"/>
    <x v="1"/>
    <n v="4350"/>
    <d v="2020-03-02T00:00:00"/>
    <x v="1"/>
    <x v="9"/>
  </r>
  <r>
    <x v="1"/>
    <n v="1400"/>
    <n v="3"/>
    <s v="Av. Goiás Norte, 3.592 - quadra 2.1 - St. Mal. Rondon, Goiânia - GO, 74063-010"/>
    <x v="4"/>
    <s v="LORENA CARVALHO"/>
    <x v="1"/>
    <n v="55"/>
    <x v="1"/>
    <n v="4200"/>
    <d v="2020-01-10T00:00:00"/>
    <x v="1"/>
    <x v="5"/>
  </r>
  <r>
    <x v="11"/>
    <n v="2000"/>
    <n v="4"/>
    <s v="Av. Borges de Medeiros, 3120 - Praia de Belas, Porto Alegre - RS, 90110-150"/>
    <x v="8"/>
    <s v="MATHEUS GOMES"/>
    <x v="0"/>
    <n v="64"/>
    <x v="1"/>
    <n v="8000"/>
    <d v="2020-06-08T00:00:00"/>
    <x v="1"/>
    <x v="3"/>
  </r>
  <r>
    <x v="13"/>
    <n v="1550"/>
    <n v="3"/>
    <s v="R. Luíz Faccini, 212 - Centro, Guarulhos - SP, 07110-000"/>
    <x v="0"/>
    <s v="THAYNA MARTINS"/>
    <x v="1"/>
    <n v="27"/>
    <x v="2"/>
    <n v="4650"/>
    <d v="2020-06-16T00:00:00"/>
    <x v="1"/>
    <x v="3"/>
  </r>
  <r>
    <x v="21"/>
    <n v="5200"/>
    <n v="3"/>
    <s v="Av. Goiás Norte, 3.592 - quadra 2.1 - St. Mal. Rondon, Goiânia - GO, 74063-010"/>
    <x v="4"/>
    <s v="PAULA CAVALCANTI"/>
    <x v="1"/>
    <n v="53"/>
    <x v="1"/>
    <n v="15600"/>
    <d v="2020-09-22T00:00:00"/>
    <x v="1"/>
    <x v="1"/>
  </r>
  <r>
    <x v="16"/>
    <n v="1200"/>
    <n v="2"/>
    <s v="Av. Dom Luís, 500 - Aldeota, Fortaleza - CE, 60160-230"/>
    <x v="2"/>
    <s v="BEATRIZ ROCHA"/>
    <x v="1"/>
    <n v="40"/>
    <x v="0"/>
    <n v="2400"/>
    <d v="2020-07-13T00:00:00"/>
    <x v="1"/>
    <x v="0"/>
  </r>
  <r>
    <x v="14"/>
    <n v="1500"/>
    <n v="1"/>
    <s v="Av. Dom Luís, 500 - Aldeota, Fortaleza - CE, 60160-230"/>
    <x v="2"/>
    <s v="FERNANDA FIGUEIREDO"/>
    <x v="1"/>
    <n v="28"/>
    <x v="2"/>
    <n v="1500"/>
    <d v="2020-08-29T00:00:00"/>
    <x v="1"/>
    <x v="7"/>
  </r>
  <r>
    <x v="20"/>
    <n v="5500"/>
    <n v="5"/>
    <s v="R. Luíz Faccini, 212 - Centro, Guarulhos - SP, 07110-000"/>
    <x v="0"/>
    <s v="JÉSSICA STEFANELLI"/>
    <x v="1"/>
    <n v="75"/>
    <x v="1"/>
    <n v="27500"/>
    <d v="2020-09-14T00:00:00"/>
    <x v="1"/>
    <x v="1"/>
  </r>
  <r>
    <x v="17"/>
    <n v="2300"/>
    <n v="5"/>
    <s v="Shopping Barra - Av. Centenário, 2992 - Barra, Salvador - BA, 40155-150"/>
    <x v="5"/>
    <s v="LUCAS LACERDA"/>
    <x v="0"/>
    <n v="25"/>
    <x v="2"/>
    <n v="11500"/>
    <d v="2020-01-01T00:00:00"/>
    <x v="1"/>
    <x v="5"/>
  </r>
  <r>
    <x v="23"/>
    <n v="1100"/>
    <n v="1"/>
    <s v="R. Brasílio Itiberê, 3279 - Água Verde, Curitiba - PR, 80250-160"/>
    <x v="3"/>
    <s v="MARCOS NUCCI"/>
    <x v="0"/>
    <n v="26"/>
    <x v="2"/>
    <n v="1100"/>
    <d v="2020-02-28T00:00:00"/>
    <x v="1"/>
    <x v="4"/>
  </r>
  <r>
    <x v="4"/>
    <n v="700"/>
    <n v="5"/>
    <s v="R. Teodoro Sampaio, 954 - Pinheiros, São Paulo - SP, 05406-050"/>
    <x v="0"/>
    <s v="GABRIEL ASSIS"/>
    <x v="0"/>
    <n v="44"/>
    <x v="0"/>
    <n v="3500"/>
    <d v="2020-08-07T00:00:00"/>
    <x v="1"/>
    <x v="7"/>
  </r>
  <r>
    <x v="1"/>
    <n v="1400"/>
    <n v="1"/>
    <s v="Av. Dom Luís, 500 - Aldeota, Fortaleza - CE, 60160-230"/>
    <x v="2"/>
    <s v="BRUNA BRANDAO"/>
    <x v="1"/>
    <n v="33"/>
    <x v="0"/>
    <n v="1400"/>
    <d v="2020-12-27T00:00:00"/>
    <x v="1"/>
    <x v="8"/>
  </r>
  <r>
    <x v="23"/>
    <n v="1100"/>
    <n v="5"/>
    <s v="R. Teodoro Sampaio, 954 - Pinheiros, São Paulo - SP, 05406-050"/>
    <x v="0"/>
    <s v="LUCAS BAPTISTA"/>
    <x v="0"/>
    <n v="49"/>
    <x v="0"/>
    <n v="5500"/>
    <d v="2020-02-24T00:00:00"/>
    <x v="1"/>
    <x v="4"/>
  </r>
  <r>
    <x v="12"/>
    <n v="1500"/>
    <n v="2"/>
    <s v="R. Luíz Faccini, 212 - Centro, Guarulhos - SP, 07110-000"/>
    <x v="0"/>
    <s v="JULIA FIGUEIREDO"/>
    <x v="1"/>
    <n v="30"/>
    <x v="0"/>
    <n v="3000"/>
    <d v="2020-11-26T00:00:00"/>
    <x v="1"/>
    <x v="10"/>
  </r>
  <r>
    <x v="20"/>
    <n v="5500"/>
    <n v="2"/>
    <s v="Av. Barão Homem de Melo, 1389 - Nova Granada, Belo Horizonte - MG, 30431-425"/>
    <x v="7"/>
    <s v="DANIELA ROSA"/>
    <x v="1"/>
    <n v="67"/>
    <x v="1"/>
    <n v="11000"/>
    <d v="2020-09-03T00:00:00"/>
    <x v="1"/>
    <x v="1"/>
  </r>
  <r>
    <x v="17"/>
    <n v="2300"/>
    <n v="4"/>
    <s v="R. Teodoro Sampaio, 954 - Pinheiros, São Paulo - SP, 05406-050"/>
    <x v="0"/>
    <s v="LAIS CANDIDO"/>
    <x v="1"/>
    <n v="48"/>
    <x v="0"/>
    <n v="9200"/>
    <d v="2020-05-03T00:00:00"/>
    <x v="1"/>
    <x v="11"/>
  </r>
  <r>
    <x v="6"/>
    <n v="6500"/>
    <n v="1"/>
    <s v="Av. Borges de Medeiros, 3120 - Praia de Belas, Porto Alegre - RS, 90110-150"/>
    <x v="8"/>
    <s v="THAINÁ BINELLO"/>
    <x v="1"/>
    <n v="75"/>
    <x v="1"/>
    <n v="6500"/>
    <d v="2020-11-23T00:00:00"/>
    <x v="1"/>
    <x v="10"/>
  </r>
  <r>
    <x v="12"/>
    <n v="1500"/>
    <n v="1"/>
    <s v="R. Teodoro Sampaio, 954 - Pinheiros, São Paulo - SP, 05406-050"/>
    <x v="0"/>
    <s v="PEDRO RONFINI"/>
    <x v="0"/>
    <n v="42"/>
    <x v="0"/>
    <n v="1500"/>
    <d v="2020-12-13T00:00:00"/>
    <x v="1"/>
    <x v="8"/>
  </r>
  <r>
    <x v="5"/>
    <n v="1450"/>
    <n v="1"/>
    <s v="R. Luíz Faccini, 212 - Centro, Guarulhos - SP, 07110-000"/>
    <x v="0"/>
    <s v="ANDRESSA CHOU"/>
    <x v="1"/>
    <n v="28"/>
    <x v="2"/>
    <n v="1450"/>
    <d v="2020-02-02T00:00:00"/>
    <x v="1"/>
    <x v="4"/>
  </r>
  <r>
    <x v="22"/>
    <n v="2400"/>
    <n v="2"/>
    <s v="R. Teodoro Sampaio, 954 - Pinheiros, São Paulo - SP, 05406-050"/>
    <x v="0"/>
    <s v="LENON FERNANDES"/>
    <x v="0"/>
    <n v="50"/>
    <x v="0"/>
    <n v="4800"/>
    <d v="2020-09-18T00:00:00"/>
    <x v="1"/>
    <x v="1"/>
  </r>
  <r>
    <x v="1"/>
    <n v="1400"/>
    <n v="2"/>
    <s v="Av. Mal. Floriano Peixoto, 2248-2258 - Centro, Nova Iguaçu - RJ, 26210-000"/>
    <x v="1"/>
    <s v="ANA LEITE"/>
    <x v="1"/>
    <n v="67"/>
    <x v="1"/>
    <n v="2800"/>
    <d v="2020-10-31T00:00:00"/>
    <x v="1"/>
    <x v="6"/>
  </r>
  <r>
    <x v="13"/>
    <n v="1550"/>
    <n v="1"/>
    <s v="R. Brasílio Itiberê, 3279 - Água Verde, Curitiba - PR, 80250-160"/>
    <x v="3"/>
    <s v="MATHEUS DELGADO"/>
    <x v="0"/>
    <n v="44"/>
    <x v="0"/>
    <n v="1550"/>
    <d v="2020-02-12T00:00:00"/>
    <x v="1"/>
    <x v="4"/>
  </r>
  <r>
    <x v="10"/>
    <n v="750"/>
    <n v="4"/>
    <s v="R. Visc. de Pirajá, 136 - Ipanema, Rio de Janeiro - RJ, 22410-000"/>
    <x v="1"/>
    <s v="GABRIELLA SAGRILLO"/>
    <x v="1"/>
    <n v="36"/>
    <x v="0"/>
    <n v="3000"/>
    <d v="2020-07-14T00:00:00"/>
    <x v="1"/>
    <x v="0"/>
  </r>
  <r>
    <x v="2"/>
    <n v="1900"/>
    <n v="3"/>
    <s v="R. Dr. Antônio Castro Prado, 422 - Vila Rossi e Borchi, Campinas - SP, 13076-130"/>
    <x v="0"/>
    <s v="WENDELA VELOSO"/>
    <x v="1"/>
    <n v="30"/>
    <x v="0"/>
    <n v="5700"/>
    <d v="2020-03-02T00:00:00"/>
    <x v="1"/>
    <x v="9"/>
  </r>
  <r>
    <x v="19"/>
    <n v="1750"/>
    <n v="3"/>
    <s v="R. Teodoro Sampaio, 954 - Pinheiros, São Paulo - SP, 05406-050"/>
    <x v="0"/>
    <s v="PEDRO RONFINI"/>
    <x v="0"/>
    <n v="42"/>
    <x v="0"/>
    <n v="5250"/>
    <d v="2020-04-30T00:00:00"/>
    <x v="1"/>
    <x v="2"/>
  </r>
  <r>
    <x v="13"/>
    <n v="1550"/>
    <n v="2"/>
    <s v="Av. Mal. Floriano Peixoto, 2248-2258 - Centro, Nova Iguaçu - RJ, 26210-000"/>
    <x v="1"/>
    <s v="RODRIGO ALVES"/>
    <x v="0"/>
    <n v="40"/>
    <x v="0"/>
    <n v="3100"/>
    <d v="2020-01-31T00:00:00"/>
    <x v="1"/>
    <x v="5"/>
  </r>
  <r>
    <x v="17"/>
    <n v="2300"/>
    <n v="4"/>
    <s v="Rua Antônio Lumack do Monte, 203 - 1 - Boa Viagem, Recife - PE, 51020-350"/>
    <x v="6"/>
    <s v="ITAI PUNTEL"/>
    <x v="0"/>
    <n v="69"/>
    <x v="1"/>
    <n v="9200"/>
    <d v="2020-05-03T00:00:00"/>
    <x v="1"/>
    <x v="11"/>
  </r>
  <r>
    <x v="15"/>
    <n v="3000"/>
    <n v="5"/>
    <s v="R. Dr. Antônio Castro Prado, 422 - Vila Rossi e Borchi, Campinas - SP, 13076-130"/>
    <x v="0"/>
    <s v="BÁRBARA CAVALCANTE"/>
    <x v="0"/>
    <n v="31"/>
    <x v="0"/>
    <n v="15000"/>
    <d v="2020-09-18T00:00:00"/>
    <x v="1"/>
    <x v="1"/>
  </r>
  <r>
    <x v="19"/>
    <n v="1750"/>
    <n v="5"/>
    <s v="R. Brasílio Itiberê, 3279 - Água Verde, Curitiba - PR, 80250-160"/>
    <x v="3"/>
    <s v="JOÃO PEÇANHA"/>
    <x v="0"/>
    <n v="48"/>
    <x v="0"/>
    <n v="8750"/>
    <d v="2020-01-26T00:00:00"/>
    <x v="1"/>
    <x v="5"/>
  </r>
  <r>
    <x v="5"/>
    <n v="1450"/>
    <n v="4"/>
    <s v="R. Teodoro Sampaio, 954 - Pinheiros, São Paulo - SP, 05406-050"/>
    <x v="0"/>
    <s v="NINA MAGALHÃES"/>
    <x v="1"/>
    <n v="66"/>
    <x v="1"/>
    <n v="5800"/>
    <d v="2020-06-11T00:00:00"/>
    <x v="1"/>
    <x v="3"/>
  </r>
  <r>
    <x v="0"/>
    <n v="4500"/>
    <n v="1"/>
    <s v="Av. Goiás Norte, 3.592 - quadra 2.1 - St. Mal. Rondon, Goiânia - GO, 74063-010"/>
    <x v="4"/>
    <s v="RUBENS NETTO"/>
    <x v="0"/>
    <n v="33"/>
    <x v="0"/>
    <n v="4500"/>
    <d v="2020-12-16T00:00:00"/>
    <x v="1"/>
    <x v="8"/>
  </r>
  <r>
    <x v="4"/>
    <n v="700"/>
    <n v="4"/>
    <s v="Av. Goiás Norte, 3.592 - quadra 2.1 - St. Mal. Rondon, Goiânia - GO, 74063-010"/>
    <x v="4"/>
    <s v="JÔNATAS TANAKA"/>
    <x v="0"/>
    <n v="31"/>
    <x v="0"/>
    <n v="2800"/>
    <d v="2020-10-23T00:00:00"/>
    <x v="1"/>
    <x v="6"/>
  </r>
  <r>
    <x v="7"/>
    <n v="2600"/>
    <n v="1"/>
    <s v="Rua Antônio Lumack do Monte, 203 - 1 - Boa Viagem, Recife - PE, 51020-350"/>
    <x v="6"/>
    <s v="FERNANDA RUBIM"/>
    <x v="1"/>
    <n v="74"/>
    <x v="1"/>
    <n v="2600"/>
    <d v="2020-11-21T00:00:00"/>
    <x v="1"/>
    <x v="10"/>
  </r>
  <r>
    <x v="16"/>
    <n v="1200"/>
    <n v="2"/>
    <s v="Av. Dom Luís, 500 - Aldeota, Fortaleza - CE, 60160-230"/>
    <x v="2"/>
    <s v="MATHEUS MIRANDA"/>
    <x v="0"/>
    <n v="58"/>
    <x v="1"/>
    <n v="2400"/>
    <d v="2020-03-03T00:00:00"/>
    <x v="1"/>
    <x v="9"/>
  </r>
  <r>
    <x v="15"/>
    <n v="3000"/>
    <n v="3"/>
    <s v="R. Visc. de Pirajá, 136 - Ipanema, Rio de Janeiro - RJ, 22410-000"/>
    <x v="1"/>
    <s v="BEATRIZ SILVA"/>
    <x v="1"/>
    <n v="45"/>
    <x v="0"/>
    <n v="9000"/>
    <d v="2020-11-15T00:00:00"/>
    <x v="1"/>
    <x v="10"/>
  </r>
  <r>
    <x v="8"/>
    <n v="1400"/>
    <n v="4"/>
    <s v="Av. Barão Homem de Melo, 1389 - Nova Granada, Belo Horizonte - MG, 30431-425"/>
    <x v="7"/>
    <s v="FILLIPE ALMEIDA"/>
    <x v="0"/>
    <n v="71"/>
    <x v="1"/>
    <n v="5600"/>
    <d v="2020-07-19T00:00:00"/>
    <x v="1"/>
    <x v="0"/>
  </r>
  <r>
    <x v="11"/>
    <n v="2000"/>
    <n v="5"/>
    <s v="Av. Mal. Floriano Peixoto, 2248-2258 - Centro, Nova Iguaçu - RJ, 26210-000"/>
    <x v="1"/>
    <s v="ERICK SOARES"/>
    <x v="0"/>
    <n v="36"/>
    <x v="0"/>
    <n v="10000"/>
    <d v="2020-01-30T00:00:00"/>
    <x v="1"/>
    <x v="5"/>
  </r>
  <r>
    <x v="10"/>
    <n v="750"/>
    <n v="1"/>
    <s v="Av. Goiás Norte, 3.592 - quadra 2.1 - St. Mal. Rondon, Goiânia - GO, 74063-010"/>
    <x v="4"/>
    <s v="RAÍSSA OROS"/>
    <x v="1"/>
    <n v="40"/>
    <x v="0"/>
    <n v="750"/>
    <d v="2020-07-13T00:00:00"/>
    <x v="1"/>
    <x v="0"/>
  </r>
  <r>
    <x v="11"/>
    <n v="2000"/>
    <n v="2"/>
    <s v="R. Luíz Faccini, 212 - Centro, Guarulhos - SP, 07110-000"/>
    <x v="0"/>
    <s v="RAPHAEL KURTZ"/>
    <x v="0"/>
    <n v="48"/>
    <x v="0"/>
    <n v="4000"/>
    <d v="2020-10-06T00:00:00"/>
    <x v="1"/>
    <x v="6"/>
  </r>
  <r>
    <x v="20"/>
    <n v="5500"/>
    <n v="1"/>
    <s v="R. Luíz Faccini, 212 - Centro, Guarulhos - SP, 07110-000"/>
    <x v="0"/>
    <s v="MYLLENA CARNEIRO"/>
    <x v="1"/>
    <n v="60"/>
    <x v="1"/>
    <n v="5500"/>
    <d v="2020-12-23T00:00:00"/>
    <x v="1"/>
    <x v="8"/>
  </r>
  <r>
    <x v="5"/>
    <n v="1450"/>
    <n v="3"/>
    <s v="Shopping Barra - Av. Centenário, 2992 - Barra, Salvador - BA, 40155-150"/>
    <x v="5"/>
    <s v="ULISSES FILHO"/>
    <x v="0"/>
    <n v="70"/>
    <x v="1"/>
    <n v="4350"/>
    <d v="2020-10-29T00:00:00"/>
    <x v="1"/>
    <x v="6"/>
  </r>
  <r>
    <x v="21"/>
    <n v="5200"/>
    <n v="3"/>
    <s v="R. Dr. Antônio Castro Prado, 422 - Vila Rossi e Borchi, Campinas - SP, 13076-130"/>
    <x v="0"/>
    <s v="CARLOS ARAUJO"/>
    <x v="0"/>
    <n v="61"/>
    <x v="1"/>
    <n v="15600"/>
    <d v="2020-10-24T00:00:00"/>
    <x v="1"/>
    <x v="6"/>
  </r>
  <r>
    <x v="4"/>
    <n v="700"/>
    <n v="1"/>
    <s v="R. Visc. de Pirajá, 136 - Ipanema, Rio de Janeiro - RJ, 22410-000"/>
    <x v="1"/>
    <s v="RAFAEL PORTELA"/>
    <x v="0"/>
    <n v="66"/>
    <x v="1"/>
    <n v="700"/>
    <d v="2020-06-05T00:00:00"/>
    <x v="1"/>
    <x v="3"/>
  </r>
  <r>
    <x v="17"/>
    <n v="2300"/>
    <n v="4"/>
    <s v="Av. Mal. Floriano Peixoto, 2248-2258 - Centro, Nova Iguaçu - RJ, 26210-000"/>
    <x v="1"/>
    <s v="PRISCILA SUZANO"/>
    <x v="1"/>
    <n v="50"/>
    <x v="0"/>
    <n v="9200"/>
    <d v="2020-07-18T00:00:00"/>
    <x v="1"/>
    <x v="0"/>
  </r>
  <r>
    <x v="15"/>
    <n v="3000"/>
    <n v="4"/>
    <s v="R. Brasílio Itiberê, 3279 - Água Verde, Curitiba - PR, 80250-160"/>
    <x v="3"/>
    <s v="AMANDA GONTIJO"/>
    <x v="1"/>
    <n v="32"/>
    <x v="0"/>
    <n v="12000"/>
    <d v="2020-07-06T00:00:00"/>
    <x v="1"/>
    <x v="0"/>
  </r>
  <r>
    <x v="18"/>
    <n v="2500"/>
    <n v="2"/>
    <s v="Av. Borges de Medeiros, 3120 - Praia de Belas, Porto Alegre - RS, 90110-150"/>
    <x v="8"/>
    <s v="PEDRO BURACO"/>
    <x v="0"/>
    <n v="64"/>
    <x v="1"/>
    <n v="5000"/>
    <d v="2020-04-24T00:00:00"/>
    <x v="1"/>
    <x v="2"/>
  </r>
  <r>
    <x v="2"/>
    <n v="1900"/>
    <n v="5"/>
    <s v="Av. Borges de Medeiros, 3120 - Praia de Belas, Porto Alegre - RS, 90110-150"/>
    <x v="8"/>
    <s v="ARTHUR PEREIRA"/>
    <x v="0"/>
    <n v="42"/>
    <x v="0"/>
    <n v="9500"/>
    <d v="2020-04-11T00:00:00"/>
    <x v="1"/>
    <x v="2"/>
  </r>
  <r>
    <x v="3"/>
    <n v="1500"/>
    <n v="5"/>
    <s v="Av. Borges de Medeiros, 3120 - Praia de Belas, Porto Alegre - RS, 90110-150"/>
    <x v="8"/>
    <s v="MAIKE PEREIRA"/>
    <x v="0"/>
    <n v="41"/>
    <x v="0"/>
    <n v="7500"/>
    <d v="2020-02-28T00:00:00"/>
    <x v="1"/>
    <x v="4"/>
  </r>
  <r>
    <x v="22"/>
    <n v="2400"/>
    <n v="5"/>
    <s v="Av. Mal. Floriano Peixoto, 2248-2258 - Centro, Nova Iguaçu - RJ, 26210-000"/>
    <x v="1"/>
    <s v="TADEU NAKAYAMA"/>
    <x v="0"/>
    <n v="42"/>
    <x v="0"/>
    <n v="12000"/>
    <d v="2020-12-15T00:00:00"/>
    <x v="1"/>
    <x v="8"/>
  </r>
  <r>
    <x v="0"/>
    <n v="4500"/>
    <n v="2"/>
    <s v="Av. Borges de Medeiros, 3120 - Praia de Belas, Porto Alegre - RS, 90110-150"/>
    <x v="8"/>
    <s v="IURI BARBOSA"/>
    <x v="0"/>
    <n v="25"/>
    <x v="2"/>
    <n v="9000"/>
    <d v="2020-02-15T00:00:00"/>
    <x v="1"/>
    <x v="4"/>
  </r>
  <r>
    <x v="23"/>
    <n v="1100"/>
    <n v="5"/>
    <s v="R. Teodoro Sampaio, 954 - Pinheiros, São Paulo - SP, 05406-050"/>
    <x v="0"/>
    <s v="LUCAS ALMEIDA"/>
    <x v="0"/>
    <n v="48"/>
    <x v="0"/>
    <n v="5500"/>
    <d v="2020-05-14T00:00:00"/>
    <x v="1"/>
    <x v="11"/>
  </r>
  <r>
    <x v="20"/>
    <n v="5500"/>
    <n v="4"/>
    <s v="Av. Barão Homem de Melo, 1389 - Nova Granada, Belo Horizonte - MG, 30431-425"/>
    <x v="7"/>
    <s v="LEANDRO RODRIGUES"/>
    <x v="0"/>
    <n v="40"/>
    <x v="0"/>
    <n v="22000"/>
    <d v="2020-02-21T00:00:00"/>
    <x v="1"/>
    <x v="4"/>
  </r>
  <r>
    <x v="13"/>
    <n v="1550"/>
    <n v="5"/>
    <s v="Shopping Barra - Av. Centenário, 2992 - Barra, Salvador - BA, 40155-150"/>
    <x v="5"/>
    <s v="JESSICA CORDOVIL"/>
    <x v="1"/>
    <n v="39"/>
    <x v="0"/>
    <n v="7750"/>
    <d v="2020-02-16T00:00:00"/>
    <x v="1"/>
    <x v="4"/>
  </r>
  <r>
    <x v="7"/>
    <n v="2600"/>
    <n v="3"/>
    <s v="Av. Goiás Norte, 3.592 - quadra 2.1 - St. Mal. Rondon, Goiânia - GO, 74063-010"/>
    <x v="4"/>
    <s v="REBECA TAYLOR"/>
    <x v="1"/>
    <n v="41"/>
    <x v="0"/>
    <n v="7800"/>
    <d v="2020-07-04T00:00:00"/>
    <x v="1"/>
    <x v="0"/>
  </r>
  <r>
    <x v="8"/>
    <n v="1400"/>
    <n v="1"/>
    <s v="Rua Quinze de Novembro, 8 - Loja 301a Loja 301b - Centro, Niterói - RJ, 24020-125"/>
    <x v="1"/>
    <s v="JORGE FONSECA"/>
    <x v="0"/>
    <n v="26"/>
    <x v="2"/>
    <n v="1400"/>
    <d v="2020-08-30T00:00:00"/>
    <x v="1"/>
    <x v="7"/>
  </r>
  <r>
    <x v="2"/>
    <n v="1900"/>
    <n v="3"/>
    <s v="R. Luíz Faccini, 212 - Centro, Guarulhos - SP, 07110-000"/>
    <x v="0"/>
    <s v="KIM FERREIRA"/>
    <x v="1"/>
    <n v="73"/>
    <x v="1"/>
    <n v="5700"/>
    <d v="2020-04-04T00:00:00"/>
    <x v="1"/>
    <x v="2"/>
  </r>
  <r>
    <x v="20"/>
    <n v="5500"/>
    <n v="1"/>
    <s v="R. Brasílio Itiberê, 3279 - Água Verde, Curitiba - PR, 80250-160"/>
    <x v="3"/>
    <s v="GISELIA THIELE"/>
    <x v="1"/>
    <n v="55"/>
    <x v="1"/>
    <n v="5500"/>
    <d v="2020-12-10T00:00:00"/>
    <x v="1"/>
    <x v="8"/>
  </r>
  <r>
    <x v="6"/>
    <n v="6500"/>
    <n v="5"/>
    <s v="R. Luíz Faccini, 212 - Centro, Guarulhos - SP, 07110-000"/>
    <x v="0"/>
    <s v="LARISSA JESUS"/>
    <x v="1"/>
    <n v="29"/>
    <x v="2"/>
    <n v="32500"/>
    <d v="2020-06-06T00:00:00"/>
    <x v="1"/>
    <x v="3"/>
  </r>
  <r>
    <x v="3"/>
    <n v="1500"/>
    <n v="3"/>
    <s v="Rua Quinze de Novembro, 8 - Loja 301a Loja 301b - Centro, Niterói - RJ, 24020-125"/>
    <x v="1"/>
    <s v="BRUNA ROSA"/>
    <x v="1"/>
    <n v="57"/>
    <x v="1"/>
    <n v="4500"/>
    <d v="2020-09-07T00:00:00"/>
    <x v="1"/>
    <x v="1"/>
  </r>
  <r>
    <x v="10"/>
    <n v="750"/>
    <n v="2"/>
    <s v="R. Dr. Antônio Castro Prado, 422 - Vila Rossi e Borchi, Campinas - SP, 13076-130"/>
    <x v="0"/>
    <s v="GABRIEL SILVA"/>
    <x v="0"/>
    <n v="63"/>
    <x v="1"/>
    <n v="1500"/>
    <d v="2020-06-21T00:00:00"/>
    <x v="1"/>
    <x v="3"/>
  </r>
  <r>
    <x v="17"/>
    <n v="2300"/>
    <n v="5"/>
    <s v="Shopping Barra - Av. Centenário, 2992 - Barra, Salvador - BA, 40155-150"/>
    <x v="5"/>
    <s v="CAIO CALDAS"/>
    <x v="0"/>
    <n v="33"/>
    <x v="0"/>
    <n v="11500"/>
    <d v="2020-10-05T00:00:00"/>
    <x v="1"/>
    <x v="6"/>
  </r>
  <r>
    <x v="8"/>
    <n v="1400"/>
    <n v="4"/>
    <s v="R. Brasílio Itiberê, 3279 - Água Verde, Curitiba - PR, 80250-160"/>
    <x v="3"/>
    <s v="DANIEL FELIPPE"/>
    <x v="0"/>
    <n v="38"/>
    <x v="0"/>
    <n v="5600"/>
    <d v="2020-12-10T00:00:00"/>
    <x v="1"/>
    <x v="8"/>
  </r>
  <r>
    <x v="9"/>
    <n v="2000"/>
    <n v="5"/>
    <s v="Av. Dom Luís, 500 - Aldeota, Fortaleza - CE, 60160-230"/>
    <x v="2"/>
    <s v="IZABEL LOPES"/>
    <x v="1"/>
    <n v="27"/>
    <x v="2"/>
    <n v="10000"/>
    <d v="2020-05-11T00:00:00"/>
    <x v="1"/>
    <x v="11"/>
  </r>
  <r>
    <x v="20"/>
    <n v="5500"/>
    <n v="2"/>
    <s v="R. Luíz Faccini, 212 - Centro, Guarulhos - SP, 07110-000"/>
    <x v="0"/>
    <s v="MYLLENA CARNEIRO"/>
    <x v="1"/>
    <n v="60"/>
    <x v="1"/>
    <n v="11000"/>
    <d v="2020-04-06T00:00:00"/>
    <x v="1"/>
    <x v="2"/>
  </r>
  <r>
    <x v="8"/>
    <n v="1400"/>
    <n v="2"/>
    <s v="R. Dr. Antônio Castro Prado, 422 - Vila Rossi e Borchi, Campinas - SP, 13076-130"/>
    <x v="0"/>
    <s v="LUCAS RODRIGUES"/>
    <x v="0"/>
    <n v="40"/>
    <x v="0"/>
    <n v="2800"/>
    <d v="2020-06-27T00:00:00"/>
    <x v="1"/>
    <x v="3"/>
  </r>
  <r>
    <x v="0"/>
    <n v="4500"/>
    <n v="5"/>
    <s v="R. Teodoro Sampaio, 954 - Pinheiros, São Paulo - SP, 05406-050"/>
    <x v="0"/>
    <s v="SAMARA PINTO"/>
    <x v="1"/>
    <n v="41"/>
    <x v="0"/>
    <n v="22500"/>
    <d v="2020-12-23T00:00:00"/>
    <x v="1"/>
    <x v="8"/>
  </r>
  <r>
    <x v="2"/>
    <n v="1900"/>
    <n v="3"/>
    <s v="R. Teodoro Sampaio, 954 - Pinheiros, São Paulo - SP, 05406-050"/>
    <x v="0"/>
    <s v="VITOR BOCCALETTI"/>
    <x v="0"/>
    <n v="48"/>
    <x v="0"/>
    <n v="5700"/>
    <d v="2020-09-05T00:00:00"/>
    <x v="1"/>
    <x v="1"/>
  </r>
  <r>
    <x v="23"/>
    <n v="1100"/>
    <n v="1"/>
    <s v="R. Luíz Faccini, 212 - Centro, Guarulhos - SP, 07110-000"/>
    <x v="0"/>
    <s v="DANIEL VALENTE"/>
    <x v="0"/>
    <n v="41"/>
    <x v="0"/>
    <n v="1100"/>
    <d v="2020-04-03T00:00:00"/>
    <x v="1"/>
    <x v="2"/>
  </r>
  <r>
    <x v="14"/>
    <n v="1500"/>
    <n v="1"/>
    <s v="R. Teodoro Sampaio, 954 - Pinheiros, São Paulo - SP, 05406-050"/>
    <x v="0"/>
    <s v="THALES FANARA"/>
    <x v="0"/>
    <n v="49"/>
    <x v="0"/>
    <n v="1500"/>
    <d v="2020-09-22T00:00:00"/>
    <x v="1"/>
    <x v="1"/>
  </r>
  <r>
    <x v="5"/>
    <n v="1450"/>
    <n v="5"/>
    <s v="R. Luíz Faccini, 212 - Centro, Guarulhos - SP, 07110-000"/>
    <x v="0"/>
    <s v="ANA CARVALHO"/>
    <x v="1"/>
    <n v="61"/>
    <x v="1"/>
    <n v="7250"/>
    <d v="2020-12-24T00:00:00"/>
    <x v="1"/>
    <x v="8"/>
  </r>
  <r>
    <x v="13"/>
    <n v="1550"/>
    <n v="5"/>
    <s v="Av. Mal. Floriano Peixoto, 2248-2258 - Centro, Nova Iguaçu - RJ, 26210-000"/>
    <x v="1"/>
    <s v="PAULO CAMPOS"/>
    <x v="0"/>
    <n v="29"/>
    <x v="2"/>
    <n v="7750"/>
    <d v="2020-08-22T00:00:00"/>
    <x v="1"/>
    <x v="7"/>
  </r>
  <r>
    <x v="10"/>
    <n v="750"/>
    <n v="4"/>
    <s v="Av. Goiás Norte, 3.592 - quadra 2.1 - St. Mal. Rondon, Goiânia - GO, 74063-010"/>
    <x v="4"/>
    <s v="BRENO GODOY"/>
    <x v="0"/>
    <n v="25"/>
    <x v="2"/>
    <n v="3000"/>
    <d v="2020-09-13T00:00:00"/>
    <x v="1"/>
    <x v="1"/>
  </r>
  <r>
    <x v="1"/>
    <n v="1400"/>
    <n v="2"/>
    <s v="R. Visc. de Pirajá, 136 - Ipanema, Rio de Janeiro - RJ, 22410-000"/>
    <x v="1"/>
    <s v="NATHAN MORELLI"/>
    <x v="0"/>
    <n v="54"/>
    <x v="1"/>
    <n v="2800"/>
    <d v="2020-02-27T00:00:00"/>
    <x v="1"/>
    <x v="4"/>
  </r>
  <r>
    <x v="8"/>
    <n v="1400"/>
    <n v="1"/>
    <s v="Av. Barão Homem de Melo, 1389 - Nova Granada, Belo Horizonte - MG, 30431-425"/>
    <x v="7"/>
    <s v="VITOR CAMPOS"/>
    <x v="0"/>
    <n v="45"/>
    <x v="0"/>
    <n v="1400"/>
    <d v="2020-02-24T00:00:00"/>
    <x v="1"/>
    <x v="4"/>
  </r>
  <r>
    <x v="0"/>
    <n v="4500"/>
    <n v="4"/>
    <s v="R. Luíz Faccini, 212 - Centro, Guarulhos - SP, 07110-000"/>
    <x v="0"/>
    <s v="VICTOR LIRA"/>
    <x v="0"/>
    <n v="38"/>
    <x v="0"/>
    <n v="18000"/>
    <d v="2020-03-27T00:00:00"/>
    <x v="1"/>
    <x v="9"/>
  </r>
  <r>
    <x v="18"/>
    <n v="2500"/>
    <n v="1"/>
    <s v="Av. Borges de Medeiros, 3120 - Praia de Belas, Porto Alegre - RS, 90110-150"/>
    <x v="8"/>
    <s v="BIANCA PROCACI"/>
    <x v="1"/>
    <n v="53"/>
    <x v="1"/>
    <n v="2500"/>
    <d v="2020-11-05T00:00:00"/>
    <x v="1"/>
    <x v="10"/>
  </r>
  <r>
    <x v="7"/>
    <n v="2600"/>
    <n v="1"/>
    <s v="Rua Antônio Lumack do Monte, 203 - 1 - Boa Viagem, Recife - PE, 51020-350"/>
    <x v="6"/>
    <s v="BRUNA LONDERO"/>
    <x v="1"/>
    <n v="64"/>
    <x v="1"/>
    <n v="2600"/>
    <d v="2020-09-17T00:00:00"/>
    <x v="1"/>
    <x v="1"/>
  </r>
  <r>
    <x v="23"/>
    <n v="1100"/>
    <n v="2"/>
    <s v="Av. Mal. Floriano Peixoto, 2248-2258 - Centro, Nova Iguaçu - RJ, 26210-000"/>
    <x v="1"/>
    <s v="GIUSEPPE BORGES"/>
    <x v="0"/>
    <n v="75"/>
    <x v="1"/>
    <n v="2200"/>
    <d v="2020-06-06T00:00:00"/>
    <x v="1"/>
    <x v="3"/>
  </r>
  <r>
    <x v="13"/>
    <n v="1550"/>
    <n v="5"/>
    <s v="R. Dr. Antônio Castro Prado, 422 - Vila Rossi e Borchi, Campinas - SP, 13076-130"/>
    <x v="0"/>
    <s v="YASMIM VERLY"/>
    <x v="1"/>
    <n v="28"/>
    <x v="2"/>
    <n v="7750"/>
    <d v="2020-12-11T00:00:00"/>
    <x v="1"/>
    <x v="8"/>
  </r>
  <r>
    <x v="1"/>
    <n v="1400"/>
    <n v="4"/>
    <s v="Av. Dom Luís, 500 - Aldeota, Fortaleza - CE, 60160-230"/>
    <x v="2"/>
    <s v="WILSON BRANDÃO"/>
    <x v="0"/>
    <n v="74"/>
    <x v="1"/>
    <n v="5600"/>
    <d v="2020-09-29T00:00:00"/>
    <x v="1"/>
    <x v="1"/>
  </r>
  <r>
    <x v="21"/>
    <n v="5200"/>
    <n v="3"/>
    <s v="R. Luíz Faccini, 212 - Centro, Guarulhos - SP, 07110-000"/>
    <x v="0"/>
    <s v="HYGOR ESSABER"/>
    <x v="0"/>
    <n v="29"/>
    <x v="2"/>
    <n v="15600"/>
    <d v="2020-08-05T00:00:00"/>
    <x v="1"/>
    <x v="7"/>
  </r>
  <r>
    <x v="9"/>
    <n v="2000"/>
    <n v="3"/>
    <s v="R. Teodoro Sampaio, 954 - Pinheiros, São Paulo - SP, 05406-050"/>
    <x v="0"/>
    <s v="MARINA MESQUITA"/>
    <x v="1"/>
    <n v="40"/>
    <x v="0"/>
    <n v="6000"/>
    <d v="2020-06-09T00:00:00"/>
    <x v="1"/>
    <x v="3"/>
  </r>
  <r>
    <x v="19"/>
    <n v="1750"/>
    <n v="4"/>
    <s v="R. Visc. de Pirajá, 136 - Ipanema, Rio de Janeiro - RJ, 22410-000"/>
    <x v="1"/>
    <s v="JULIANA CORREA"/>
    <x v="1"/>
    <n v="69"/>
    <x v="1"/>
    <n v="7000"/>
    <d v="2020-02-19T00:00:00"/>
    <x v="1"/>
    <x v="4"/>
  </r>
  <r>
    <x v="10"/>
    <n v="750"/>
    <n v="3"/>
    <s v="Av. Barão Homem de Melo, 1389 - Nova Granada, Belo Horizonte - MG, 30431-425"/>
    <x v="7"/>
    <s v="VICTOR GOMES"/>
    <x v="0"/>
    <n v="71"/>
    <x v="1"/>
    <n v="2250"/>
    <d v="2020-06-03T00:00:00"/>
    <x v="1"/>
    <x v="3"/>
  </r>
  <r>
    <x v="4"/>
    <n v="700"/>
    <n v="5"/>
    <s v="R. Visc. de Pirajá, 136 - Ipanema, Rio de Janeiro - RJ, 22410-000"/>
    <x v="1"/>
    <s v="BIANCA PAZ"/>
    <x v="1"/>
    <n v="62"/>
    <x v="1"/>
    <n v="3500"/>
    <d v="2020-11-24T00:00:00"/>
    <x v="1"/>
    <x v="10"/>
  </r>
  <r>
    <x v="15"/>
    <n v="3000"/>
    <n v="2"/>
    <s v="R. Brasílio Itiberê, 3279 - Água Verde, Curitiba - PR, 80250-160"/>
    <x v="3"/>
    <s v="DANILO ALVES"/>
    <x v="0"/>
    <n v="34"/>
    <x v="0"/>
    <n v="6000"/>
    <d v="2020-11-05T00:00:00"/>
    <x v="1"/>
    <x v="10"/>
  </r>
  <r>
    <x v="0"/>
    <n v="4500"/>
    <n v="4"/>
    <s v="R. Brasílio Itiberê, 3279 - Água Verde, Curitiba - PR, 80250-160"/>
    <x v="3"/>
    <s v="DANIEL NAUENBERG"/>
    <x v="0"/>
    <n v="36"/>
    <x v="0"/>
    <n v="18000"/>
    <d v="2020-01-09T00:00:00"/>
    <x v="1"/>
    <x v="5"/>
  </r>
  <r>
    <x v="21"/>
    <n v="5200"/>
    <n v="4"/>
    <s v="Rua Quinze de Novembro, 8 - Loja 301a Loja 301b - Centro, Niterói - RJ, 24020-125"/>
    <x v="1"/>
    <s v="MICHELLE MIURA"/>
    <x v="1"/>
    <n v="59"/>
    <x v="1"/>
    <n v="20800"/>
    <d v="2020-02-17T00:00:00"/>
    <x v="1"/>
    <x v="4"/>
  </r>
  <r>
    <x v="7"/>
    <n v="2600"/>
    <n v="1"/>
    <s v="Av. Borges de Medeiros, 3120 - Praia de Belas, Porto Alegre - RS, 90110-150"/>
    <x v="8"/>
    <s v="ANDERSON CAVALCANTI"/>
    <x v="0"/>
    <n v="40"/>
    <x v="0"/>
    <n v="2600"/>
    <d v="2020-11-01T00:00:00"/>
    <x v="1"/>
    <x v="10"/>
  </r>
  <r>
    <x v="0"/>
    <n v="4500"/>
    <n v="3"/>
    <s v="R. Visc. de Pirajá, 136 - Ipanema, Rio de Janeiro - RJ, 22410-000"/>
    <x v="1"/>
    <s v="GUILHERME ASSIS"/>
    <x v="0"/>
    <n v="36"/>
    <x v="0"/>
    <n v="13500"/>
    <d v="2020-12-17T00:00:00"/>
    <x v="1"/>
    <x v="8"/>
  </r>
  <r>
    <x v="12"/>
    <n v="1500"/>
    <n v="3"/>
    <s v="R. Luíz Faccini, 212 - Centro, Guarulhos - SP, 07110-000"/>
    <x v="0"/>
    <s v="RILSON DIAS"/>
    <x v="0"/>
    <n v="74"/>
    <x v="1"/>
    <n v="4500"/>
    <d v="2020-12-28T00:00:00"/>
    <x v="1"/>
    <x v="8"/>
  </r>
  <r>
    <x v="13"/>
    <n v="1550"/>
    <n v="1"/>
    <s v="R. Teodoro Sampaio, 954 - Pinheiros, São Paulo - SP, 05406-050"/>
    <x v="0"/>
    <s v="JÉSSICA TEIXEIRA"/>
    <x v="1"/>
    <n v="33"/>
    <x v="0"/>
    <n v="1550"/>
    <d v="2020-10-19T00:00:00"/>
    <x v="1"/>
    <x v="6"/>
  </r>
  <r>
    <x v="1"/>
    <n v="1400"/>
    <n v="5"/>
    <s v="R. Luíz Faccini, 212 - Centro, Guarulhos - SP, 07110-000"/>
    <x v="0"/>
    <s v="BEATRIZ PERDOMO"/>
    <x v="1"/>
    <n v="50"/>
    <x v="0"/>
    <n v="7000"/>
    <d v="2020-07-27T00:00:00"/>
    <x v="1"/>
    <x v="0"/>
  </r>
  <r>
    <x v="0"/>
    <n v="4500"/>
    <n v="4"/>
    <s v="Av. Mal. Floriano Peixoto, 2248-2258 - Centro, Nova Iguaçu - RJ, 26210-000"/>
    <x v="1"/>
    <s v="GUIDO MONTEIRO"/>
    <x v="0"/>
    <n v="66"/>
    <x v="1"/>
    <n v="18000"/>
    <d v="2020-04-05T00:00:00"/>
    <x v="1"/>
    <x v="2"/>
  </r>
  <r>
    <x v="7"/>
    <n v="2600"/>
    <n v="5"/>
    <s v="Av. Barão Homem de Melo, 1389 - Nova Granada, Belo Horizonte - MG, 30431-425"/>
    <x v="7"/>
    <s v="ALEX FERNANDES"/>
    <x v="0"/>
    <n v="51"/>
    <x v="1"/>
    <n v="13000"/>
    <d v="2020-02-14T00:00:00"/>
    <x v="1"/>
    <x v="4"/>
  </r>
  <r>
    <x v="20"/>
    <n v="5500"/>
    <n v="4"/>
    <s v="Rua Quinze de Novembro, 8 - Loja 301a Loja 301b - Centro, Niterói - RJ, 24020-125"/>
    <x v="1"/>
    <s v="NATALIA ACCIOLY"/>
    <x v="1"/>
    <n v="28"/>
    <x v="2"/>
    <n v="22000"/>
    <d v="2020-11-21T00:00:00"/>
    <x v="1"/>
    <x v="10"/>
  </r>
  <r>
    <x v="10"/>
    <n v="750"/>
    <n v="2"/>
    <s v="R. Visc. de Pirajá, 136 - Ipanema, Rio de Janeiro - RJ, 22410-000"/>
    <x v="1"/>
    <s v="JOSÉ FONSECA"/>
    <x v="0"/>
    <n v="75"/>
    <x v="1"/>
    <n v="1500"/>
    <d v="2020-10-21T00:00:00"/>
    <x v="1"/>
    <x v="6"/>
  </r>
  <r>
    <x v="2"/>
    <n v="1900"/>
    <n v="5"/>
    <s v="R. Visc. de Pirajá, 136 - Ipanema, Rio de Janeiro - RJ, 22410-000"/>
    <x v="1"/>
    <s v="JOÃO PEDRAZZA"/>
    <x v="0"/>
    <n v="69"/>
    <x v="1"/>
    <n v="9500"/>
    <d v="2020-08-01T00:00:00"/>
    <x v="1"/>
    <x v="7"/>
  </r>
  <r>
    <x v="15"/>
    <n v="3000"/>
    <n v="3"/>
    <s v="Rua Antônio Lumack do Monte, 203 - 1 - Boa Viagem, Recife - PE, 51020-350"/>
    <x v="6"/>
    <s v="GABRIELLE FIGUEIREDO"/>
    <x v="1"/>
    <n v="49"/>
    <x v="0"/>
    <n v="9000"/>
    <d v="2020-10-18T00:00:00"/>
    <x v="1"/>
    <x v="6"/>
  </r>
  <r>
    <x v="21"/>
    <n v="5200"/>
    <n v="5"/>
    <s v="R. Visc. de Pirajá, 136 - Ipanema, Rio de Janeiro - RJ, 22410-000"/>
    <x v="1"/>
    <s v="GABRIELLA SAGRILLO"/>
    <x v="1"/>
    <n v="36"/>
    <x v="0"/>
    <n v="26000"/>
    <d v="2020-06-10T00:00:00"/>
    <x v="1"/>
    <x v="3"/>
  </r>
  <r>
    <x v="12"/>
    <n v="1500"/>
    <n v="1"/>
    <s v="Av. Mal. Floriano Peixoto, 2248-2258 - Centro, Nova Iguaçu - RJ, 26210-000"/>
    <x v="1"/>
    <s v="GUILHERME LIMA"/>
    <x v="0"/>
    <n v="54"/>
    <x v="1"/>
    <n v="1500"/>
    <d v="2020-04-07T00:00:00"/>
    <x v="1"/>
    <x v="2"/>
  </r>
  <r>
    <x v="13"/>
    <n v="1550"/>
    <n v="3"/>
    <s v="Av. Dom Luís, 500 - Aldeota, Fortaleza - CE, 60160-230"/>
    <x v="2"/>
    <s v="GABRIEL SOARES"/>
    <x v="0"/>
    <n v="66"/>
    <x v="1"/>
    <n v="4650"/>
    <d v="2020-02-20T00:00:00"/>
    <x v="1"/>
    <x v="4"/>
  </r>
  <r>
    <x v="14"/>
    <n v="1500"/>
    <n v="1"/>
    <s v="Shopping Barra - Av. Centenário, 2992 - Barra, Salvador - BA, 40155-150"/>
    <x v="5"/>
    <s v="PAOLA ABREU"/>
    <x v="1"/>
    <n v="31"/>
    <x v="0"/>
    <n v="1500"/>
    <d v="2020-11-05T00:00:00"/>
    <x v="1"/>
    <x v="10"/>
  </r>
  <r>
    <x v="3"/>
    <n v="1500"/>
    <n v="1"/>
    <s v="R. Luíz Faccini, 212 - Centro, Guarulhos - SP, 07110-000"/>
    <x v="0"/>
    <s v="CAROLINA ABRAHÃO"/>
    <x v="1"/>
    <n v="39"/>
    <x v="0"/>
    <n v="1500"/>
    <d v="2020-08-14T00:00:00"/>
    <x v="1"/>
    <x v="7"/>
  </r>
  <r>
    <x v="11"/>
    <n v="2000"/>
    <n v="2"/>
    <s v="Av. Goiás Norte, 3.592 - quadra 2.1 - St. Mal. Rondon, Goiânia - GO, 74063-010"/>
    <x v="4"/>
    <s v="CAROLINA SILVA"/>
    <x v="1"/>
    <n v="41"/>
    <x v="0"/>
    <n v="4000"/>
    <d v="2020-05-25T00:00:00"/>
    <x v="1"/>
    <x v="11"/>
  </r>
  <r>
    <x v="3"/>
    <n v="1500"/>
    <n v="4"/>
    <s v="Av. Goiás Norte, 3.592 - quadra 2.1 - St. Mal. Rondon, Goiânia - GO, 74063-010"/>
    <x v="4"/>
    <s v="BRENO COSTA"/>
    <x v="0"/>
    <n v="55"/>
    <x v="1"/>
    <n v="6000"/>
    <d v="2020-03-23T00:00:00"/>
    <x v="1"/>
    <x v="9"/>
  </r>
  <r>
    <x v="17"/>
    <n v="2300"/>
    <n v="1"/>
    <s v="Av. Mal. Floriano Peixoto, 2248-2258 - Centro, Nova Iguaçu - RJ, 26210-000"/>
    <x v="1"/>
    <s v="MAURÍCIO DIAS"/>
    <x v="0"/>
    <n v="59"/>
    <x v="1"/>
    <n v="2300"/>
    <d v="2020-02-18T00:00:00"/>
    <x v="1"/>
    <x v="4"/>
  </r>
  <r>
    <x v="10"/>
    <n v="750"/>
    <n v="4"/>
    <s v="R. Brasílio Itiberê, 3279 - Água Verde, Curitiba - PR, 80250-160"/>
    <x v="3"/>
    <s v="DANILO ALVES"/>
    <x v="0"/>
    <n v="34"/>
    <x v="0"/>
    <n v="3000"/>
    <d v="2020-09-26T00:00:00"/>
    <x v="1"/>
    <x v="1"/>
  </r>
  <r>
    <x v="16"/>
    <n v="1200"/>
    <n v="5"/>
    <s v="R. Luíz Faccini, 212 - Centro, Guarulhos - SP, 07110-000"/>
    <x v="0"/>
    <s v="WELLINGTON DUARTE"/>
    <x v="0"/>
    <n v="55"/>
    <x v="1"/>
    <n v="6000"/>
    <d v="2020-12-10T00:00:00"/>
    <x v="1"/>
    <x v="8"/>
  </r>
  <r>
    <x v="4"/>
    <n v="700"/>
    <n v="2"/>
    <s v="Av. Borges de Medeiros, 3120 - Praia de Belas, Porto Alegre - RS, 90110-150"/>
    <x v="8"/>
    <s v="ANA MIURA"/>
    <x v="1"/>
    <n v="49"/>
    <x v="0"/>
    <n v="1400"/>
    <d v="2020-02-06T00:00:00"/>
    <x v="1"/>
    <x v="4"/>
  </r>
  <r>
    <x v="11"/>
    <n v="2000"/>
    <n v="1"/>
    <s v="R. Dr. Antônio Castro Prado, 422 - Vila Rossi e Borchi, Campinas - SP, 13076-130"/>
    <x v="0"/>
    <s v="JOÃO JUNIOR"/>
    <x v="0"/>
    <n v="43"/>
    <x v="0"/>
    <n v="2000"/>
    <d v="2020-05-06T00:00:00"/>
    <x v="1"/>
    <x v="11"/>
  </r>
  <r>
    <x v="13"/>
    <n v="1550"/>
    <n v="5"/>
    <s v="Av. Barão Homem de Melo, 1389 - Nova Granada, Belo Horizonte - MG, 30431-425"/>
    <x v="7"/>
    <s v="ALEXANDRE RODRIGUEZ"/>
    <x v="0"/>
    <n v="62"/>
    <x v="1"/>
    <n v="7750"/>
    <d v="2020-10-16T00:00:00"/>
    <x v="1"/>
    <x v="6"/>
  </r>
  <r>
    <x v="5"/>
    <n v="1450"/>
    <n v="5"/>
    <s v="Av. Goiás Norte, 3.592 - quadra 2.1 - St. Mal. Rondon, Goiânia - GO, 74063-010"/>
    <x v="4"/>
    <s v="LORENA CARVALHO"/>
    <x v="1"/>
    <n v="55"/>
    <x v="1"/>
    <n v="7250"/>
    <d v="2020-06-17T00:00:00"/>
    <x v="1"/>
    <x v="3"/>
  </r>
  <r>
    <x v="15"/>
    <n v="3000"/>
    <n v="3"/>
    <s v="Rua Quinze de Novembro, 8 - Loja 301a Loja 301b - Centro, Niterói - RJ, 24020-125"/>
    <x v="1"/>
    <s v="CLARISSA SANTOS"/>
    <x v="1"/>
    <n v="71"/>
    <x v="1"/>
    <n v="9000"/>
    <d v="2020-01-24T00:00:00"/>
    <x v="1"/>
    <x v="5"/>
  </r>
  <r>
    <x v="21"/>
    <n v="5200"/>
    <n v="4"/>
    <s v="R. Teodoro Sampaio, 954 - Pinheiros, São Paulo - SP, 05406-050"/>
    <x v="0"/>
    <s v="EDUARDO FERREIRA"/>
    <x v="0"/>
    <n v="46"/>
    <x v="0"/>
    <n v="20800"/>
    <d v="2020-02-13T00:00:00"/>
    <x v="1"/>
    <x v="4"/>
  </r>
  <r>
    <x v="17"/>
    <n v="2300"/>
    <n v="4"/>
    <s v="Av. Borges de Medeiros, 3120 - Praia de Belas, Porto Alegre - RS, 90110-150"/>
    <x v="8"/>
    <s v="BRUNA SOARES"/>
    <x v="1"/>
    <n v="49"/>
    <x v="0"/>
    <n v="9200"/>
    <d v="2020-05-05T00:00:00"/>
    <x v="1"/>
    <x v="11"/>
  </r>
  <r>
    <x v="11"/>
    <n v="2000"/>
    <n v="1"/>
    <s v="R. Luíz Faccini, 212 - Centro, Guarulhos - SP, 07110-000"/>
    <x v="0"/>
    <s v="CAROLINA ABRAHÃO"/>
    <x v="1"/>
    <n v="39"/>
    <x v="0"/>
    <n v="2000"/>
    <d v="2020-10-14T00:00:00"/>
    <x v="1"/>
    <x v="6"/>
  </r>
  <r>
    <x v="11"/>
    <n v="2000"/>
    <n v="5"/>
    <s v="Rua Antônio Lumack do Monte, 203 - 1 - Boa Viagem, Recife - PE, 51020-350"/>
    <x v="6"/>
    <s v="VICTOR FRANCO"/>
    <x v="0"/>
    <n v="35"/>
    <x v="0"/>
    <n v="10000"/>
    <d v="2020-08-16T00:00:00"/>
    <x v="1"/>
    <x v="7"/>
  </r>
  <r>
    <x v="6"/>
    <n v="6500"/>
    <n v="1"/>
    <s v="Av. Borges de Medeiros, 3120 - Praia de Belas, Porto Alegre - RS, 90110-150"/>
    <x v="8"/>
    <s v="ARTHUR ROCHA"/>
    <x v="0"/>
    <n v="58"/>
    <x v="1"/>
    <n v="6500"/>
    <d v="2020-06-12T00:00:00"/>
    <x v="1"/>
    <x v="3"/>
  </r>
  <r>
    <x v="20"/>
    <n v="5500"/>
    <n v="3"/>
    <s v="R. Brasílio Itiberê, 3279 - Água Verde, Curitiba - PR, 80250-160"/>
    <x v="3"/>
    <s v="MILENA ALMEIDA"/>
    <x v="1"/>
    <n v="44"/>
    <x v="0"/>
    <n v="16500"/>
    <d v="2020-08-30T00:00:00"/>
    <x v="1"/>
    <x v="7"/>
  </r>
  <r>
    <x v="4"/>
    <n v="700"/>
    <n v="2"/>
    <s v="R. Luíz Faccini, 212 - Centro, Guarulhos - SP, 07110-000"/>
    <x v="0"/>
    <s v="DAVID CAMPELO"/>
    <x v="0"/>
    <n v="29"/>
    <x v="2"/>
    <n v="1400"/>
    <d v="2020-05-12T00:00:00"/>
    <x v="1"/>
    <x v="11"/>
  </r>
  <r>
    <x v="3"/>
    <n v="1500"/>
    <n v="4"/>
    <s v="Av. Mal. Floriano Peixoto, 2248-2258 - Centro, Nova Iguaçu - RJ, 26210-000"/>
    <x v="1"/>
    <s v="MARIA CORREA"/>
    <x v="1"/>
    <n v="34"/>
    <x v="0"/>
    <n v="6000"/>
    <d v="2020-09-12T00:00:00"/>
    <x v="1"/>
    <x v="1"/>
  </r>
  <r>
    <x v="12"/>
    <n v="1500"/>
    <n v="2"/>
    <s v="Av. Mal. Floriano Peixoto, 2248-2258 - Centro, Nova Iguaçu - RJ, 26210-000"/>
    <x v="1"/>
    <s v="ERIC NEVES"/>
    <x v="0"/>
    <n v="56"/>
    <x v="1"/>
    <n v="3000"/>
    <d v="2020-09-21T00:00:00"/>
    <x v="1"/>
    <x v="1"/>
  </r>
  <r>
    <x v="21"/>
    <n v="5200"/>
    <n v="5"/>
    <s v="Av. Borges de Medeiros, 3120 - Praia de Belas, Porto Alegre - RS, 90110-150"/>
    <x v="8"/>
    <s v="DIEGO MELLO"/>
    <x v="0"/>
    <n v="38"/>
    <x v="0"/>
    <n v="26000"/>
    <d v="2020-04-30T00:00:00"/>
    <x v="1"/>
    <x v="2"/>
  </r>
  <r>
    <x v="6"/>
    <n v="6500"/>
    <n v="4"/>
    <s v="R. Luíz Faccini, 212 - Centro, Guarulhos - SP, 07110-000"/>
    <x v="0"/>
    <s v="JOÃO BACH"/>
    <x v="0"/>
    <n v="45"/>
    <x v="0"/>
    <n v="26000"/>
    <d v="2020-12-10T00:00:00"/>
    <x v="1"/>
    <x v="8"/>
  </r>
  <r>
    <x v="1"/>
    <n v="1400"/>
    <n v="2"/>
    <s v="R. Luíz Faccini, 212 - Centro, Guarulhos - SP, 07110-000"/>
    <x v="0"/>
    <s v="FELIPE CAVALCANTI"/>
    <x v="0"/>
    <n v="30"/>
    <x v="0"/>
    <n v="2800"/>
    <d v="2020-03-08T00:00:00"/>
    <x v="1"/>
    <x v="9"/>
  </r>
  <r>
    <x v="1"/>
    <n v="1400"/>
    <n v="4"/>
    <s v="Av. Borges de Medeiros, 3120 - Praia de Belas, Porto Alegre - RS, 90110-150"/>
    <x v="8"/>
    <s v="TAINAH NOGUEIRA"/>
    <x v="1"/>
    <n v="43"/>
    <x v="0"/>
    <n v="5600"/>
    <d v="2020-05-19T00:00:00"/>
    <x v="1"/>
    <x v="11"/>
  </r>
  <r>
    <x v="7"/>
    <n v="2600"/>
    <n v="5"/>
    <s v="R. Brasílio Itiberê, 3279 - Água Verde, Curitiba - PR, 80250-160"/>
    <x v="3"/>
    <s v="ROGÉRIO PEREIRA"/>
    <x v="0"/>
    <n v="27"/>
    <x v="2"/>
    <n v="13000"/>
    <d v="2020-12-19T00:00:00"/>
    <x v="1"/>
    <x v="8"/>
  </r>
  <r>
    <x v="13"/>
    <n v="1550"/>
    <n v="1"/>
    <s v="Av. Dom Luís, 500 - Aldeota, Fortaleza - CE, 60160-230"/>
    <x v="2"/>
    <s v="ANDERSON MARTINS"/>
    <x v="0"/>
    <n v="69"/>
    <x v="1"/>
    <n v="1550"/>
    <d v="2020-06-15T00:00:00"/>
    <x v="1"/>
    <x v="3"/>
  </r>
  <r>
    <x v="23"/>
    <n v="1100"/>
    <n v="3"/>
    <s v="Rua Antônio Lumack do Monte, 203 - 1 - Boa Viagem, Recife - PE, 51020-350"/>
    <x v="6"/>
    <s v="GABRIEL GARCIA"/>
    <x v="0"/>
    <n v="75"/>
    <x v="1"/>
    <n v="3300"/>
    <d v="2020-09-20T00:00:00"/>
    <x v="1"/>
    <x v="1"/>
  </r>
  <r>
    <x v="20"/>
    <n v="5500"/>
    <n v="4"/>
    <s v="R. Brasílio Itiberê, 3279 - Água Verde, Curitiba - PR, 80250-160"/>
    <x v="3"/>
    <s v="SILVIO FAHRNHOLZ"/>
    <x v="0"/>
    <n v="50"/>
    <x v="0"/>
    <n v="22000"/>
    <d v="2020-01-09T00:00:00"/>
    <x v="1"/>
    <x v="5"/>
  </r>
  <r>
    <x v="5"/>
    <n v="1450"/>
    <n v="5"/>
    <s v="Av. Barão Homem de Melo, 1389 - Nova Granada, Belo Horizonte - MG, 30431-425"/>
    <x v="7"/>
    <s v="YASSER CALBUCCI"/>
    <x v="0"/>
    <n v="45"/>
    <x v="0"/>
    <n v="7250"/>
    <d v="2020-11-09T00:00:00"/>
    <x v="1"/>
    <x v="10"/>
  </r>
  <r>
    <x v="16"/>
    <n v="1200"/>
    <n v="4"/>
    <s v="R. Luíz Faccini, 212 - Centro, Guarulhos - SP, 07110-000"/>
    <x v="0"/>
    <s v="CARLOS PORTELA"/>
    <x v="0"/>
    <n v="63"/>
    <x v="1"/>
    <n v="4800"/>
    <d v="2020-01-29T00:00:00"/>
    <x v="1"/>
    <x v="5"/>
  </r>
  <r>
    <x v="0"/>
    <n v="4500"/>
    <n v="3"/>
    <s v="Av. Mal. Floriano Peixoto, 2248-2258 - Centro, Nova Iguaçu - RJ, 26210-000"/>
    <x v="1"/>
    <s v="JÔNATAS SOARES"/>
    <x v="0"/>
    <n v="56"/>
    <x v="1"/>
    <n v="13500"/>
    <d v="2020-03-16T00:00:00"/>
    <x v="1"/>
    <x v="9"/>
  </r>
  <r>
    <x v="6"/>
    <n v="6500"/>
    <n v="1"/>
    <s v="R. Visc. de Pirajá, 136 - Ipanema, Rio de Janeiro - RJ, 22410-000"/>
    <x v="1"/>
    <s v="CAROLINA MOTTA"/>
    <x v="1"/>
    <n v="29"/>
    <x v="2"/>
    <n v="6500"/>
    <d v="2020-01-07T00:00:00"/>
    <x v="1"/>
    <x v="5"/>
  </r>
  <r>
    <x v="5"/>
    <n v="1450"/>
    <n v="4"/>
    <s v="Rua Quinze de Novembro, 8 - Loja 301a Loja 301b - Centro, Niterói - RJ, 24020-125"/>
    <x v="1"/>
    <s v="NORMAN JIMBO"/>
    <x v="0"/>
    <n v="66"/>
    <x v="1"/>
    <n v="5800"/>
    <d v="2020-11-24T00:00:00"/>
    <x v="1"/>
    <x v="10"/>
  </r>
  <r>
    <x v="3"/>
    <n v="1500"/>
    <n v="1"/>
    <s v="Av. Borges de Medeiros, 3120 - Praia de Belas, Porto Alegre - RS, 90110-150"/>
    <x v="8"/>
    <s v="RAFAEL GUIMARÃES"/>
    <x v="0"/>
    <n v="28"/>
    <x v="2"/>
    <n v="1500"/>
    <d v="2020-07-11T00:00:00"/>
    <x v="1"/>
    <x v="0"/>
  </r>
  <r>
    <x v="8"/>
    <n v="1400"/>
    <n v="1"/>
    <s v="R. Dr. Antônio Castro Prado, 422 - Vila Rossi e Borchi, Campinas - SP, 13076-130"/>
    <x v="0"/>
    <s v="CARLOS ARAUJO"/>
    <x v="0"/>
    <n v="61"/>
    <x v="1"/>
    <n v="1400"/>
    <d v="2020-11-28T00:00:00"/>
    <x v="1"/>
    <x v="10"/>
  </r>
  <r>
    <x v="23"/>
    <n v="1100"/>
    <n v="2"/>
    <s v="Av. Mal. Floriano Peixoto, 2248-2258 - Centro, Nova Iguaçu - RJ, 26210-000"/>
    <x v="1"/>
    <s v="STEFAN NUNES"/>
    <x v="0"/>
    <n v="64"/>
    <x v="1"/>
    <n v="2200"/>
    <d v="2020-10-20T00:00:00"/>
    <x v="1"/>
    <x v="6"/>
  </r>
  <r>
    <x v="7"/>
    <n v="2600"/>
    <n v="1"/>
    <s v="Av. Borges de Medeiros, 3120 - Praia de Belas, Porto Alegre - RS, 90110-150"/>
    <x v="8"/>
    <s v="IURI BARBOSA"/>
    <x v="0"/>
    <n v="25"/>
    <x v="2"/>
    <n v="2600"/>
    <d v="2020-04-18T00:00:00"/>
    <x v="1"/>
    <x v="2"/>
  </r>
  <r>
    <x v="6"/>
    <n v="6500"/>
    <n v="1"/>
    <s v="R. Teodoro Sampaio, 954 - Pinheiros, São Paulo - SP, 05406-050"/>
    <x v="0"/>
    <s v="CAROLINA SANTOS"/>
    <x v="1"/>
    <n v="72"/>
    <x v="1"/>
    <n v="6500"/>
    <d v="2020-10-23T00:00:00"/>
    <x v="1"/>
    <x v="6"/>
  </r>
  <r>
    <x v="18"/>
    <n v="2500"/>
    <n v="5"/>
    <s v="R. Brasílio Itiberê, 3279 - Água Verde, Curitiba - PR, 80250-160"/>
    <x v="3"/>
    <s v="ANNA SILVA"/>
    <x v="1"/>
    <n v="69"/>
    <x v="1"/>
    <n v="12500"/>
    <d v="2020-02-23T00:00:00"/>
    <x v="1"/>
    <x v="4"/>
  </r>
  <r>
    <x v="12"/>
    <n v="1500"/>
    <n v="4"/>
    <s v="Rua Antônio Lumack do Monte, 203 - 1 - Boa Viagem, Recife - PE, 51020-350"/>
    <x v="6"/>
    <s v="HÉRCULES JÚNIOR"/>
    <x v="0"/>
    <n v="56"/>
    <x v="1"/>
    <n v="6000"/>
    <d v="2020-12-29T00:00:00"/>
    <x v="1"/>
    <x v="8"/>
  </r>
  <r>
    <x v="1"/>
    <n v="1400"/>
    <n v="3"/>
    <s v="Av. Mal. Floriano Peixoto, 2248-2258 - Centro, Nova Iguaçu - RJ, 26210-000"/>
    <x v="1"/>
    <s v="STEFAN NUNES"/>
    <x v="0"/>
    <n v="64"/>
    <x v="1"/>
    <n v="4200"/>
    <d v="2020-03-07T00:00:00"/>
    <x v="1"/>
    <x v="9"/>
  </r>
  <r>
    <x v="3"/>
    <n v="1500"/>
    <n v="5"/>
    <s v="R. Luíz Faccini, 212 - Centro, Guarulhos - SP, 07110-000"/>
    <x v="0"/>
    <s v="THIAGO VELOSO"/>
    <x v="0"/>
    <n v="44"/>
    <x v="0"/>
    <n v="7500"/>
    <d v="2020-07-05T00:00:00"/>
    <x v="1"/>
    <x v="0"/>
  </r>
  <r>
    <x v="0"/>
    <n v="4500"/>
    <n v="1"/>
    <s v="Av. Borges de Medeiros, 3120 - Praia de Belas, Porto Alegre - RS, 90110-150"/>
    <x v="8"/>
    <s v="BRUNA SILVEIRA"/>
    <x v="1"/>
    <n v="70"/>
    <x v="1"/>
    <n v="4500"/>
    <d v="2020-07-12T00:00:00"/>
    <x v="1"/>
    <x v="0"/>
  </r>
  <r>
    <x v="9"/>
    <n v="2000"/>
    <n v="2"/>
    <s v="Av. Borges de Medeiros, 3120 - Praia de Belas, Porto Alegre - RS, 90110-150"/>
    <x v="8"/>
    <s v="TAINAH NOGUEIRA"/>
    <x v="1"/>
    <n v="43"/>
    <x v="0"/>
    <n v="4000"/>
    <d v="2020-03-26T00:00:00"/>
    <x v="1"/>
    <x v="9"/>
  </r>
  <r>
    <x v="23"/>
    <n v="1100"/>
    <n v="1"/>
    <s v="Av. Borges de Medeiros, 3120 - Praia de Belas, Porto Alegre - RS, 90110-150"/>
    <x v="8"/>
    <s v="IURI BARBOSA"/>
    <x v="0"/>
    <n v="25"/>
    <x v="2"/>
    <n v="1100"/>
    <d v="2020-11-25T00:00:00"/>
    <x v="1"/>
    <x v="10"/>
  </r>
  <r>
    <x v="11"/>
    <n v="2000"/>
    <n v="5"/>
    <s v="Av. Goiás Norte, 3.592 - quadra 2.1 - St. Mal. Rondon, Goiânia - GO, 74063-010"/>
    <x v="4"/>
    <s v="VICTOR CORRÊA"/>
    <x v="0"/>
    <n v="48"/>
    <x v="0"/>
    <n v="10000"/>
    <d v="2020-09-13T00:00:00"/>
    <x v="1"/>
    <x v="1"/>
  </r>
  <r>
    <x v="17"/>
    <n v="2300"/>
    <n v="1"/>
    <s v="R. Luíz Faccini, 212 - Centro, Guarulhos - SP, 07110-000"/>
    <x v="0"/>
    <s v="ADRIELLE VIEIRA"/>
    <x v="1"/>
    <n v="49"/>
    <x v="0"/>
    <n v="2300"/>
    <d v="2020-03-02T00:00:00"/>
    <x v="1"/>
    <x v="9"/>
  </r>
  <r>
    <x v="17"/>
    <n v="2300"/>
    <n v="3"/>
    <s v="Av. Goiás Norte, 3.592 - quadra 2.1 - St. Mal. Rondon, Goiânia - GO, 74063-010"/>
    <x v="4"/>
    <s v="DANDARA REIS"/>
    <x v="1"/>
    <n v="42"/>
    <x v="0"/>
    <n v="6900"/>
    <d v="2020-03-13T00:00:00"/>
    <x v="1"/>
    <x v="9"/>
  </r>
  <r>
    <x v="0"/>
    <n v="4500"/>
    <n v="5"/>
    <s v="R. Luíz Faccini, 212 - Centro, Guarulhos - SP, 07110-000"/>
    <x v="0"/>
    <s v="FELIPE CAVALCANTI"/>
    <x v="0"/>
    <n v="30"/>
    <x v="0"/>
    <n v="22500"/>
    <d v="2020-02-20T00:00:00"/>
    <x v="1"/>
    <x v="4"/>
  </r>
  <r>
    <x v="4"/>
    <n v="700"/>
    <n v="5"/>
    <s v="Av. Borges de Medeiros, 3120 - Praia de Belas, Porto Alegre - RS, 90110-150"/>
    <x v="8"/>
    <s v="ARTHUR PEREIRA"/>
    <x v="0"/>
    <n v="42"/>
    <x v="0"/>
    <n v="3500"/>
    <d v="2020-12-03T00:00:00"/>
    <x v="1"/>
    <x v="8"/>
  </r>
  <r>
    <x v="12"/>
    <n v="1500"/>
    <n v="5"/>
    <s v="R. Brasílio Itiberê, 3279 - Água Verde, Curitiba - PR, 80250-160"/>
    <x v="3"/>
    <s v="ANNA SILVA"/>
    <x v="1"/>
    <n v="69"/>
    <x v="1"/>
    <n v="7500"/>
    <d v="2020-07-20T00:00:00"/>
    <x v="1"/>
    <x v="0"/>
  </r>
  <r>
    <x v="12"/>
    <n v="1500"/>
    <n v="5"/>
    <s v="R. Dr. Antônio Castro Prado, 422 - Vila Rossi e Borchi, Campinas - SP, 13076-130"/>
    <x v="0"/>
    <s v="MORGANA CORREA"/>
    <x v="1"/>
    <n v="42"/>
    <x v="0"/>
    <n v="7500"/>
    <d v="2020-08-25T00:00:00"/>
    <x v="1"/>
    <x v="7"/>
  </r>
  <r>
    <x v="3"/>
    <n v="1500"/>
    <n v="4"/>
    <s v="R. Dr. Antônio Castro Prado, 422 - Vila Rossi e Borchi, Campinas - SP, 13076-130"/>
    <x v="0"/>
    <s v="JONATAS PASSOS"/>
    <x v="0"/>
    <n v="52"/>
    <x v="1"/>
    <n v="6000"/>
    <d v="2020-02-10T00:00:00"/>
    <x v="1"/>
    <x v="4"/>
  </r>
  <r>
    <x v="4"/>
    <n v="700"/>
    <n v="5"/>
    <s v="R. Luíz Faccini, 212 - Centro, Guarulhos - SP, 07110-000"/>
    <x v="0"/>
    <s v="CAIO SILVA"/>
    <x v="0"/>
    <n v="52"/>
    <x v="1"/>
    <n v="3500"/>
    <d v="2020-06-01T00:00:00"/>
    <x v="1"/>
    <x v="3"/>
  </r>
  <r>
    <x v="17"/>
    <n v="2300"/>
    <n v="5"/>
    <s v="R. Brasílio Itiberê, 3279 - Água Verde, Curitiba - PR, 80250-160"/>
    <x v="3"/>
    <s v="ROGER ROSA"/>
    <x v="0"/>
    <n v="72"/>
    <x v="1"/>
    <n v="11500"/>
    <d v="2020-06-13T00:00:00"/>
    <x v="1"/>
    <x v="3"/>
  </r>
  <r>
    <x v="20"/>
    <n v="5500"/>
    <n v="5"/>
    <s v="R. Luíz Faccini, 212 - Centro, Guarulhos - SP, 07110-000"/>
    <x v="0"/>
    <s v="ISABELLE GONÇALVES"/>
    <x v="1"/>
    <n v="64"/>
    <x v="1"/>
    <n v="27500"/>
    <d v="2020-08-07T00:00:00"/>
    <x v="1"/>
    <x v="7"/>
  </r>
  <r>
    <x v="16"/>
    <n v="1200"/>
    <n v="1"/>
    <s v="R. Teodoro Sampaio, 954 - Pinheiros, São Paulo - SP, 05406-050"/>
    <x v="0"/>
    <s v="GABRIEL ASSIS"/>
    <x v="0"/>
    <n v="44"/>
    <x v="0"/>
    <n v="1200"/>
    <d v="2020-01-29T00:00:00"/>
    <x v="1"/>
    <x v="5"/>
  </r>
  <r>
    <x v="3"/>
    <n v="1500"/>
    <n v="3"/>
    <s v="Av. Dom Luís, 500 - Aldeota, Fortaleza - CE, 60160-230"/>
    <x v="2"/>
    <s v="MARINA MARINS"/>
    <x v="1"/>
    <n v="75"/>
    <x v="1"/>
    <n v="4500"/>
    <d v="2020-11-24T00:00:00"/>
    <x v="1"/>
    <x v="10"/>
  </r>
  <r>
    <x v="21"/>
    <n v="5200"/>
    <n v="1"/>
    <s v="R. Luíz Faccini, 212 - Centro, Guarulhos - SP, 07110-000"/>
    <x v="0"/>
    <s v="PATRICK SILVA"/>
    <x v="0"/>
    <n v="57"/>
    <x v="1"/>
    <n v="5200"/>
    <d v="2020-05-05T00:00:00"/>
    <x v="1"/>
    <x v="11"/>
  </r>
  <r>
    <x v="3"/>
    <n v="1500"/>
    <n v="3"/>
    <s v="Av. Barão Homem de Melo, 1389 - Nova Granada, Belo Horizonte - MG, 30431-425"/>
    <x v="7"/>
    <s v="RUAN LOPES"/>
    <x v="0"/>
    <n v="26"/>
    <x v="2"/>
    <n v="4500"/>
    <d v="2020-04-08T00:00:00"/>
    <x v="1"/>
    <x v="2"/>
  </r>
  <r>
    <x v="20"/>
    <n v="5500"/>
    <n v="1"/>
    <s v="R. Luíz Faccini, 212 - Centro, Guarulhos - SP, 07110-000"/>
    <x v="0"/>
    <s v="ANTONIO BERNHARDT"/>
    <x v="0"/>
    <n v="52"/>
    <x v="1"/>
    <n v="5500"/>
    <d v="2020-10-22T00:00:00"/>
    <x v="1"/>
    <x v="6"/>
  </r>
  <r>
    <x v="3"/>
    <n v="1500"/>
    <n v="4"/>
    <s v="Av. Borges de Medeiros, 3120 - Praia de Belas, Porto Alegre - RS, 90110-150"/>
    <x v="8"/>
    <s v="DAVID ASSUMPÇÃO"/>
    <x v="0"/>
    <n v="30"/>
    <x v="0"/>
    <n v="6000"/>
    <d v="2020-01-01T00:00:00"/>
    <x v="1"/>
    <x v="5"/>
  </r>
  <r>
    <x v="11"/>
    <n v="2000"/>
    <n v="3"/>
    <s v="Av. Mal. Floriano Peixoto, 2248-2258 - Centro, Nova Iguaçu - RJ, 26210-000"/>
    <x v="1"/>
    <s v="JACKSON DEROSSI"/>
    <x v="0"/>
    <n v="38"/>
    <x v="0"/>
    <n v="6000"/>
    <d v="2020-02-28T00:00:00"/>
    <x v="1"/>
    <x v="4"/>
  </r>
  <r>
    <x v="10"/>
    <n v="750"/>
    <n v="2"/>
    <s v="Rua Antônio Lumack do Monte, 203 - 1 - Boa Viagem, Recife - PE, 51020-350"/>
    <x v="6"/>
    <s v="KATHARINA BARROS"/>
    <x v="1"/>
    <n v="65"/>
    <x v="1"/>
    <n v="1500"/>
    <d v="2020-07-08T00:00:00"/>
    <x v="1"/>
    <x v="0"/>
  </r>
  <r>
    <x v="14"/>
    <n v="1500"/>
    <n v="3"/>
    <s v="Shopping Barra - Av. Centenário, 2992 - Barra, Salvador - BA, 40155-150"/>
    <x v="5"/>
    <s v="PAOLA ABREU"/>
    <x v="1"/>
    <n v="31"/>
    <x v="0"/>
    <n v="4500"/>
    <d v="2020-11-05T00:00:00"/>
    <x v="1"/>
    <x v="10"/>
  </r>
  <r>
    <x v="17"/>
    <n v="2300"/>
    <n v="4"/>
    <s v="Rua Quinze de Novembro, 8 - Loja 301a Loja 301b - Centro, Niterói - RJ, 24020-125"/>
    <x v="1"/>
    <s v="RAFAEL RAMOS"/>
    <x v="0"/>
    <n v="40"/>
    <x v="0"/>
    <n v="9200"/>
    <d v="2020-07-25T00:00:00"/>
    <x v="1"/>
    <x v="0"/>
  </r>
  <r>
    <x v="17"/>
    <n v="2300"/>
    <n v="3"/>
    <s v="Av. Borges de Medeiros, 3120 - Praia de Belas, Porto Alegre - RS, 90110-150"/>
    <x v="8"/>
    <s v="MELISSA NUCCI"/>
    <x v="1"/>
    <n v="46"/>
    <x v="0"/>
    <n v="6900"/>
    <d v="2020-01-06T00:00:00"/>
    <x v="1"/>
    <x v="5"/>
  </r>
  <r>
    <x v="19"/>
    <n v="1750"/>
    <n v="1"/>
    <s v="Av. Goiás Norte, 3.592 - quadra 2.1 - St. Mal. Rondon, Goiânia - GO, 74063-010"/>
    <x v="4"/>
    <s v="JOÃO GUADAGNINO"/>
    <x v="0"/>
    <n v="75"/>
    <x v="1"/>
    <n v="1750"/>
    <d v="2020-02-20T00:00:00"/>
    <x v="1"/>
    <x v="4"/>
  </r>
  <r>
    <x v="12"/>
    <n v="1500"/>
    <n v="1"/>
    <s v="Av. Barão Homem de Melo, 1389 - Nova Granada, Belo Horizonte - MG, 30431-425"/>
    <x v="7"/>
    <s v="ALEXANDRE RODRIGUEZ"/>
    <x v="0"/>
    <n v="62"/>
    <x v="1"/>
    <n v="1500"/>
    <d v="2020-09-24T00:00:00"/>
    <x v="1"/>
    <x v="1"/>
  </r>
  <r>
    <x v="11"/>
    <n v="2000"/>
    <n v="5"/>
    <s v="Rua Antônio Lumack do Monte, 203 - 1 - Boa Viagem, Recife - PE, 51020-350"/>
    <x v="6"/>
    <s v="RAÍSA RODRIGUES"/>
    <x v="1"/>
    <n v="68"/>
    <x v="1"/>
    <n v="10000"/>
    <d v="2020-05-03T00:00:00"/>
    <x v="1"/>
    <x v="11"/>
  </r>
  <r>
    <x v="4"/>
    <n v="700"/>
    <n v="3"/>
    <s v="Av. Borges de Medeiros, 3120 - Praia de Belas, Porto Alegre - RS, 90110-150"/>
    <x v="8"/>
    <s v="CAIO MOURA"/>
    <x v="0"/>
    <n v="66"/>
    <x v="1"/>
    <n v="2100"/>
    <d v="2020-04-10T00:00:00"/>
    <x v="1"/>
    <x v="2"/>
  </r>
  <r>
    <x v="17"/>
    <n v="2300"/>
    <n v="5"/>
    <s v="Av. Mal. Floriano Peixoto, 2248-2258 - Centro, Nova Iguaçu - RJ, 26210-000"/>
    <x v="1"/>
    <s v="THIAGO MIURA"/>
    <x v="0"/>
    <n v="47"/>
    <x v="0"/>
    <n v="11500"/>
    <d v="2020-07-13T00:00:00"/>
    <x v="1"/>
    <x v="0"/>
  </r>
  <r>
    <x v="9"/>
    <n v="2000"/>
    <n v="5"/>
    <s v="Av. Mal. Floriano Peixoto, 2248-2258 - Centro, Nova Iguaçu - RJ, 26210-000"/>
    <x v="1"/>
    <s v="GIUSEPPE BORGES"/>
    <x v="0"/>
    <n v="75"/>
    <x v="1"/>
    <n v="10000"/>
    <d v="2020-03-10T00:00:00"/>
    <x v="1"/>
    <x v="9"/>
  </r>
  <r>
    <x v="17"/>
    <n v="2300"/>
    <n v="5"/>
    <s v="R. Teodoro Sampaio, 954 - Pinheiros, São Paulo - SP, 05406-050"/>
    <x v="0"/>
    <s v="MARINA PERDOMO"/>
    <x v="1"/>
    <n v="32"/>
    <x v="0"/>
    <n v="11500"/>
    <d v="2020-01-25T00:00:00"/>
    <x v="1"/>
    <x v="5"/>
  </r>
  <r>
    <x v="8"/>
    <n v="1400"/>
    <n v="1"/>
    <s v="R. Visc. de Pirajá, 136 - Ipanema, Rio de Janeiro - RJ, 22410-000"/>
    <x v="1"/>
    <s v="JOSÉ FONSECA"/>
    <x v="0"/>
    <n v="75"/>
    <x v="1"/>
    <n v="1400"/>
    <d v="2020-07-06T00:00:00"/>
    <x v="1"/>
    <x v="0"/>
  </r>
  <r>
    <x v="2"/>
    <n v="1900"/>
    <n v="2"/>
    <s v="Av. Borges de Medeiros, 3120 - Praia de Belas, Porto Alegre - RS, 90110-150"/>
    <x v="8"/>
    <s v="LARISSA NAUENBERG"/>
    <x v="1"/>
    <n v="57"/>
    <x v="1"/>
    <n v="3800"/>
    <d v="2020-11-22T00:00:00"/>
    <x v="1"/>
    <x v="10"/>
  </r>
  <r>
    <x v="21"/>
    <n v="5200"/>
    <n v="1"/>
    <s v="R. Luíz Faccini, 212 - Centro, Guarulhos - SP, 07110-000"/>
    <x v="0"/>
    <s v="MYLLENA CARNEIRO"/>
    <x v="1"/>
    <n v="60"/>
    <x v="1"/>
    <n v="5200"/>
    <d v="2020-05-21T00:00:00"/>
    <x v="1"/>
    <x v="11"/>
  </r>
  <r>
    <x v="16"/>
    <n v="1200"/>
    <n v="3"/>
    <s v="Av. Mal. Floriano Peixoto, 2248-2258 - Centro, Nova Iguaçu - RJ, 26210-000"/>
    <x v="1"/>
    <s v="ADRIANO SILVA"/>
    <x v="0"/>
    <n v="46"/>
    <x v="0"/>
    <n v="3600"/>
    <d v="2020-02-02T00:00:00"/>
    <x v="1"/>
    <x v="4"/>
  </r>
  <r>
    <x v="10"/>
    <n v="750"/>
    <n v="2"/>
    <s v="Av. Borges de Medeiros, 3120 - Praia de Belas, Porto Alegre - RS, 90110-150"/>
    <x v="8"/>
    <s v="THAINÁ BINELLO"/>
    <x v="1"/>
    <n v="75"/>
    <x v="1"/>
    <n v="1500"/>
    <d v="2020-05-15T00:00:00"/>
    <x v="1"/>
    <x v="11"/>
  </r>
  <r>
    <x v="8"/>
    <n v="1400"/>
    <n v="1"/>
    <s v="Av. Mal. Floriano Peixoto, 2248-2258 - Centro, Nova Iguaçu - RJ, 26210-000"/>
    <x v="1"/>
    <s v="BRUNA FRANCO"/>
    <x v="1"/>
    <n v="45"/>
    <x v="0"/>
    <n v="1400"/>
    <d v="2020-04-04T00:00:00"/>
    <x v="1"/>
    <x v="2"/>
  </r>
  <r>
    <x v="14"/>
    <n v="1500"/>
    <n v="1"/>
    <s v="R. Visc. de Pirajá, 136 - Ipanema, Rio de Janeiro - RJ, 22410-000"/>
    <x v="1"/>
    <s v="PEDRO SANTANA"/>
    <x v="0"/>
    <n v="50"/>
    <x v="0"/>
    <n v="1500"/>
    <d v="2020-08-07T00:00:00"/>
    <x v="1"/>
    <x v="7"/>
  </r>
  <r>
    <x v="0"/>
    <n v="4500"/>
    <n v="5"/>
    <s v="Av. Mal. Floriano Peixoto, 2248-2258 - Centro, Nova Iguaçu - RJ, 26210-000"/>
    <x v="1"/>
    <s v="MARIA CORREA"/>
    <x v="1"/>
    <n v="34"/>
    <x v="0"/>
    <n v="22500"/>
    <d v="2020-06-12T00:00:00"/>
    <x v="1"/>
    <x v="3"/>
  </r>
  <r>
    <x v="15"/>
    <n v="3000"/>
    <n v="5"/>
    <s v="Av. Mal. Floriano Peixoto, 2248-2258 - Centro, Nova Iguaçu - RJ, 26210-000"/>
    <x v="1"/>
    <s v="RAMON ARAUJO"/>
    <x v="0"/>
    <n v="49"/>
    <x v="0"/>
    <n v="15000"/>
    <d v="2020-11-25T00:00:00"/>
    <x v="1"/>
    <x v="10"/>
  </r>
  <r>
    <x v="10"/>
    <n v="750"/>
    <n v="5"/>
    <s v="Av. Borges de Medeiros, 3120 - Praia de Belas, Porto Alegre - RS, 90110-150"/>
    <x v="8"/>
    <s v="CARLOS CARDOSO"/>
    <x v="0"/>
    <n v="68"/>
    <x v="1"/>
    <n v="3750"/>
    <d v="2020-08-25T00:00:00"/>
    <x v="1"/>
    <x v="7"/>
  </r>
  <r>
    <x v="23"/>
    <n v="1100"/>
    <n v="5"/>
    <s v="Rua Antônio Lumack do Monte, 203 - 1 - Boa Viagem, Recife - PE, 51020-350"/>
    <x v="6"/>
    <s v="BERNARD PEDROSA"/>
    <x v="0"/>
    <n v="49"/>
    <x v="0"/>
    <n v="5500"/>
    <d v="2020-06-20T00:00:00"/>
    <x v="1"/>
    <x v="3"/>
  </r>
  <r>
    <x v="21"/>
    <n v="5200"/>
    <n v="2"/>
    <s v="Av. Barão Homem de Melo, 1389 - Nova Granada, Belo Horizonte - MG, 30431-425"/>
    <x v="7"/>
    <s v="HENRIQUE VILLANOVA"/>
    <x v="0"/>
    <n v="67"/>
    <x v="1"/>
    <n v="10400"/>
    <d v="2020-05-07T00:00:00"/>
    <x v="1"/>
    <x v="11"/>
  </r>
  <r>
    <x v="1"/>
    <n v="1400"/>
    <n v="1"/>
    <s v="Av. Borges de Medeiros, 3120 - Praia de Belas, Porto Alegre - RS, 90110-150"/>
    <x v="8"/>
    <s v="ANDRE NÓBREGA"/>
    <x v="0"/>
    <n v="36"/>
    <x v="0"/>
    <n v="1400"/>
    <d v="2020-01-19T00:00:00"/>
    <x v="1"/>
    <x v="5"/>
  </r>
  <r>
    <x v="3"/>
    <n v="1500"/>
    <n v="5"/>
    <s v="Av. Dom Luís, 500 - Aldeota, Fortaleza - CE, 60160-230"/>
    <x v="2"/>
    <s v="JÚLIO FREIRE"/>
    <x v="0"/>
    <n v="28"/>
    <x v="2"/>
    <n v="7500"/>
    <d v="2020-05-06T00:00:00"/>
    <x v="1"/>
    <x v="11"/>
  </r>
  <r>
    <x v="7"/>
    <n v="2600"/>
    <n v="2"/>
    <s v="R. Teodoro Sampaio, 954 - Pinheiros, São Paulo - SP, 05406-050"/>
    <x v="0"/>
    <s v="ANDRE SAMPAIO"/>
    <x v="0"/>
    <n v="29"/>
    <x v="2"/>
    <n v="5200"/>
    <d v="2020-09-10T00:00:00"/>
    <x v="1"/>
    <x v="1"/>
  </r>
  <r>
    <x v="12"/>
    <n v="1500"/>
    <n v="1"/>
    <s v="Av. Borges de Medeiros, 3120 - Praia de Belas, Porto Alegre - RS, 90110-150"/>
    <x v="8"/>
    <s v="ADRIANE GOMES"/>
    <x v="1"/>
    <n v="71"/>
    <x v="1"/>
    <n v="1500"/>
    <d v="2020-12-16T00:00:00"/>
    <x v="1"/>
    <x v="8"/>
  </r>
  <r>
    <x v="0"/>
    <n v="4500"/>
    <n v="4"/>
    <s v="Av. Mal. Floriano Peixoto, 2248-2258 - Centro, Nova Iguaçu - RJ, 26210-000"/>
    <x v="1"/>
    <s v="MANUELA FERREIRA"/>
    <x v="1"/>
    <n v="63"/>
    <x v="1"/>
    <n v="18000"/>
    <d v="2020-05-27T00:00:00"/>
    <x v="1"/>
    <x v="11"/>
  </r>
  <r>
    <x v="8"/>
    <n v="1400"/>
    <n v="1"/>
    <s v="R. Dr. Antônio Castro Prado, 422 - Vila Rossi e Borchi, Campinas - SP, 13076-130"/>
    <x v="0"/>
    <s v="ARTHUR PORTELA"/>
    <x v="0"/>
    <n v="28"/>
    <x v="2"/>
    <n v="1400"/>
    <d v="2020-03-06T00:00:00"/>
    <x v="1"/>
    <x v="9"/>
  </r>
  <r>
    <x v="15"/>
    <n v="3000"/>
    <n v="4"/>
    <s v="R. Dr. Antônio Castro Prado, 422 - Vila Rossi e Borchi, Campinas - SP, 13076-130"/>
    <x v="0"/>
    <s v="RAISSA PINHEIRO"/>
    <x v="1"/>
    <n v="76"/>
    <x v="1"/>
    <n v="12000"/>
    <d v="2020-08-30T00:00:00"/>
    <x v="1"/>
    <x v="7"/>
  </r>
  <r>
    <x v="5"/>
    <n v="1450"/>
    <n v="1"/>
    <s v="Rua Quinze de Novembro, 8 - Loja 301a Loja 301b - Centro, Niterói - RJ, 24020-125"/>
    <x v="1"/>
    <s v="FABIO BOCCALETTI"/>
    <x v="0"/>
    <n v="64"/>
    <x v="1"/>
    <n v="1450"/>
    <d v="2020-04-01T00:00:00"/>
    <x v="1"/>
    <x v="2"/>
  </r>
  <r>
    <x v="3"/>
    <n v="1500"/>
    <n v="3"/>
    <s v="R. Visc. de Pirajá, 136 - Ipanema, Rio de Janeiro - RJ, 22410-000"/>
    <x v="1"/>
    <s v="GUILHERME ASSIS"/>
    <x v="0"/>
    <n v="36"/>
    <x v="0"/>
    <n v="4500"/>
    <d v="2020-04-09T00:00:00"/>
    <x v="1"/>
    <x v="2"/>
  </r>
  <r>
    <x v="15"/>
    <n v="3000"/>
    <n v="2"/>
    <s v="Shopping Barra - Av. Centenário, 2992 - Barra, Salvador - BA, 40155-150"/>
    <x v="5"/>
    <s v="WILSON VIANNA"/>
    <x v="0"/>
    <n v="54"/>
    <x v="1"/>
    <n v="6000"/>
    <d v="2020-08-21T00:00:00"/>
    <x v="1"/>
    <x v="7"/>
  </r>
  <r>
    <x v="16"/>
    <n v="1200"/>
    <n v="1"/>
    <s v="Av. Dom Luís, 500 - Aldeota, Fortaleza - CE, 60160-230"/>
    <x v="2"/>
    <s v="WILSON BRANDÃO"/>
    <x v="0"/>
    <n v="74"/>
    <x v="1"/>
    <n v="1200"/>
    <d v="2020-04-26T00:00:00"/>
    <x v="1"/>
    <x v="2"/>
  </r>
  <r>
    <x v="8"/>
    <n v="1400"/>
    <n v="3"/>
    <s v="Rua Quinze de Novembro, 8 - Loja 301a Loja 301b - Centro, Niterói - RJ, 24020-125"/>
    <x v="1"/>
    <s v="MARINA CORMACK"/>
    <x v="1"/>
    <n v="50"/>
    <x v="0"/>
    <n v="4200"/>
    <d v="2020-10-21T00:00:00"/>
    <x v="1"/>
    <x v="6"/>
  </r>
  <r>
    <x v="14"/>
    <n v="1500"/>
    <n v="3"/>
    <s v="Rua Antônio Lumack do Monte, 203 - 1 - Boa Viagem, Recife - PE, 51020-350"/>
    <x v="6"/>
    <s v="JORGE CARVALHO"/>
    <x v="0"/>
    <n v="60"/>
    <x v="1"/>
    <n v="4500"/>
    <d v="2020-10-05T00:00:00"/>
    <x v="1"/>
    <x v="6"/>
  </r>
  <r>
    <x v="16"/>
    <n v="1200"/>
    <n v="4"/>
    <s v="Av. Borges de Medeiros, 3120 - Praia de Belas, Porto Alegre - RS, 90110-150"/>
    <x v="8"/>
    <s v="DIEGO MELLO"/>
    <x v="0"/>
    <n v="38"/>
    <x v="0"/>
    <n v="4800"/>
    <d v="2020-11-08T00:00:00"/>
    <x v="1"/>
    <x v="10"/>
  </r>
  <r>
    <x v="13"/>
    <n v="1550"/>
    <n v="2"/>
    <s v="Av. Dom Luís, 500 - Aldeota, Fortaleza - CE, 60160-230"/>
    <x v="2"/>
    <s v="LUCAS VILLANOVA"/>
    <x v="0"/>
    <n v="31"/>
    <x v="0"/>
    <n v="3100"/>
    <d v="2020-04-21T00:00:00"/>
    <x v="1"/>
    <x v="2"/>
  </r>
  <r>
    <x v="12"/>
    <n v="1500"/>
    <n v="3"/>
    <s v="Av. Mal. Floriano Peixoto, 2248-2258 - Centro, Nova Iguaçu - RJ, 26210-000"/>
    <x v="1"/>
    <s v="HÉRCULES MOREIRA"/>
    <x v="0"/>
    <n v="72"/>
    <x v="1"/>
    <n v="4500"/>
    <d v="2020-12-09T00:00:00"/>
    <x v="1"/>
    <x v="8"/>
  </r>
  <r>
    <x v="3"/>
    <n v="1500"/>
    <n v="5"/>
    <s v="Av. Barão Homem de Melo, 1389 - Nova Granada, Belo Horizonte - MG, 30431-425"/>
    <x v="7"/>
    <s v="VITOR CAMPOS"/>
    <x v="0"/>
    <n v="45"/>
    <x v="0"/>
    <n v="7500"/>
    <d v="2020-01-21T00:00:00"/>
    <x v="1"/>
    <x v="5"/>
  </r>
  <r>
    <x v="16"/>
    <n v="1200"/>
    <n v="3"/>
    <s v="R. Luíz Faccini, 212 - Centro, Guarulhos - SP, 07110-000"/>
    <x v="0"/>
    <s v="MATHEUS TOSTES"/>
    <x v="0"/>
    <n v="49"/>
    <x v="0"/>
    <n v="3600"/>
    <d v="2020-10-10T00:00:00"/>
    <x v="1"/>
    <x v="6"/>
  </r>
  <r>
    <x v="19"/>
    <n v="1750"/>
    <n v="3"/>
    <s v="R. Luíz Faccini, 212 - Centro, Guarulhos - SP, 07110-000"/>
    <x v="0"/>
    <s v="STHEFESON KOHN"/>
    <x v="0"/>
    <n v="35"/>
    <x v="0"/>
    <n v="5250"/>
    <d v="2020-07-11T00:00:00"/>
    <x v="1"/>
    <x v="0"/>
  </r>
  <r>
    <x v="9"/>
    <n v="2000"/>
    <n v="2"/>
    <s v="R. Luíz Faccini, 212 - Centro, Guarulhos - SP, 07110-000"/>
    <x v="0"/>
    <s v="BEATRIZ RODRIGUES"/>
    <x v="1"/>
    <n v="44"/>
    <x v="0"/>
    <n v="4000"/>
    <d v="2020-12-12T00:00:00"/>
    <x v="1"/>
    <x v="8"/>
  </r>
  <r>
    <x v="7"/>
    <n v="2600"/>
    <n v="2"/>
    <s v="Rua Antônio Lumack do Monte, 203 - 1 - Boa Viagem, Recife - PE, 51020-350"/>
    <x v="6"/>
    <s v="ISABELLA MONTANHOLI"/>
    <x v="1"/>
    <n v="50"/>
    <x v="0"/>
    <n v="5200"/>
    <d v="2020-02-25T00:00:00"/>
    <x v="1"/>
    <x v="4"/>
  </r>
  <r>
    <x v="20"/>
    <n v="5500"/>
    <n v="3"/>
    <s v="R. Luíz Faccini, 212 - Centro, Guarulhos - SP, 07110-000"/>
    <x v="0"/>
    <s v="GUSTAVO GOMES"/>
    <x v="0"/>
    <n v="37"/>
    <x v="0"/>
    <n v="16500"/>
    <d v="2020-11-05T00:00:00"/>
    <x v="1"/>
    <x v="10"/>
  </r>
  <r>
    <x v="2"/>
    <n v="1900"/>
    <n v="3"/>
    <s v="Shopping Barra - Av. Centenário, 2992 - Barra, Salvador - BA, 40155-150"/>
    <x v="5"/>
    <s v="JOANA CALMON"/>
    <x v="1"/>
    <n v="27"/>
    <x v="2"/>
    <n v="5700"/>
    <d v="2020-01-28T00:00:00"/>
    <x v="1"/>
    <x v="5"/>
  </r>
  <r>
    <x v="16"/>
    <n v="1200"/>
    <n v="5"/>
    <s v="Av. Goiás Norte, 3.592 - quadra 2.1 - St. Mal. Rondon, Goiânia - GO, 74063-010"/>
    <x v="4"/>
    <s v="SANDY RIBEIRO"/>
    <x v="1"/>
    <n v="53"/>
    <x v="1"/>
    <n v="6000"/>
    <d v="2020-05-12T00:00:00"/>
    <x v="1"/>
    <x v="11"/>
  </r>
  <r>
    <x v="8"/>
    <n v="1400"/>
    <n v="1"/>
    <s v="R. Brasílio Itiberê, 3279 - Água Verde, Curitiba - PR, 80250-160"/>
    <x v="3"/>
    <s v="JONAS GOMES"/>
    <x v="0"/>
    <n v="56"/>
    <x v="1"/>
    <n v="1400"/>
    <d v="2020-04-21T00:00:00"/>
    <x v="1"/>
    <x v="2"/>
  </r>
  <r>
    <x v="15"/>
    <n v="3000"/>
    <n v="4"/>
    <s v="Av. Dom Luís, 500 - Aldeota, Fortaleza - CE, 60160-230"/>
    <x v="2"/>
    <s v="KARINA CAMARA"/>
    <x v="1"/>
    <n v="63"/>
    <x v="1"/>
    <n v="12000"/>
    <d v="2020-05-19T00:00:00"/>
    <x v="1"/>
    <x v="11"/>
  </r>
  <r>
    <x v="23"/>
    <n v="1100"/>
    <n v="3"/>
    <s v="R. Teodoro Sampaio, 954 - Pinheiros, São Paulo - SP, 05406-050"/>
    <x v="0"/>
    <s v="VITOR BOCCALETTI"/>
    <x v="0"/>
    <n v="48"/>
    <x v="0"/>
    <n v="3300"/>
    <d v="2020-09-20T00:00:00"/>
    <x v="1"/>
    <x v="1"/>
  </r>
  <r>
    <x v="0"/>
    <n v="4500"/>
    <n v="2"/>
    <s v="Shopping Barra - Av. Centenário, 2992 - Barra, Salvador - BA, 40155-150"/>
    <x v="5"/>
    <s v="JULIANA SILVA"/>
    <x v="1"/>
    <n v="41"/>
    <x v="0"/>
    <n v="9000"/>
    <d v="2020-11-17T00:00:00"/>
    <x v="1"/>
    <x v="10"/>
  </r>
  <r>
    <x v="6"/>
    <n v="6500"/>
    <n v="4"/>
    <s v="R. Teodoro Sampaio, 954 - Pinheiros, São Paulo - SP, 05406-050"/>
    <x v="0"/>
    <s v="LAURA ARAUJO"/>
    <x v="1"/>
    <n v="64"/>
    <x v="1"/>
    <n v="26000"/>
    <d v="2020-07-18T00:00:00"/>
    <x v="1"/>
    <x v="0"/>
  </r>
  <r>
    <x v="7"/>
    <n v="2600"/>
    <n v="2"/>
    <s v="Av. Barão Homem de Melo, 1389 - Nova Granada, Belo Horizonte - MG, 30431-425"/>
    <x v="7"/>
    <s v="JULIANA HOLLANDER"/>
    <x v="1"/>
    <n v="58"/>
    <x v="1"/>
    <n v="5200"/>
    <d v="2020-03-08T00:00:00"/>
    <x v="1"/>
    <x v="9"/>
  </r>
  <r>
    <x v="0"/>
    <n v="4500"/>
    <n v="1"/>
    <s v="Av. Barão Homem de Melo, 1389 - Nova Granada, Belo Horizonte - MG, 30431-425"/>
    <x v="7"/>
    <s v="VICTOR GOMES"/>
    <x v="0"/>
    <n v="71"/>
    <x v="1"/>
    <n v="4500"/>
    <d v="2020-05-10T00:00:00"/>
    <x v="1"/>
    <x v="11"/>
  </r>
  <r>
    <x v="19"/>
    <n v="1750"/>
    <n v="4"/>
    <s v="Av. Borges de Medeiros, 3120 - Praia de Belas, Porto Alegre - RS, 90110-150"/>
    <x v="8"/>
    <s v="KARINE BARROS"/>
    <x v="1"/>
    <n v="56"/>
    <x v="1"/>
    <n v="7000"/>
    <d v="2020-11-01T00:00:00"/>
    <x v="1"/>
    <x v="10"/>
  </r>
  <r>
    <x v="20"/>
    <n v="5500"/>
    <n v="2"/>
    <s v="Av. Borges de Medeiros, 3120 - Praia de Belas, Porto Alegre - RS, 90110-150"/>
    <x v="8"/>
    <s v="RODRIGO FEIJO"/>
    <x v="0"/>
    <n v="56"/>
    <x v="1"/>
    <n v="11000"/>
    <d v="2020-10-08T00:00:00"/>
    <x v="1"/>
    <x v="6"/>
  </r>
  <r>
    <x v="14"/>
    <n v="1500"/>
    <n v="3"/>
    <s v="Av. Goiás Norte, 3.592 - quadra 2.1 - St. Mal. Rondon, Goiânia - GO, 74063-010"/>
    <x v="4"/>
    <s v="REBECA TAYLOR"/>
    <x v="1"/>
    <n v="41"/>
    <x v="0"/>
    <n v="4500"/>
    <d v="2020-03-01T00:00:00"/>
    <x v="1"/>
    <x v="9"/>
  </r>
  <r>
    <x v="14"/>
    <n v="1500"/>
    <n v="3"/>
    <s v="Av. Mal. Floriano Peixoto, 2248-2258 - Centro, Nova Iguaçu - RJ, 26210-000"/>
    <x v="1"/>
    <s v="FELIPE JÚNIOR"/>
    <x v="0"/>
    <n v="61"/>
    <x v="1"/>
    <n v="4500"/>
    <d v="2020-07-24T00:00:00"/>
    <x v="1"/>
    <x v="0"/>
  </r>
  <r>
    <x v="16"/>
    <n v="1200"/>
    <n v="1"/>
    <s v="Av. Goiás Norte, 3.592 - quadra 2.1 - St. Mal. Rondon, Goiânia - GO, 74063-010"/>
    <x v="4"/>
    <s v="LUCAS FREITAS"/>
    <x v="0"/>
    <n v="37"/>
    <x v="0"/>
    <n v="1200"/>
    <d v="2020-05-01T00:00:00"/>
    <x v="1"/>
    <x v="11"/>
  </r>
  <r>
    <x v="13"/>
    <n v="1550"/>
    <n v="5"/>
    <s v="Av. Barão Homem de Melo, 1389 - Nova Granada, Belo Horizonte - MG, 30431-425"/>
    <x v="7"/>
    <s v="THIAGO VEIGA"/>
    <x v="0"/>
    <n v="39"/>
    <x v="0"/>
    <n v="7750"/>
    <d v="2020-06-21T00:00:00"/>
    <x v="1"/>
    <x v="3"/>
  </r>
  <r>
    <x v="5"/>
    <n v="1450"/>
    <n v="2"/>
    <s v="R. Teodoro Sampaio, 954 - Pinheiros, São Paulo - SP, 05406-050"/>
    <x v="0"/>
    <s v="CAIO FERREIRA"/>
    <x v="0"/>
    <n v="41"/>
    <x v="0"/>
    <n v="2900"/>
    <d v="2020-03-14T00:00:00"/>
    <x v="1"/>
    <x v="9"/>
  </r>
  <r>
    <x v="6"/>
    <n v="6500"/>
    <n v="4"/>
    <s v="Av. Dom Luís, 500 - Aldeota, Fortaleza - CE, 60160-230"/>
    <x v="2"/>
    <s v="HENRIQUE SILVA"/>
    <x v="0"/>
    <n v="62"/>
    <x v="1"/>
    <n v="26000"/>
    <d v="2020-09-15T00:00:00"/>
    <x v="1"/>
    <x v="1"/>
  </r>
  <r>
    <x v="10"/>
    <n v="750"/>
    <n v="2"/>
    <s v="R. Dr. Antônio Castro Prado, 422 - Vila Rossi e Borchi, Campinas - SP, 13076-130"/>
    <x v="0"/>
    <s v="GABRIEL SILVA"/>
    <x v="0"/>
    <n v="63"/>
    <x v="1"/>
    <n v="1500"/>
    <d v="2020-08-25T00:00:00"/>
    <x v="1"/>
    <x v="7"/>
  </r>
  <r>
    <x v="13"/>
    <n v="1550"/>
    <n v="5"/>
    <s v="R. Brasílio Itiberê, 3279 - Água Verde, Curitiba - PR, 80250-160"/>
    <x v="3"/>
    <s v="LEANDRO MELO"/>
    <x v="0"/>
    <n v="27"/>
    <x v="2"/>
    <n v="7750"/>
    <d v="2020-11-05T00:00:00"/>
    <x v="1"/>
    <x v="10"/>
  </r>
  <r>
    <x v="6"/>
    <n v="6500"/>
    <n v="2"/>
    <s v="Av. Mal. Floriano Peixoto, 2248-2258 - Centro, Nova Iguaçu - RJ, 26210-000"/>
    <x v="1"/>
    <s v="ALON FAHRNHOLZ"/>
    <x v="0"/>
    <n v="71"/>
    <x v="1"/>
    <n v="13000"/>
    <d v="2020-04-01T00:00:00"/>
    <x v="1"/>
    <x v="2"/>
  </r>
  <r>
    <x v="21"/>
    <n v="5200"/>
    <n v="4"/>
    <s v="R. Brasílio Itiberê, 3279 - Água Verde, Curitiba - PR, 80250-160"/>
    <x v="3"/>
    <s v="STHEFESON PEREIRA"/>
    <x v="0"/>
    <n v="69"/>
    <x v="1"/>
    <n v="20800"/>
    <d v="2020-03-04T00:00:00"/>
    <x v="1"/>
    <x v="9"/>
  </r>
  <r>
    <x v="4"/>
    <n v="700"/>
    <n v="5"/>
    <s v="R. Luíz Faccini, 212 - Centro, Guarulhos - SP, 07110-000"/>
    <x v="0"/>
    <s v="VICTOR LIRA"/>
    <x v="0"/>
    <n v="38"/>
    <x v="0"/>
    <n v="3500"/>
    <d v="2020-06-27T00:00:00"/>
    <x v="1"/>
    <x v="3"/>
  </r>
  <r>
    <x v="9"/>
    <n v="2000"/>
    <n v="3"/>
    <s v="R. Brasílio Itiberê, 3279 - Água Verde, Curitiba - PR, 80250-160"/>
    <x v="3"/>
    <s v="YLANA TERAOKA"/>
    <x v="1"/>
    <n v="43"/>
    <x v="0"/>
    <n v="6000"/>
    <d v="2020-05-23T00:00:00"/>
    <x v="1"/>
    <x v="11"/>
  </r>
  <r>
    <x v="3"/>
    <n v="1500"/>
    <n v="4"/>
    <s v="R. Dr. Antônio Castro Prado, 422 - Vila Rossi e Borchi, Campinas - SP, 13076-130"/>
    <x v="0"/>
    <s v="LUNNA VANNIER"/>
    <x v="1"/>
    <n v="30"/>
    <x v="0"/>
    <n v="6000"/>
    <d v="2020-10-31T00:00:00"/>
    <x v="1"/>
    <x v="6"/>
  </r>
  <r>
    <x v="8"/>
    <n v="1400"/>
    <n v="5"/>
    <s v="Shopping Barra - Av. Centenário, 2992 - Barra, Salvador - BA, 40155-150"/>
    <x v="5"/>
    <s v="GABRIEL PEREIRA"/>
    <x v="0"/>
    <n v="42"/>
    <x v="0"/>
    <n v="7000"/>
    <d v="2020-04-08T00:00:00"/>
    <x v="1"/>
    <x v="2"/>
  </r>
  <r>
    <x v="18"/>
    <n v="2500"/>
    <n v="1"/>
    <s v="R. Teodoro Sampaio, 954 - Pinheiros, São Paulo - SP, 05406-050"/>
    <x v="0"/>
    <s v="JULIANA MESQUITA"/>
    <x v="1"/>
    <n v="70"/>
    <x v="1"/>
    <n v="2500"/>
    <d v="2020-08-12T00:00:00"/>
    <x v="1"/>
    <x v="7"/>
  </r>
  <r>
    <x v="11"/>
    <n v="2000"/>
    <n v="2"/>
    <s v="R. Luíz Faccini, 212 - Centro, Guarulhos - SP, 07110-000"/>
    <x v="0"/>
    <s v="MARIANE FERREIRA"/>
    <x v="1"/>
    <n v="54"/>
    <x v="1"/>
    <n v="4000"/>
    <d v="2020-06-04T00:00:00"/>
    <x v="1"/>
    <x v="3"/>
  </r>
  <r>
    <x v="13"/>
    <n v="1550"/>
    <n v="3"/>
    <s v="Av. Borges de Medeiros, 3120 - Praia de Belas, Porto Alegre - RS, 90110-150"/>
    <x v="8"/>
    <s v="ARTHUR PEREIRA"/>
    <x v="0"/>
    <n v="42"/>
    <x v="0"/>
    <n v="4650"/>
    <d v="2020-05-08T00:00:00"/>
    <x v="1"/>
    <x v="11"/>
  </r>
  <r>
    <x v="19"/>
    <n v="1750"/>
    <n v="2"/>
    <s v="Shopping Barra - Av. Centenário, 2992 - Barra, Salvador - BA, 40155-150"/>
    <x v="5"/>
    <s v="GUSTAVO JUNIOR"/>
    <x v="0"/>
    <n v="69"/>
    <x v="1"/>
    <n v="3500"/>
    <d v="2020-06-24T00:00:00"/>
    <x v="1"/>
    <x v="3"/>
  </r>
  <r>
    <x v="1"/>
    <n v="1400"/>
    <n v="2"/>
    <s v="Av. Dom Luís, 500 - Aldeota, Fortaleza - CE, 60160-230"/>
    <x v="2"/>
    <s v="MATHEUS MIRANDA"/>
    <x v="0"/>
    <n v="58"/>
    <x v="1"/>
    <n v="2800"/>
    <d v="2020-05-17T00:00:00"/>
    <x v="1"/>
    <x v="11"/>
  </r>
  <r>
    <x v="8"/>
    <n v="1400"/>
    <n v="1"/>
    <s v="R. Dr. Antônio Castro Prado, 422 - Vila Rossi e Borchi, Campinas - SP, 13076-130"/>
    <x v="0"/>
    <s v="DEBORA SILVA"/>
    <x v="1"/>
    <n v="61"/>
    <x v="1"/>
    <n v="1400"/>
    <d v="2020-12-10T00:00:00"/>
    <x v="1"/>
    <x v="8"/>
  </r>
  <r>
    <x v="18"/>
    <n v="2500"/>
    <n v="4"/>
    <s v="R. Teodoro Sampaio, 954 - Pinheiros, São Paulo - SP, 05406-050"/>
    <x v="0"/>
    <s v="ROBERTO MATTOS"/>
    <x v="0"/>
    <n v="76"/>
    <x v="1"/>
    <n v="10000"/>
    <d v="2020-10-25T00:00:00"/>
    <x v="1"/>
    <x v="6"/>
  </r>
  <r>
    <x v="10"/>
    <n v="750"/>
    <n v="5"/>
    <s v="R. Brasílio Itiberê, 3279 - Água Verde, Curitiba - PR, 80250-160"/>
    <x v="3"/>
    <s v="CLARA BRUNO"/>
    <x v="1"/>
    <n v="57"/>
    <x v="1"/>
    <n v="3750"/>
    <d v="2020-01-02T00:00:00"/>
    <x v="1"/>
    <x v="5"/>
  </r>
  <r>
    <x v="11"/>
    <n v="2000"/>
    <n v="4"/>
    <s v="Av. Dom Luís, 500 - Aldeota, Fortaleza - CE, 60160-230"/>
    <x v="2"/>
    <s v="JULIA ALIANI"/>
    <x v="1"/>
    <n v="40"/>
    <x v="0"/>
    <n v="8000"/>
    <d v="2020-02-06T00:00:00"/>
    <x v="1"/>
    <x v="4"/>
  </r>
  <r>
    <x v="3"/>
    <n v="1500"/>
    <n v="4"/>
    <s v="R. Luíz Faccini, 212 - Centro, Guarulhos - SP, 07110-000"/>
    <x v="0"/>
    <s v="JOÃO FONSECA"/>
    <x v="0"/>
    <n v="34"/>
    <x v="0"/>
    <n v="6000"/>
    <d v="2020-09-13T00:00:00"/>
    <x v="1"/>
    <x v="1"/>
  </r>
  <r>
    <x v="12"/>
    <n v="1500"/>
    <n v="1"/>
    <s v="Av. Dom Luís, 500 - Aldeota, Fortaleza - CE, 60160-230"/>
    <x v="2"/>
    <s v="ANNA MAIA"/>
    <x v="1"/>
    <n v="54"/>
    <x v="1"/>
    <n v="1500"/>
    <d v="2020-11-12T00:00:00"/>
    <x v="1"/>
    <x v="10"/>
  </r>
  <r>
    <x v="7"/>
    <n v="2600"/>
    <n v="4"/>
    <s v="Shopping Barra - Av. Centenário, 2992 - Barra, Salvador - BA, 40155-150"/>
    <x v="5"/>
    <s v="MILENA ALCOFORADO"/>
    <x v="1"/>
    <n v="68"/>
    <x v="1"/>
    <n v="10400"/>
    <d v="2020-04-09T00:00:00"/>
    <x v="1"/>
    <x v="2"/>
  </r>
  <r>
    <x v="18"/>
    <n v="2500"/>
    <n v="1"/>
    <s v="R. Luíz Faccini, 212 - Centro, Guarulhos - SP, 07110-000"/>
    <x v="0"/>
    <s v="MARINA GAMA"/>
    <x v="1"/>
    <n v="68"/>
    <x v="1"/>
    <n v="2500"/>
    <d v="2020-04-18T00:00:00"/>
    <x v="1"/>
    <x v="2"/>
  </r>
  <r>
    <x v="10"/>
    <n v="750"/>
    <n v="1"/>
    <s v="Shopping Barra - Av. Centenário, 2992 - Barra, Salvador - BA, 40155-150"/>
    <x v="5"/>
    <s v="ADRIANA CARNEIRO"/>
    <x v="1"/>
    <n v="33"/>
    <x v="0"/>
    <n v="750"/>
    <d v="2020-04-08T00:00:00"/>
    <x v="1"/>
    <x v="2"/>
  </r>
  <r>
    <x v="16"/>
    <n v="1200"/>
    <n v="2"/>
    <s v="Av. Borges de Medeiros, 3120 - Praia de Belas, Porto Alegre - RS, 90110-150"/>
    <x v="8"/>
    <s v="MARIANE RACY"/>
    <x v="1"/>
    <n v="42"/>
    <x v="0"/>
    <n v="2400"/>
    <d v="2020-12-21T00:00:00"/>
    <x v="1"/>
    <x v="8"/>
  </r>
  <r>
    <x v="5"/>
    <n v="1450"/>
    <n v="5"/>
    <s v="Av. Goiás Norte, 3.592 - quadra 2.1 - St. Mal. Rondon, Goiânia - GO, 74063-010"/>
    <x v="4"/>
    <s v="LUCAS FREITAS"/>
    <x v="0"/>
    <n v="37"/>
    <x v="0"/>
    <n v="7250"/>
    <d v="2020-12-20T00:00:00"/>
    <x v="1"/>
    <x v="8"/>
  </r>
  <r>
    <x v="18"/>
    <n v="2500"/>
    <n v="3"/>
    <s v="Rua Quinze de Novembro, 8 - Loja 301a Loja 301b - Centro, Niterói - RJ, 24020-125"/>
    <x v="1"/>
    <s v="PEDRO MACCKIONE"/>
    <x v="0"/>
    <n v="35"/>
    <x v="0"/>
    <n v="7500"/>
    <d v="2020-12-17T00:00:00"/>
    <x v="1"/>
    <x v="8"/>
  </r>
  <r>
    <x v="0"/>
    <n v="4500"/>
    <n v="5"/>
    <s v="Rua Quinze de Novembro, 8 - Loja 301a Loja 301b - Centro, Niterói - RJ, 24020-125"/>
    <x v="1"/>
    <s v="CAROLINA SIQUEIRA"/>
    <x v="1"/>
    <n v="45"/>
    <x v="0"/>
    <n v="22500"/>
    <d v="2020-08-01T00:00:00"/>
    <x v="1"/>
    <x v="7"/>
  </r>
  <r>
    <x v="11"/>
    <n v="2000"/>
    <n v="1"/>
    <s v="R. Dr. Antônio Castro Prado, 422 - Vila Rossi e Borchi, Campinas - SP, 13076-130"/>
    <x v="0"/>
    <s v="VIVIANE CUNHA"/>
    <x v="1"/>
    <n v="74"/>
    <x v="1"/>
    <n v="2000"/>
    <d v="2020-10-30T00:00:00"/>
    <x v="1"/>
    <x v="6"/>
  </r>
  <r>
    <x v="13"/>
    <n v="1550"/>
    <n v="4"/>
    <s v="R. Luíz Faccini, 212 - Centro, Guarulhos - SP, 07110-000"/>
    <x v="0"/>
    <s v="CAROLL JOHNSON"/>
    <x v="1"/>
    <n v="35"/>
    <x v="0"/>
    <n v="6200"/>
    <d v="2020-02-22T00:00:00"/>
    <x v="1"/>
    <x v="4"/>
  </r>
  <r>
    <x v="15"/>
    <n v="3000"/>
    <n v="1"/>
    <s v="Av. Borges de Medeiros, 3120 - Praia de Belas, Porto Alegre - RS, 90110-150"/>
    <x v="8"/>
    <s v="DANIEL SOUSA"/>
    <x v="0"/>
    <n v="25"/>
    <x v="2"/>
    <n v="3000"/>
    <d v="2020-09-30T00:00:00"/>
    <x v="1"/>
    <x v="1"/>
  </r>
  <r>
    <x v="2"/>
    <n v="1900"/>
    <n v="4"/>
    <s v="Rua Quinze de Novembro, 8 - Loja 301a Loja 301b - Centro, Niterói - RJ, 24020-125"/>
    <x v="1"/>
    <s v="CAROLINA SIQUEIRA"/>
    <x v="1"/>
    <n v="45"/>
    <x v="0"/>
    <n v="7600"/>
    <d v="2020-03-19T00:00:00"/>
    <x v="1"/>
    <x v="9"/>
  </r>
  <r>
    <x v="6"/>
    <n v="6500"/>
    <n v="5"/>
    <s v="Rua Antônio Lumack do Monte, 203 - 1 - Boa Viagem, Recife - PE, 51020-350"/>
    <x v="6"/>
    <s v="THIAGO NÓBREGA"/>
    <x v="0"/>
    <n v="70"/>
    <x v="1"/>
    <n v="32500"/>
    <d v="2020-07-03T00:00:00"/>
    <x v="1"/>
    <x v="0"/>
  </r>
  <r>
    <x v="16"/>
    <n v="1200"/>
    <n v="1"/>
    <s v="R. Brasílio Itiberê, 3279 - Água Verde, Curitiba - PR, 80250-160"/>
    <x v="3"/>
    <s v="CLARA BRUNO"/>
    <x v="1"/>
    <n v="57"/>
    <x v="1"/>
    <n v="1200"/>
    <d v="2020-06-09T00:00:00"/>
    <x v="1"/>
    <x v="3"/>
  </r>
  <r>
    <x v="3"/>
    <n v="1500"/>
    <n v="1"/>
    <s v="R. Teodoro Sampaio, 954 - Pinheiros, São Paulo - SP, 05406-050"/>
    <x v="0"/>
    <s v="RAÍSSA OLIVEIRA"/>
    <x v="1"/>
    <n v="31"/>
    <x v="0"/>
    <n v="1500"/>
    <d v="2020-07-13T00:00:00"/>
    <x v="1"/>
    <x v="0"/>
  </r>
  <r>
    <x v="15"/>
    <n v="3000"/>
    <n v="5"/>
    <s v="R. Luíz Faccini, 212 - Centro, Guarulhos - SP, 07110-000"/>
    <x v="0"/>
    <s v="BRUNA RAMOS"/>
    <x v="1"/>
    <n v="35"/>
    <x v="0"/>
    <n v="15000"/>
    <d v="2020-06-30T00:00:00"/>
    <x v="1"/>
    <x v="3"/>
  </r>
  <r>
    <x v="2"/>
    <n v="1900"/>
    <n v="3"/>
    <s v="R. Dr. Antônio Castro Prado, 422 - Vila Rossi e Borchi, Campinas - SP, 13076-130"/>
    <x v="0"/>
    <s v="MORGANA CORREA"/>
    <x v="1"/>
    <n v="42"/>
    <x v="0"/>
    <n v="5700"/>
    <d v="2020-03-26T00:00:00"/>
    <x v="1"/>
    <x v="9"/>
  </r>
  <r>
    <x v="15"/>
    <n v="3000"/>
    <n v="1"/>
    <s v="Rua Antônio Lumack do Monte, 203 - 1 - Boa Viagem, Recife - PE, 51020-350"/>
    <x v="6"/>
    <s v="GABRIELLE COSTA"/>
    <x v="1"/>
    <n v="36"/>
    <x v="0"/>
    <n v="3000"/>
    <d v="2020-10-10T00:00:00"/>
    <x v="1"/>
    <x v="6"/>
  </r>
  <r>
    <x v="0"/>
    <n v="4500"/>
    <n v="4"/>
    <s v="R. Brasílio Itiberê, 3279 - Água Verde, Curitiba - PR, 80250-160"/>
    <x v="3"/>
    <s v="JOÃO COSTA"/>
    <x v="0"/>
    <n v="39"/>
    <x v="0"/>
    <n v="18000"/>
    <d v="2020-01-12T00:00:00"/>
    <x v="1"/>
    <x v="5"/>
  </r>
  <r>
    <x v="5"/>
    <n v="1450"/>
    <n v="3"/>
    <s v="Av. Borges de Medeiros, 3120 - Praia de Belas, Porto Alegre - RS, 90110-150"/>
    <x v="8"/>
    <s v="LUIZA CAVALCANTI"/>
    <x v="1"/>
    <n v="51"/>
    <x v="1"/>
    <n v="4350"/>
    <d v="2020-06-22T00:00:00"/>
    <x v="1"/>
    <x v="3"/>
  </r>
  <r>
    <x v="14"/>
    <n v="1500"/>
    <n v="5"/>
    <s v="Av. Borges de Medeiros, 3120 - Praia de Belas, Porto Alegre - RS, 90110-150"/>
    <x v="8"/>
    <s v="GUSTAVO AZEVEDO"/>
    <x v="0"/>
    <n v="30"/>
    <x v="0"/>
    <n v="7500"/>
    <d v="2020-12-27T00:00:00"/>
    <x v="1"/>
    <x v="8"/>
  </r>
  <r>
    <x v="18"/>
    <n v="2500"/>
    <n v="5"/>
    <s v="R. Visc. de Pirajá, 136 - Ipanema, Rio de Janeiro - RJ, 22410-000"/>
    <x v="1"/>
    <s v="REBECA MANHÃES"/>
    <x v="1"/>
    <n v="29"/>
    <x v="2"/>
    <n v="12500"/>
    <d v="2020-01-25T00:00:00"/>
    <x v="1"/>
    <x v="5"/>
  </r>
  <r>
    <x v="7"/>
    <n v="2600"/>
    <n v="3"/>
    <s v="R. Brasílio Itiberê, 3279 - Água Verde, Curitiba - PR, 80250-160"/>
    <x v="3"/>
    <s v="BRUNA GOMES"/>
    <x v="1"/>
    <n v="28"/>
    <x v="2"/>
    <n v="7800"/>
    <d v="2020-06-14T00:00:00"/>
    <x v="1"/>
    <x v="3"/>
  </r>
  <r>
    <x v="13"/>
    <n v="1550"/>
    <n v="3"/>
    <s v="Av. Mal. Floriano Peixoto, 2248-2258 - Centro, Nova Iguaçu - RJ, 26210-000"/>
    <x v="1"/>
    <s v="GABRIEL RUBIM"/>
    <x v="0"/>
    <n v="68"/>
    <x v="1"/>
    <n v="4650"/>
    <d v="2020-11-03T00:00:00"/>
    <x v="1"/>
    <x v="10"/>
  </r>
  <r>
    <x v="16"/>
    <n v="1200"/>
    <n v="4"/>
    <s v="R. Luíz Faccini, 212 - Centro, Guarulhos - SP, 07110-000"/>
    <x v="0"/>
    <s v="ADRIELLE VIEIRA"/>
    <x v="1"/>
    <n v="49"/>
    <x v="0"/>
    <n v="4800"/>
    <d v="2020-07-09T00:00:00"/>
    <x v="1"/>
    <x v="0"/>
  </r>
  <r>
    <x v="0"/>
    <n v="4500"/>
    <n v="3"/>
    <s v="Rua Quinze de Novembro, 8 - Loja 301a Loja 301b - Centro, Niterói - RJ, 24020-125"/>
    <x v="1"/>
    <s v="DYKSON SILVA"/>
    <x v="0"/>
    <n v="38"/>
    <x v="0"/>
    <n v="13500"/>
    <d v="2020-11-23T00:00:00"/>
    <x v="1"/>
    <x v="10"/>
  </r>
  <r>
    <x v="12"/>
    <n v="1500"/>
    <n v="2"/>
    <s v="Av. Goiás Norte, 3.592 - quadra 2.1 - St. Mal. Rondon, Goiânia - GO, 74063-010"/>
    <x v="4"/>
    <s v="GABRIELLE VASCONCELOS"/>
    <x v="1"/>
    <n v="43"/>
    <x v="0"/>
    <n v="3000"/>
    <d v="2020-04-22T00:00:00"/>
    <x v="1"/>
    <x v="2"/>
  </r>
  <r>
    <x v="18"/>
    <n v="2500"/>
    <n v="5"/>
    <s v="Av. Dom Luís, 500 - Aldeota, Fortaleza - CE, 60160-230"/>
    <x v="2"/>
    <s v="CARLA ZAKHM"/>
    <x v="1"/>
    <n v="35"/>
    <x v="0"/>
    <n v="12500"/>
    <d v="2020-02-09T00:00:00"/>
    <x v="1"/>
    <x v="4"/>
  </r>
  <r>
    <x v="13"/>
    <n v="1550"/>
    <n v="5"/>
    <s v="R. Visc. de Pirajá, 136 - Ipanema, Rio de Janeiro - RJ, 22410-000"/>
    <x v="1"/>
    <s v="BEATRIZ SILVA"/>
    <x v="1"/>
    <n v="45"/>
    <x v="0"/>
    <n v="7750"/>
    <d v="2020-08-21T00:00:00"/>
    <x v="1"/>
    <x v="7"/>
  </r>
  <r>
    <x v="0"/>
    <n v="4500"/>
    <n v="1"/>
    <s v="Shopping Barra - Av. Centenário, 2992 - Barra, Salvador - BA, 40155-150"/>
    <x v="5"/>
    <s v="RAISSA SALES"/>
    <x v="1"/>
    <n v="46"/>
    <x v="0"/>
    <n v="4500"/>
    <d v="2020-01-13T00:00:00"/>
    <x v="1"/>
    <x v="5"/>
  </r>
  <r>
    <x v="5"/>
    <n v="1450"/>
    <n v="1"/>
    <s v="R. Visc. de Pirajá, 136 - Ipanema, Rio de Janeiro - RJ, 22410-000"/>
    <x v="1"/>
    <s v="RENAN NASCIMENTO"/>
    <x v="0"/>
    <n v="37"/>
    <x v="0"/>
    <n v="1450"/>
    <d v="2020-04-09T00:00:00"/>
    <x v="1"/>
    <x v="2"/>
  </r>
  <r>
    <x v="5"/>
    <n v="1450"/>
    <n v="2"/>
    <s v="R. Luíz Faccini, 212 - Centro, Guarulhos - SP, 07110-000"/>
    <x v="0"/>
    <s v="ANDRESSA CHOU"/>
    <x v="1"/>
    <n v="28"/>
    <x v="2"/>
    <n v="2900"/>
    <d v="2020-10-19T00:00:00"/>
    <x v="1"/>
    <x v="6"/>
  </r>
  <r>
    <x v="7"/>
    <n v="2600"/>
    <n v="2"/>
    <s v="Av. Borges de Medeiros, 3120 - Praia de Belas, Porto Alegre - RS, 90110-150"/>
    <x v="8"/>
    <s v="LUIZA JOHNSON"/>
    <x v="1"/>
    <n v="72"/>
    <x v="1"/>
    <n v="5200"/>
    <d v="2020-10-14T00:00:00"/>
    <x v="1"/>
    <x v="6"/>
  </r>
  <r>
    <x v="8"/>
    <n v="1400"/>
    <n v="1"/>
    <s v="Av. Mal. Floriano Peixoto, 2248-2258 - Centro, Nova Iguaçu - RJ, 26210-000"/>
    <x v="1"/>
    <s v="THIAGO MIURA"/>
    <x v="0"/>
    <n v="47"/>
    <x v="0"/>
    <n v="1400"/>
    <d v="2020-02-29T00:00:00"/>
    <x v="1"/>
    <x v="4"/>
  </r>
  <r>
    <x v="0"/>
    <n v="4500"/>
    <n v="3"/>
    <s v="R. Luíz Faccini, 212 - Centro, Guarulhos - SP, 07110-000"/>
    <x v="0"/>
    <s v="BIANCA TATSCH"/>
    <x v="1"/>
    <n v="40"/>
    <x v="0"/>
    <n v="13500"/>
    <d v="2020-11-29T00:00:00"/>
    <x v="1"/>
    <x v="10"/>
  </r>
  <r>
    <x v="0"/>
    <n v="4500"/>
    <n v="3"/>
    <s v="Av. Mal. Floriano Peixoto, 2248-2258 - Centro, Nova Iguaçu - RJ, 26210-000"/>
    <x v="1"/>
    <s v="PRISCILA VOGEL"/>
    <x v="1"/>
    <n v="61"/>
    <x v="1"/>
    <n v="13500"/>
    <d v="2020-07-17T00:00:00"/>
    <x v="1"/>
    <x v="0"/>
  </r>
  <r>
    <x v="15"/>
    <n v="3000"/>
    <n v="1"/>
    <s v="R. Brasílio Itiberê, 3279 - Água Verde, Curitiba - PR, 80250-160"/>
    <x v="3"/>
    <s v="IVES BARBOSA"/>
    <x v="1"/>
    <n v="42"/>
    <x v="0"/>
    <n v="3000"/>
    <d v="2020-02-13T00:00:00"/>
    <x v="1"/>
    <x v="4"/>
  </r>
  <r>
    <x v="2"/>
    <n v="1900"/>
    <n v="1"/>
    <s v="Rua Antônio Lumack do Monte, 203 - 1 - Boa Viagem, Recife - PE, 51020-350"/>
    <x v="6"/>
    <s v="ALINE MELLO"/>
    <x v="1"/>
    <n v="26"/>
    <x v="2"/>
    <n v="1900"/>
    <d v="2020-11-11T00:00:00"/>
    <x v="1"/>
    <x v="10"/>
  </r>
  <r>
    <x v="14"/>
    <n v="1500"/>
    <n v="4"/>
    <s v="Av. Mal. Floriano Peixoto, 2248-2258 - Centro, Nova Iguaçu - RJ, 26210-000"/>
    <x v="1"/>
    <s v="CARLOS BARBOSA"/>
    <x v="0"/>
    <n v="43"/>
    <x v="0"/>
    <n v="6000"/>
    <d v="2020-05-17T00:00:00"/>
    <x v="1"/>
    <x v="11"/>
  </r>
  <r>
    <x v="16"/>
    <n v="1200"/>
    <n v="3"/>
    <s v="R. Visc. de Pirajá, 136 - Ipanema, Rio de Janeiro - RJ, 22410-000"/>
    <x v="1"/>
    <s v="PEDRO CONCEIÇÃO"/>
    <x v="0"/>
    <n v="59"/>
    <x v="1"/>
    <n v="3600"/>
    <d v="2020-02-27T00:00:00"/>
    <x v="1"/>
    <x v="4"/>
  </r>
  <r>
    <x v="7"/>
    <n v="2600"/>
    <n v="3"/>
    <s v="R. Visc. de Pirajá, 136 - Ipanema, Rio de Janeiro - RJ, 22410-000"/>
    <x v="1"/>
    <s v="RAISSA NEGRELLI"/>
    <x v="1"/>
    <n v="40"/>
    <x v="0"/>
    <n v="7800"/>
    <d v="2020-06-22T00:00:00"/>
    <x v="1"/>
    <x v="3"/>
  </r>
  <r>
    <x v="13"/>
    <n v="1550"/>
    <n v="3"/>
    <s v="R. Brasílio Itiberê, 3279 - Água Verde, Curitiba - PR, 80250-160"/>
    <x v="3"/>
    <s v="ROGÉRIO PEREIRA"/>
    <x v="0"/>
    <n v="27"/>
    <x v="2"/>
    <n v="4650"/>
    <d v="2020-02-07T00:00:00"/>
    <x v="1"/>
    <x v="4"/>
  </r>
  <r>
    <x v="23"/>
    <n v="1100"/>
    <n v="5"/>
    <s v="R. Luíz Faccini, 212 - Centro, Guarulhos - SP, 07110-000"/>
    <x v="0"/>
    <s v="MARIANE FERREIRA"/>
    <x v="1"/>
    <n v="54"/>
    <x v="1"/>
    <n v="5500"/>
    <d v="2020-11-26T00:00:00"/>
    <x v="1"/>
    <x v="10"/>
  </r>
  <r>
    <x v="20"/>
    <n v="5500"/>
    <n v="2"/>
    <s v="R. Luíz Faccini, 212 - Centro, Guarulhos - SP, 07110-000"/>
    <x v="0"/>
    <s v="JULIE FERREIRA"/>
    <x v="1"/>
    <n v="34"/>
    <x v="0"/>
    <n v="11000"/>
    <d v="2020-09-20T00:00:00"/>
    <x v="1"/>
    <x v="1"/>
  </r>
  <r>
    <x v="0"/>
    <n v="4500"/>
    <n v="2"/>
    <s v="Av. Barão Homem de Melo, 1389 - Nova Granada, Belo Horizonte - MG, 30431-425"/>
    <x v="7"/>
    <s v="ANTÔNIO SOARES"/>
    <x v="0"/>
    <n v="48"/>
    <x v="0"/>
    <n v="9000"/>
    <d v="2020-04-04T00:00:00"/>
    <x v="1"/>
    <x v="2"/>
  </r>
  <r>
    <x v="6"/>
    <n v="6500"/>
    <n v="5"/>
    <s v="Av. Barão Homem de Melo, 1389 - Nova Granada, Belo Horizonte - MG, 30431-425"/>
    <x v="7"/>
    <s v="LÁZARO NASCIMENTO"/>
    <x v="0"/>
    <n v="69"/>
    <x v="1"/>
    <n v="32500"/>
    <d v="2020-09-17T00:00:00"/>
    <x v="1"/>
    <x v="1"/>
  </r>
  <r>
    <x v="15"/>
    <n v="3000"/>
    <n v="2"/>
    <s v="Av. Borges de Medeiros, 3120 - Praia de Belas, Porto Alegre - RS, 90110-150"/>
    <x v="8"/>
    <s v="LARISSA VASCONCELLOS"/>
    <x v="1"/>
    <n v="40"/>
    <x v="0"/>
    <n v="6000"/>
    <d v="2020-05-10T00:00:00"/>
    <x v="1"/>
    <x v="11"/>
  </r>
  <r>
    <x v="18"/>
    <n v="2500"/>
    <n v="4"/>
    <s v="R. Luíz Faccini, 212 - Centro, Guarulhos - SP, 07110-000"/>
    <x v="0"/>
    <s v="LUIS GARCIA"/>
    <x v="1"/>
    <n v="29"/>
    <x v="2"/>
    <n v="10000"/>
    <d v="2020-11-25T00:00:00"/>
    <x v="1"/>
    <x v="10"/>
  </r>
  <r>
    <x v="8"/>
    <n v="1400"/>
    <n v="4"/>
    <s v="Av. Barão Homem de Melo, 1389 - Nova Granada, Belo Horizonte - MG, 30431-425"/>
    <x v="7"/>
    <s v="PEDRO FERRARI"/>
    <x v="0"/>
    <n v="54"/>
    <x v="1"/>
    <n v="5600"/>
    <d v="2020-03-08T00:00:00"/>
    <x v="1"/>
    <x v="9"/>
  </r>
  <r>
    <x v="17"/>
    <n v="2300"/>
    <n v="5"/>
    <s v="Av. Barão Homem de Melo, 1389 - Nova Granada, Belo Horizonte - MG, 30431-425"/>
    <x v="7"/>
    <s v="ANTÔNIO SOARES"/>
    <x v="0"/>
    <n v="48"/>
    <x v="0"/>
    <n v="11500"/>
    <d v="2020-07-26T00:00:00"/>
    <x v="1"/>
    <x v="0"/>
  </r>
  <r>
    <x v="22"/>
    <n v="2400"/>
    <n v="4"/>
    <s v="R. Visc. de Pirajá, 136 - Ipanema, Rio de Janeiro - RJ, 22410-000"/>
    <x v="1"/>
    <s v="LUCAS LIMA"/>
    <x v="0"/>
    <n v="49"/>
    <x v="0"/>
    <n v="9600"/>
    <d v="2020-04-22T00:00:00"/>
    <x v="1"/>
    <x v="2"/>
  </r>
  <r>
    <x v="16"/>
    <n v="1200"/>
    <n v="4"/>
    <s v="Av. Borges de Medeiros, 3120 - Praia de Belas, Porto Alegre - RS, 90110-150"/>
    <x v="8"/>
    <s v="DANIEL ALCOFORADO"/>
    <x v="0"/>
    <n v="56"/>
    <x v="1"/>
    <n v="4800"/>
    <d v="2020-06-04T00:00:00"/>
    <x v="1"/>
    <x v="3"/>
  </r>
  <r>
    <x v="17"/>
    <n v="2300"/>
    <n v="1"/>
    <s v="Av. Mal. Floriano Peixoto, 2248-2258 - Centro, Nova Iguaçu - RJ, 26210-000"/>
    <x v="1"/>
    <s v="BRUNO URSULINO"/>
    <x v="0"/>
    <n v="39"/>
    <x v="0"/>
    <n v="2300"/>
    <d v="2020-05-17T00:00:00"/>
    <x v="1"/>
    <x v="11"/>
  </r>
  <r>
    <x v="20"/>
    <n v="5500"/>
    <n v="3"/>
    <s v="R. Visc. de Pirajá, 136 - Ipanema, Rio de Janeiro - RJ, 22410-000"/>
    <x v="1"/>
    <s v="LUCAS ROCHA"/>
    <x v="0"/>
    <n v="52"/>
    <x v="1"/>
    <n v="16500"/>
    <d v="2020-08-29T00:00:00"/>
    <x v="1"/>
    <x v="7"/>
  </r>
  <r>
    <x v="21"/>
    <n v="5200"/>
    <n v="1"/>
    <s v="R. Luíz Faccini, 212 - Centro, Guarulhos - SP, 07110-000"/>
    <x v="0"/>
    <s v="LÁZARO VILLANOVA"/>
    <x v="0"/>
    <n v="71"/>
    <x v="1"/>
    <n v="5200"/>
    <d v="2020-07-12T00:00:00"/>
    <x v="1"/>
    <x v="0"/>
  </r>
  <r>
    <x v="7"/>
    <n v="2600"/>
    <n v="5"/>
    <s v="R. Luíz Faccini, 212 - Centro, Guarulhos - SP, 07110-000"/>
    <x v="0"/>
    <s v="JULIANA HUON"/>
    <x v="1"/>
    <n v="55"/>
    <x v="1"/>
    <n v="13000"/>
    <d v="2020-02-19T00:00:00"/>
    <x v="1"/>
    <x v="4"/>
  </r>
  <r>
    <x v="1"/>
    <n v="1400"/>
    <n v="1"/>
    <s v="Av. Dom Luís, 500 - Aldeota, Fortaleza - CE, 60160-230"/>
    <x v="2"/>
    <s v="GUSTAVO ACCARDO"/>
    <x v="0"/>
    <n v="50"/>
    <x v="0"/>
    <n v="1400"/>
    <d v="2020-06-21T00:00:00"/>
    <x v="1"/>
    <x v="3"/>
  </r>
  <r>
    <x v="5"/>
    <n v="1450"/>
    <n v="1"/>
    <s v="R. Luíz Faccini, 212 - Centro, Guarulhos - SP, 07110-000"/>
    <x v="0"/>
    <s v="CAIO SILVA"/>
    <x v="0"/>
    <n v="52"/>
    <x v="1"/>
    <n v="1450"/>
    <d v="2020-04-10T00:00:00"/>
    <x v="1"/>
    <x v="2"/>
  </r>
  <r>
    <x v="7"/>
    <n v="2600"/>
    <n v="1"/>
    <s v="Av. Mal. Floriano Peixoto, 2248-2258 - Centro, Nova Iguaçu - RJ, 26210-000"/>
    <x v="1"/>
    <s v="ANA MONTE"/>
    <x v="1"/>
    <n v="63"/>
    <x v="1"/>
    <n v="2600"/>
    <d v="2020-12-25T00:00:00"/>
    <x v="1"/>
    <x v="8"/>
  </r>
  <r>
    <x v="11"/>
    <n v="2000"/>
    <n v="2"/>
    <s v="Av. Mal. Floriano Peixoto, 2248-2258 - Centro, Nova Iguaçu - RJ, 26210-000"/>
    <x v="1"/>
    <s v="VICTOR FERREIRA"/>
    <x v="0"/>
    <n v="45"/>
    <x v="0"/>
    <n v="4000"/>
    <d v="2020-06-17T00:00:00"/>
    <x v="1"/>
    <x v="3"/>
  </r>
  <r>
    <x v="3"/>
    <n v="1500"/>
    <n v="5"/>
    <s v="R. Luíz Faccini, 212 - Centro, Guarulhos - SP, 07110-000"/>
    <x v="0"/>
    <s v="BRENO QUINTO"/>
    <x v="0"/>
    <n v="49"/>
    <x v="0"/>
    <n v="7500"/>
    <d v="2020-10-28T00:00:00"/>
    <x v="1"/>
    <x v="6"/>
  </r>
  <r>
    <x v="2"/>
    <n v="1900"/>
    <n v="1"/>
    <s v="R. Teodoro Sampaio, 954 - Pinheiros, São Paulo - SP, 05406-050"/>
    <x v="0"/>
    <s v="EDUARDO FERREIRA"/>
    <x v="0"/>
    <n v="46"/>
    <x v="0"/>
    <n v="1900"/>
    <d v="2020-08-21T00:00:00"/>
    <x v="1"/>
    <x v="7"/>
  </r>
  <r>
    <x v="4"/>
    <n v="700"/>
    <n v="2"/>
    <s v="R. Visc. de Pirajá, 136 - Ipanema, Rio de Janeiro - RJ, 22410-000"/>
    <x v="1"/>
    <s v="RODRIGO BRUNO"/>
    <x v="0"/>
    <n v="64"/>
    <x v="1"/>
    <n v="1400"/>
    <d v="2020-04-18T00:00:00"/>
    <x v="1"/>
    <x v="2"/>
  </r>
  <r>
    <x v="16"/>
    <n v="1200"/>
    <n v="5"/>
    <s v="Rua Antônio Lumack do Monte, 203 - 1 - Boa Viagem, Recife - PE, 51020-350"/>
    <x v="6"/>
    <s v="IGOR AZEVEDO"/>
    <x v="0"/>
    <n v="59"/>
    <x v="1"/>
    <n v="6000"/>
    <d v="2020-12-02T00:00:00"/>
    <x v="1"/>
    <x v="8"/>
  </r>
  <r>
    <x v="22"/>
    <n v="2400"/>
    <n v="2"/>
    <s v="R. Luíz Faccini, 212 - Centro, Guarulhos - SP, 07110-000"/>
    <x v="0"/>
    <s v="RAPHAEL KURTZ"/>
    <x v="0"/>
    <n v="48"/>
    <x v="0"/>
    <n v="4800"/>
    <d v="2020-10-10T00:00:00"/>
    <x v="1"/>
    <x v="6"/>
  </r>
  <r>
    <x v="22"/>
    <n v="2400"/>
    <n v="4"/>
    <s v="Rua Quinze de Novembro, 8 - Loja 301a Loja 301b - Centro, Niterói - RJ, 24020-125"/>
    <x v="1"/>
    <s v="LUCAS MONTE"/>
    <x v="0"/>
    <n v="46"/>
    <x v="0"/>
    <n v="9600"/>
    <d v="2020-02-10T00:00:00"/>
    <x v="1"/>
    <x v="4"/>
  </r>
  <r>
    <x v="9"/>
    <n v="2000"/>
    <n v="3"/>
    <s v="R. Brasílio Itiberê, 3279 - Água Verde, Curitiba - PR, 80250-160"/>
    <x v="3"/>
    <s v="JONAS GOMES"/>
    <x v="0"/>
    <n v="56"/>
    <x v="1"/>
    <n v="6000"/>
    <d v="2020-06-05T00:00:00"/>
    <x v="1"/>
    <x v="3"/>
  </r>
  <r>
    <x v="13"/>
    <n v="1550"/>
    <n v="4"/>
    <s v="Av. Goiás Norte, 3.592 - quadra 2.1 - St. Mal. Rondon, Goiânia - GO, 74063-010"/>
    <x v="4"/>
    <s v="RODRIGO SILVA"/>
    <x v="0"/>
    <n v="31"/>
    <x v="0"/>
    <n v="6200"/>
    <d v="2020-05-19T00:00:00"/>
    <x v="1"/>
    <x v="11"/>
  </r>
  <r>
    <x v="1"/>
    <n v="1400"/>
    <n v="1"/>
    <s v="Rua Quinze de Novembro, 8 - Loja 301a Loja 301b - Centro, Niterói - RJ, 24020-125"/>
    <x v="1"/>
    <s v="RAFAEL RAMOS"/>
    <x v="0"/>
    <n v="40"/>
    <x v="0"/>
    <n v="1400"/>
    <d v="2020-12-07T00:00:00"/>
    <x v="1"/>
    <x v="8"/>
  </r>
  <r>
    <x v="3"/>
    <n v="1500"/>
    <n v="2"/>
    <s v="Rua Quinze de Novembro, 8 - Loja 301a Loja 301b - Centro, Niterói - RJ, 24020-125"/>
    <x v="1"/>
    <s v="BEATRIZ CAVALCANTI"/>
    <x v="1"/>
    <n v="38"/>
    <x v="0"/>
    <n v="3000"/>
    <d v="2020-09-15T00:00:00"/>
    <x v="1"/>
    <x v="1"/>
  </r>
  <r>
    <x v="9"/>
    <n v="2000"/>
    <n v="4"/>
    <s v="R. Brasílio Itiberê, 3279 - Água Verde, Curitiba - PR, 80250-160"/>
    <x v="3"/>
    <s v="MARIANA BAPTISTA"/>
    <x v="1"/>
    <n v="34"/>
    <x v="0"/>
    <n v="8000"/>
    <d v="2020-02-02T00:00:00"/>
    <x v="1"/>
    <x v="4"/>
  </r>
  <r>
    <x v="13"/>
    <n v="1550"/>
    <n v="4"/>
    <s v="R. Brasílio Itiberê, 3279 - Água Verde, Curitiba - PR, 80250-160"/>
    <x v="3"/>
    <s v="MILENA ALMEIDA"/>
    <x v="1"/>
    <n v="44"/>
    <x v="0"/>
    <n v="6200"/>
    <d v="2020-07-30T00:00:00"/>
    <x v="1"/>
    <x v="0"/>
  </r>
  <r>
    <x v="23"/>
    <n v="1100"/>
    <n v="3"/>
    <s v="Av. Mal. Floriano Peixoto, 2248-2258 - Centro, Nova Iguaçu - RJ, 26210-000"/>
    <x v="1"/>
    <s v="LUANA SANTOS"/>
    <x v="1"/>
    <n v="45"/>
    <x v="0"/>
    <n v="3300"/>
    <d v="2020-08-09T00:00:00"/>
    <x v="1"/>
    <x v="7"/>
  </r>
  <r>
    <x v="6"/>
    <n v="6500"/>
    <n v="3"/>
    <s v="R. Visc. de Pirajá, 136 - Ipanema, Rio de Janeiro - RJ, 22410-000"/>
    <x v="1"/>
    <s v="GABRIELLA SAGRILLO"/>
    <x v="1"/>
    <n v="36"/>
    <x v="0"/>
    <n v="19500"/>
    <d v="2020-02-06T00:00:00"/>
    <x v="1"/>
    <x v="4"/>
  </r>
  <r>
    <x v="18"/>
    <n v="2500"/>
    <n v="3"/>
    <s v="Av. Goiás Norte, 3.592 - quadra 2.1 - St. Mal. Rondon, Goiânia - GO, 74063-010"/>
    <x v="4"/>
    <s v="CAROLINA VASCONCELOS"/>
    <x v="1"/>
    <n v="42"/>
    <x v="0"/>
    <n v="7500"/>
    <d v="2020-05-09T00:00:00"/>
    <x v="1"/>
    <x v="11"/>
  </r>
  <r>
    <x v="2"/>
    <n v="1900"/>
    <n v="5"/>
    <s v="Av. Dom Luís, 500 - Aldeota, Fortaleza - CE, 60160-230"/>
    <x v="2"/>
    <s v="WILSON BRANDÃO"/>
    <x v="0"/>
    <n v="74"/>
    <x v="1"/>
    <n v="9500"/>
    <d v="2020-01-02T00:00:00"/>
    <x v="1"/>
    <x v="5"/>
  </r>
  <r>
    <x v="18"/>
    <n v="2500"/>
    <n v="3"/>
    <s v="Av. Borges de Medeiros, 3120 - Praia de Belas, Porto Alegre - RS, 90110-150"/>
    <x v="8"/>
    <s v="NATHALIA VENTURA"/>
    <x v="1"/>
    <n v="27"/>
    <x v="2"/>
    <n v="7500"/>
    <d v="2020-09-28T00:00:00"/>
    <x v="1"/>
    <x v="1"/>
  </r>
  <r>
    <x v="0"/>
    <n v="4500"/>
    <n v="5"/>
    <s v="Av. Goiás Norte, 3.592 - quadra 2.1 - St. Mal. Rondon, Goiânia - GO, 74063-010"/>
    <x v="4"/>
    <s v="WILLIAN ALBINO"/>
    <x v="0"/>
    <n v="27"/>
    <x v="2"/>
    <n v="22500"/>
    <d v="2020-05-10T00:00:00"/>
    <x v="1"/>
    <x v="11"/>
  </r>
  <r>
    <x v="2"/>
    <n v="1900"/>
    <n v="5"/>
    <s v="R. Luíz Faccini, 212 - Centro, Guarulhos - SP, 07110-000"/>
    <x v="0"/>
    <s v="HANNA FONSECA"/>
    <x v="1"/>
    <n v="40"/>
    <x v="0"/>
    <n v="9500"/>
    <d v="2020-03-13T00:00:00"/>
    <x v="1"/>
    <x v="9"/>
  </r>
  <r>
    <x v="20"/>
    <n v="5500"/>
    <n v="5"/>
    <s v="Av. Barão Homem de Melo, 1389 - Nova Granada, Belo Horizonte - MG, 30431-425"/>
    <x v="7"/>
    <s v="HENRIQUE VILLANOVA"/>
    <x v="0"/>
    <n v="67"/>
    <x v="1"/>
    <n v="27500"/>
    <d v="2020-06-13T00:00:00"/>
    <x v="1"/>
    <x v="3"/>
  </r>
  <r>
    <x v="5"/>
    <n v="1450"/>
    <n v="2"/>
    <s v="R. Teodoro Sampaio, 954 - Pinheiros, São Paulo - SP, 05406-050"/>
    <x v="0"/>
    <s v="JULIANA SOUZA"/>
    <x v="1"/>
    <n v="73"/>
    <x v="1"/>
    <n v="2900"/>
    <d v="2020-07-13T00:00:00"/>
    <x v="1"/>
    <x v="0"/>
  </r>
  <r>
    <x v="11"/>
    <n v="2000"/>
    <n v="2"/>
    <s v="Rua Antônio Lumack do Monte, 203 - 1 - Boa Viagem, Recife - PE, 51020-350"/>
    <x v="6"/>
    <s v="BERNARD PEDROSA"/>
    <x v="0"/>
    <n v="49"/>
    <x v="0"/>
    <n v="4000"/>
    <d v="2020-06-01T00:00:00"/>
    <x v="1"/>
    <x v="3"/>
  </r>
  <r>
    <x v="8"/>
    <n v="1400"/>
    <n v="5"/>
    <s v="Av. Goiás Norte, 3.592 - quadra 2.1 - St. Mal. Rondon, Goiânia - GO, 74063-010"/>
    <x v="4"/>
    <s v="LUCAS ASSUNÇÃO"/>
    <x v="0"/>
    <n v="71"/>
    <x v="1"/>
    <n v="7000"/>
    <d v="2020-09-07T00:00:00"/>
    <x v="1"/>
    <x v="1"/>
  </r>
  <r>
    <x v="11"/>
    <n v="2000"/>
    <n v="4"/>
    <s v="R. Teodoro Sampaio, 954 - Pinheiros, São Paulo - SP, 05406-050"/>
    <x v="0"/>
    <s v="SAMARA PINTO"/>
    <x v="1"/>
    <n v="41"/>
    <x v="0"/>
    <n v="8000"/>
    <d v="2020-02-16T00:00:00"/>
    <x v="1"/>
    <x v="4"/>
  </r>
  <r>
    <x v="14"/>
    <n v="1500"/>
    <n v="3"/>
    <s v="Rua Quinze de Novembro, 8 - Loja 301a Loja 301b - Centro, Niterói - RJ, 24020-125"/>
    <x v="1"/>
    <s v="ANA CAMPOS"/>
    <x v="1"/>
    <n v="30"/>
    <x v="0"/>
    <n v="4500"/>
    <d v="2020-12-01T00:00:00"/>
    <x v="1"/>
    <x v="8"/>
  </r>
  <r>
    <x v="12"/>
    <n v="1500"/>
    <n v="5"/>
    <s v="Av. Barão Homem de Melo, 1389 - Nova Granada, Belo Horizonte - MG, 30431-425"/>
    <x v="7"/>
    <s v="PEDRO CARDOSO"/>
    <x v="0"/>
    <n v="62"/>
    <x v="1"/>
    <n v="7500"/>
    <d v="2020-04-27T00:00:00"/>
    <x v="1"/>
    <x v="2"/>
  </r>
  <r>
    <x v="18"/>
    <n v="2500"/>
    <n v="4"/>
    <s v="Rua Quinze de Novembro, 8 - Loja 301a Loja 301b - Centro, Niterói - RJ, 24020-125"/>
    <x v="1"/>
    <s v="JORGE FONSECA"/>
    <x v="0"/>
    <n v="26"/>
    <x v="2"/>
    <n v="10000"/>
    <d v="2020-06-25T00:00:00"/>
    <x v="1"/>
    <x v="3"/>
  </r>
  <r>
    <x v="4"/>
    <n v="700"/>
    <n v="2"/>
    <s v="R. Dr. Antônio Castro Prado, 422 - Vila Rossi e Borchi, Campinas - SP, 13076-130"/>
    <x v="0"/>
    <s v="NATHAN CUNHA"/>
    <x v="0"/>
    <n v="34"/>
    <x v="0"/>
    <n v="1400"/>
    <d v="2020-08-11T00:00:00"/>
    <x v="1"/>
    <x v="7"/>
  </r>
  <r>
    <x v="12"/>
    <n v="1500"/>
    <n v="3"/>
    <s v="Rua Antônio Lumack do Monte, 203 - 1 - Boa Viagem, Recife - PE, 51020-350"/>
    <x v="6"/>
    <s v="LUIZ MARINHO"/>
    <x v="0"/>
    <n v="72"/>
    <x v="1"/>
    <n v="4500"/>
    <d v="2020-12-23T00:00:00"/>
    <x v="1"/>
    <x v="8"/>
  </r>
  <r>
    <x v="2"/>
    <n v="1900"/>
    <n v="1"/>
    <s v="Av. Borges de Medeiros, 3120 - Praia de Belas, Porto Alegre - RS, 90110-150"/>
    <x v="8"/>
    <s v="ANDRE NÓBREGA"/>
    <x v="0"/>
    <n v="36"/>
    <x v="0"/>
    <n v="1900"/>
    <d v="2020-09-02T00:00:00"/>
    <x v="1"/>
    <x v="1"/>
  </r>
  <r>
    <x v="11"/>
    <n v="2000"/>
    <n v="3"/>
    <s v="Shopping Barra - Av. Centenário, 2992 - Barra, Salvador - BA, 40155-150"/>
    <x v="5"/>
    <s v="RAISSA SALES"/>
    <x v="1"/>
    <n v="46"/>
    <x v="0"/>
    <n v="6000"/>
    <d v="2020-12-28T00:00:00"/>
    <x v="1"/>
    <x v="8"/>
  </r>
  <r>
    <x v="16"/>
    <n v="1200"/>
    <n v="2"/>
    <s v="R. Teodoro Sampaio, 954 - Pinheiros, São Paulo - SP, 05406-050"/>
    <x v="0"/>
    <s v="CAIO MORAES"/>
    <x v="0"/>
    <n v="69"/>
    <x v="1"/>
    <n v="2400"/>
    <d v="2020-05-20T00:00:00"/>
    <x v="1"/>
    <x v="11"/>
  </r>
  <r>
    <x v="15"/>
    <n v="3000"/>
    <n v="3"/>
    <s v="R. Teodoro Sampaio, 954 - Pinheiros, São Paulo - SP, 05406-050"/>
    <x v="0"/>
    <s v="DANILO RUBIM"/>
    <x v="0"/>
    <n v="61"/>
    <x v="1"/>
    <n v="9000"/>
    <d v="2020-05-10T00:00:00"/>
    <x v="1"/>
    <x v="11"/>
  </r>
  <r>
    <x v="5"/>
    <n v="1450"/>
    <n v="4"/>
    <s v="Rua Antônio Lumack do Monte, 203 - 1 - Boa Viagem, Recife - PE, 51020-350"/>
    <x v="6"/>
    <s v="LUIZA CABRAL"/>
    <x v="1"/>
    <n v="32"/>
    <x v="0"/>
    <n v="5800"/>
    <d v="2020-02-20T00:00:00"/>
    <x v="1"/>
    <x v="4"/>
  </r>
  <r>
    <x v="22"/>
    <n v="2400"/>
    <n v="1"/>
    <s v="Av. Borges de Medeiros, 3120 - Praia de Belas, Porto Alegre - RS, 90110-150"/>
    <x v="8"/>
    <s v="BRUNA RANGEL"/>
    <x v="1"/>
    <n v="31"/>
    <x v="0"/>
    <n v="2400"/>
    <d v="2020-11-26T00:00:00"/>
    <x v="1"/>
    <x v="10"/>
  </r>
  <r>
    <x v="8"/>
    <n v="1400"/>
    <n v="5"/>
    <s v="R. Luíz Faccini, 212 - Centro, Guarulhos - SP, 07110-000"/>
    <x v="0"/>
    <s v="PEDRO JORGE"/>
    <x v="0"/>
    <n v="31"/>
    <x v="0"/>
    <n v="7000"/>
    <d v="2020-04-13T00:00:00"/>
    <x v="1"/>
    <x v="2"/>
  </r>
  <r>
    <x v="6"/>
    <n v="6500"/>
    <n v="3"/>
    <s v="R. Luíz Faccini, 212 - Centro, Guarulhos - SP, 07110-000"/>
    <x v="0"/>
    <s v="PEDRO AYRES"/>
    <x v="0"/>
    <n v="65"/>
    <x v="1"/>
    <n v="19500"/>
    <d v="2020-08-14T00:00:00"/>
    <x v="1"/>
    <x v="7"/>
  </r>
  <r>
    <x v="10"/>
    <n v="750"/>
    <n v="3"/>
    <s v="Av. Goiás Norte, 3.592 - quadra 2.1 - St. Mal. Rondon, Goiânia - GO, 74063-010"/>
    <x v="4"/>
    <s v="ANA JÚNIOR"/>
    <x v="1"/>
    <n v="58"/>
    <x v="1"/>
    <n v="2250"/>
    <d v="2020-01-09T00:00:00"/>
    <x v="1"/>
    <x v="5"/>
  </r>
  <r>
    <x v="8"/>
    <n v="1400"/>
    <n v="5"/>
    <s v="R. Dr. Antônio Castro Prado, 422 - Vila Rossi e Borchi, Campinas - SP, 13076-130"/>
    <x v="0"/>
    <s v="WILSON FARIAS"/>
    <x v="0"/>
    <n v="42"/>
    <x v="0"/>
    <n v="7000"/>
    <d v="2020-09-17T00:00:00"/>
    <x v="1"/>
    <x v="1"/>
  </r>
  <r>
    <x v="6"/>
    <n v="6500"/>
    <n v="4"/>
    <s v="Av. Barão Homem de Melo, 1389 - Nova Granada, Belo Horizonte - MG, 30431-425"/>
    <x v="7"/>
    <s v="GABRIEL PUNTEL"/>
    <x v="0"/>
    <n v="26"/>
    <x v="2"/>
    <n v="26000"/>
    <d v="2020-02-28T00:00:00"/>
    <x v="1"/>
    <x v="4"/>
  </r>
  <r>
    <x v="21"/>
    <n v="5200"/>
    <n v="5"/>
    <s v="R. Luíz Faccini, 212 - Centro, Guarulhos - SP, 07110-000"/>
    <x v="0"/>
    <s v="GIOVANA VILELA"/>
    <x v="1"/>
    <n v="53"/>
    <x v="1"/>
    <n v="26000"/>
    <d v="2020-06-24T00:00:00"/>
    <x v="1"/>
    <x v="3"/>
  </r>
  <r>
    <x v="12"/>
    <n v="1500"/>
    <n v="1"/>
    <s v="Rua Quinze de Novembro, 8 - Loja 301a Loja 301b - Centro, Niterói - RJ, 24020-125"/>
    <x v="1"/>
    <s v="JOÃO MATHEUS"/>
    <x v="0"/>
    <n v="29"/>
    <x v="2"/>
    <n v="1500"/>
    <d v="2020-07-03T00:00:00"/>
    <x v="1"/>
    <x v="0"/>
  </r>
  <r>
    <x v="15"/>
    <n v="3000"/>
    <n v="2"/>
    <s v="Av. Dom Luís, 500 - Aldeota, Fortaleza - CE, 60160-230"/>
    <x v="2"/>
    <s v="LÍVIA MARQUES"/>
    <x v="1"/>
    <n v="50"/>
    <x v="0"/>
    <n v="6000"/>
    <d v="2020-07-23T00:00:00"/>
    <x v="1"/>
    <x v="0"/>
  </r>
  <r>
    <x v="10"/>
    <n v="750"/>
    <n v="3"/>
    <s v="Rua Quinze de Novembro, 8 - Loja 301a Loja 301b - Centro, Niterói - RJ, 24020-125"/>
    <x v="1"/>
    <s v="ROBERTO NOGUEIRA"/>
    <x v="0"/>
    <n v="51"/>
    <x v="1"/>
    <n v="2250"/>
    <d v="2020-11-06T00:00:00"/>
    <x v="1"/>
    <x v="10"/>
  </r>
  <r>
    <x v="3"/>
    <n v="1500"/>
    <n v="2"/>
    <s v="Av. Mal. Floriano Peixoto, 2248-2258 - Centro, Nova Iguaçu - RJ, 26210-000"/>
    <x v="1"/>
    <s v="JACKSON DEROSSI"/>
    <x v="0"/>
    <n v="38"/>
    <x v="0"/>
    <n v="3000"/>
    <d v="2020-03-03T00:00:00"/>
    <x v="1"/>
    <x v="9"/>
  </r>
  <r>
    <x v="0"/>
    <n v="4500"/>
    <n v="4"/>
    <s v="R. Visc. de Pirajá, 136 - Ipanema, Rio de Janeiro - RJ, 22410-000"/>
    <x v="1"/>
    <s v="REBECA MANHÃES"/>
    <x v="1"/>
    <n v="29"/>
    <x v="2"/>
    <n v="18000"/>
    <d v="2020-06-09T00:00:00"/>
    <x v="1"/>
    <x v="3"/>
  </r>
  <r>
    <x v="18"/>
    <n v="2500"/>
    <n v="2"/>
    <s v="Av. Barão Homem de Melo, 1389 - Nova Granada, Belo Horizonte - MG, 30431-425"/>
    <x v="7"/>
    <s v="KIMBERLY SAD"/>
    <x v="1"/>
    <n v="43"/>
    <x v="0"/>
    <n v="5000"/>
    <d v="2020-07-01T00:00:00"/>
    <x v="1"/>
    <x v="0"/>
  </r>
  <r>
    <x v="5"/>
    <n v="1450"/>
    <n v="3"/>
    <s v="R. Brasílio Itiberê, 3279 - Água Verde, Curitiba - PR, 80250-160"/>
    <x v="3"/>
    <s v="LUIS SOUZA"/>
    <x v="1"/>
    <n v="51"/>
    <x v="1"/>
    <n v="4350"/>
    <d v="2020-11-17T00:00:00"/>
    <x v="1"/>
    <x v="10"/>
  </r>
  <r>
    <x v="4"/>
    <n v="700"/>
    <n v="5"/>
    <s v="Shopping Barra - Av. Centenário, 2992 - Barra, Salvador - BA, 40155-150"/>
    <x v="5"/>
    <s v="LUANA SANTANA"/>
    <x v="1"/>
    <n v="25"/>
    <x v="2"/>
    <n v="3500"/>
    <d v="2020-12-09T00:00:00"/>
    <x v="1"/>
    <x v="8"/>
  </r>
  <r>
    <x v="11"/>
    <n v="2000"/>
    <n v="3"/>
    <s v="Av. Barão Homem de Melo, 1389 - Nova Granada, Belo Horizonte - MG, 30431-425"/>
    <x v="7"/>
    <s v="MARIA COSTA"/>
    <x v="1"/>
    <n v="54"/>
    <x v="1"/>
    <n v="6000"/>
    <d v="2020-07-03T00:00:00"/>
    <x v="1"/>
    <x v="0"/>
  </r>
  <r>
    <x v="18"/>
    <n v="2500"/>
    <n v="2"/>
    <s v="Av. Goiás Norte, 3.592 - quadra 2.1 - St. Mal. Rondon, Goiânia - GO, 74063-010"/>
    <x v="4"/>
    <s v="JÔNATAS TANAKA"/>
    <x v="0"/>
    <n v="31"/>
    <x v="0"/>
    <n v="5000"/>
    <d v="2020-08-05T00:00:00"/>
    <x v="1"/>
    <x v="7"/>
  </r>
  <r>
    <x v="11"/>
    <n v="2000"/>
    <n v="5"/>
    <s v="R. Visc. de Pirajá, 136 - Ipanema, Rio de Janeiro - RJ, 22410-000"/>
    <x v="1"/>
    <s v="ANA BÔAS"/>
    <x v="1"/>
    <n v="54"/>
    <x v="1"/>
    <n v="10000"/>
    <d v="2020-08-28T00:00:00"/>
    <x v="1"/>
    <x v="7"/>
  </r>
  <r>
    <x v="7"/>
    <n v="2600"/>
    <n v="3"/>
    <s v="Rua Antônio Lumack do Monte, 203 - 1 - Boa Viagem, Recife - PE, 51020-350"/>
    <x v="6"/>
    <s v="LUCAS ARAÚJO"/>
    <x v="0"/>
    <n v="48"/>
    <x v="0"/>
    <n v="7800"/>
    <d v="2020-06-18T00:00:00"/>
    <x v="1"/>
    <x v="3"/>
  </r>
  <r>
    <x v="22"/>
    <n v="2400"/>
    <n v="2"/>
    <s v="Av. Goiás Norte, 3.592 - quadra 2.1 - St. Mal. Rondon, Goiânia - GO, 74063-010"/>
    <x v="4"/>
    <s v="JULIA PENTEADO"/>
    <x v="1"/>
    <n v="76"/>
    <x v="1"/>
    <n v="4800"/>
    <d v="2020-04-17T00:00:00"/>
    <x v="1"/>
    <x v="2"/>
  </r>
  <r>
    <x v="4"/>
    <n v="700"/>
    <n v="3"/>
    <s v="Av. Dom Luís, 500 - Aldeota, Fortaleza - CE, 60160-230"/>
    <x v="2"/>
    <s v="BRUNA BRANDAO"/>
    <x v="1"/>
    <n v="33"/>
    <x v="0"/>
    <n v="2100"/>
    <d v="2020-11-24T00:00:00"/>
    <x v="1"/>
    <x v="10"/>
  </r>
  <r>
    <x v="20"/>
    <n v="5500"/>
    <n v="2"/>
    <s v="Shopping Barra - Av. Centenário, 2992 - Barra, Salvador - BA, 40155-150"/>
    <x v="5"/>
    <s v="DÉBORA LOPES"/>
    <x v="1"/>
    <n v="44"/>
    <x v="0"/>
    <n v="11000"/>
    <d v="2020-08-06T00:00:00"/>
    <x v="1"/>
    <x v="7"/>
  </r>
  <r>
    <x v="4"/>
    <n v="700"/>
    <n v="4"/>
    <s v="Av. Dom Luís, 500 - Aldeota, Fortaleza - CE, 60160-230"/>
    <x v="2"/>
    <s v="IZABEL LOPES"/>
    <x v="1"/>
    <n v="27"/>
    <x v="2"/>
    <n v="2800"/>
    <d v="2020-03-01T00:00:00"/>
    <x v="1"/>
    <x v="9"/>
  </r>
  <r>
    <x v="10"/>
    <n v="750"/>
    <n v="5"/>
    <s v="R. Luíz Faccini, 212 - Centro, Guarulhos - SP, 07110-000"/>
    <x v="0"/>
    <s v="MARCELO PEREIRA"/>
    <x v="0"/>
    <n v="49"/>
    <x v="0"/>
    <n v="3750"/>
    <d v="2020-08-21T00:00:00"/>
    <x v="1"/>
    <x v="7"/>
  </r>
  <r>
    <x v="12"/>
    <n v="1500"/>
    <n v="4"/>
    <s v="Av. Borges de Medeiros, 3120 - Praia de Belas, Porto Alegre - RS, 90110-150"/>
    <x v="8"/>
    <s v="LUIZA CAVALCANTI"/>
    <x v="1"/>
    <n v="51"/>
    <x v="1"/>
    <n v="6000"/>
    <d v="2020-11-07T00:00:00"/>
    <x v="1"/>
    <x v="10"/>
  </r>
  <r>
    <x v="15"/>
    <n v="3000"/>
    <n v="5"/>
    <s v="R. Brasílio Itiberê, 3279 - Água Verde, Curitiba - PR, 80250-160"/>
    <x v="3"/>
    <s v="ELAINE SANTOS"/>
    <x v="1"/>
    <n v="53"/>
    <x v="1"/>
    <n v="15000"/>
    <d v="2020-03-18T00:00:00"/>
    <x v="1"/>
    <x v="9"/>
  </r>
  <r>
    <x v="22"/>
    <n v="2400"/>
    <n v="5"/>
    <s v="R. Luíz Faccini, 212 - Centro, Guarulhos - SP, 07110-000"/>
    <x v="0"/>
    <s v="JULIA FIGUEIREDO"/>
    <x v="1"/>
    <n v="30"/>
    <x v="0"/>
    <n v="12000"/>
    <d v="2020-04-23T00:00:00"/>
    <x v="1"/>
    <x v="2"/>
  </r>
  <r>
    <x v="8"/>
    <n v="1400"/>
    <n v="1"/>
    <s v="R. Teodoro Sampaio, 954 - Pinheiros, São Paulo - SP, 05406-050"/>
    <x v="0"/>
    <s v="THAÍS MOURA"/>
    <x v="1"/>
    <n v="28"/>
    <x v="2"/>
    <n v="1400"/>
    <d v="2020-04-04T00:00:00"/>
    <x v="1"/>
    <x v="2"/>
  </r>
  <r>
    <x v="19"/>
    <n v="1750"/>
    <n v="4"/>
    <s v="R. Luíz Faccini, 212 - Centro, Guarulhos - SP, 07110-000"/>
    <x v="0"/>
    <s v="MATEUS POLASTRI"/>
    <x v="0"/>
    <n v="57"/>
    <x v="1"/>
    <n v="7000"/>
    <d v="2020-12-01T00:00:00"/>
    <x v="1"/>
    <x v="8"/>
  </r>
  <r>
    <x v="16"/>
    <n v="1200"/>
    <n v="4"/>
    <s v="R. Dr. Antônio Castro Prado, 422 - Vila Rossi e Borchi, Campinas - SP, 13076-130"/>
    <x v="0"/>
    <s v="JESSICA FERREIRA"/>
    <x v="1"/>
    <n v="75"/>
    <x v="1"/>
    <n v="4800"/>
    <d v="2020-08-16T00:00:00"/>
    <x v="1"/>
    <x v="7"/>
  </r>
  <r>
    <x v="22"/>
    <n v="2400"/>
    <n v="2"/>
    <s v="R. Luíz Faccini, 212 - Centro, Guarulhos - SP, 07110-000"/>
    <x v="0"/>
    <s v="THALES PORTILLO"/>
    <x v="0"/>
    <n v="71"/>
    <x v="1"/>
    <n v="4800"/>
    <d v="2020-10-19T00:00:00"/>
    <x v="1"/>
    <x v="6"/>
  </r>
  <r>
    <x v="20"/>
    <n v="5500"/>
    <n v="3"/>
    <s v="Shopping Barra - Av. Centenário, 2992 - Barra, Salvador - BA, 40155-150"/>
    <x v="5"/>
    <s v="JEFERSON COSTA"/>
    <x v="0"/>
    <n v="41"/>
    <x v="0"/>
    <n v="16500"/>
    <d v="2020-06-01T00:00:00"/>
    <x v="1"/>
    <x v="3"/>
  </r>
  <r>
    <x v="0"/>
    <n v="4500"/>
    <n v="2"/>
    <s v="Av. Goiás Norte, 3.592 - quadra 2.1 - St. Mal. Rondon, Goiânia - GO, 74063-010"/>
    <x v="4"/>
    <s v="LEANDRO FERREIRA"/>
    <x v="0"/>
    <n v="38"/>
    <x v="0"/>
    <n v="9000"/>
    <d v="2020-03-31T00:00:00"/>
    <x v="1"/>
    <x v="9"/>
  </r>
  <r>
    <x v="11"/>
    <n v="2000"/>
    <n v="3"/>
    <s v="Av. Dom Luís, 500 - Aldeota, Fortaleza - CE, 60160-230"/>
    <x v="2"/>
    <s v="LUÃ SÁ"/>
    <x v="0"/>
    <n v="50"/>
    <x v="0"/>
    <n v="6000"/>
    <d v="2020-11-19T00:00:00"/>
    <x v="1"/>
    <x v="10"/>
  </r>
  <r>
    <x v="21"/>
    <n v="5200"/>
    <n v="4"/>
    <s v="R. Luíz Faccini, 212 - Centro, Guarulhos - SP, 07110-000"/>
    <x v="0"/>
    <s v="BRENO QUINTO"/>
    <x v="0"/>
    <n v="49"/>
    <x v="0"/>
    <n v="20800"/>
    <d v="2020-03-28T00:00:00"/>
    <x v="1"/>
    <x v="9"/>
  </r>
  <r>
    <x v="0"/>
    <n v="4500"/>
    <n v="3"/>
    <s v="Rua Antônio Lumack do Monte, 203 - 1 - Boa Viagem, Recife - PE, 51020-350"/>
    <x v="6"/>
    <s v="MYLLENA CORRÊA"/>
    <x v="1"/>
    <n v="32"/>
    <x v="0"/>
    <n v="13500"/>
    <d v="2020-12-14T00:00:00"/>
    <x v="1"/>
    <x v="8"/>
  </r>
  <r>
    <x v="20"/>
    <n v="5500"/>
    <n v="1"/>
    <s v="Av. Barão Homem de Melo, 1389 - Nova Granada, Belo Horizonte - MG, 30431-425"/>
    <x v="7"/>
    <s v="FELIPE FREITAS"/>
    <x v="0"/>
    <n v="36"/>
    <x v="0"/>
    <n v="5500"/>
    <d v="2020-07-06T00:00:00"/>
    <x v="1"/>
    <x v="0"/>
  </r>
  <r>
    <x v="12"/>
    <n v="1500"/>
    <n v="5"/>
    <s v="Rua Antônio Lumack do Monte, 203 - 1 - Boa Viagem, Recife - PE, 51020-350"/>
    <x v="6"/>
    <s v="DEYSIANE MEDRONHO"/>
    <x v="1"/>
    <n v="47"/>
    <x v="0"/>
    <n v="7500"/>
    <d v="2020-09-21T00:00:00"/>
    <x v="1"/>
    <x v="1"/>
  </r>
  <r>
    <x v="5"/>
    <n v="1450"/>
    <n v="1"/>
    <s v="Av. Borges de Medeiros, 3120 - Praia de Belas, Porto Alegre - RS, 90110-150"/>
    <x v="8"/>
    <s v="DANIEL COSTA"/>
    <x v="0"/>
    <n v="67"/>
    <x v="1"/>
    <n v="1450"/>
    <d v="2021-08-02T00:00:00"/>
    <x v="2"/>
    <x v="7"/>
  </r>
  <r>
    <x v="13"/>
    <n v="1550"/>
    <n v="2"/>
    <s v="Av. Mal. Floriano Peixoto, 2248-2258 - Centro, Nova Iguaçu - RJ, 26210-000"/>
    <x v="1"/>
    <s v="DANIEL MONTEIRO"/>
    <x v="0"/>
    <n v="64"/>
    <x v="1"/>
    <n v="3100"/>
    <d v="2021-08-08T00:00:00"/>
    <x v="2"/>
    <x v="7"/>
  </r>
  <r>
    <x v="12"/>
    <n v="1500"/>
    <n v="2"/>
    <s v="Rua Antônio Lumack do Monte, 203 - 1 - Boa Viagem, Recife - PE, 51020-350"/>
    <x v="6"/>
    <s v="JOÃO ALVES"/>
    <x v="0"/>
    <n v="63"/>
    <x v="1"/>
    <n v="3000"/>
    <d v="2021-04-29T00:00:00"/>
    <x v="2"/>
    <x v="2"/>
  </r>
  <r>
    <x v="8"/>
    <n v="1400"/>
    <n v="1"/>
    <s v="Rua Quinze de Novembro, 8 - Loja 301a Loja 301b - Centro, Niterói - RJ, 24020-125"/>
    <x v="1"/>
    <s v="JOÃO RODRIGUES"/>
    <x v="0"/>
    <n v="59"/>
    <x v="1"/>
    <n v="1400"/>
    <d v="2021-02-11T00:00:00"/>
    <x v="2"/>
    <x v="4"/>
  </r>
  <r>
    <x v="16"/>
    <n v="1200"/>
    <n v="5"/>
    <s v="Av. Barão Homem de Melo, 1389 - Nova Granada, Belo Horizonte - MG, 30431-425"/>
    <x v="7"/>
    <s v="RUAN LOPES"/>
    <x v="0"/>
    <n v="26"/>
    <x v="2"/>
    <n v="6000"/>
    <d v="2021-03-13T00:00:00"/>
    <x v="2"/>
    <x v="9"/>
  </r>
  <r>
    <x v="6"/>
    <n v="6500"/>
    <n v="4"/>
    <s v="Av. Mal. Floriano Peixoto, 2248-2258 - Centro, Nova Iguaçu - RJ, 26210-000"/>
    <x v="1"/>
    <s v="NATALIA GUEDES"/>
    <x v="1"/>
    <n v="71"/>
    <x v="1"/>
    <n v="26000"/>
    <d v="2021-09-05T00:00:00"/>
    <x v="2"/>
    <x v="1"/>
  </r>
  <r>
    <x v="9"/>
    <n v="2000"/>
    <n v="4"/>
    <s v="Shopping Barra - Av. Centenário, 2992 - Barra, Salvador - BA, 40155-150"/>
    <x v="5"/>
    <s v="MARIA CARDOSO"/>
    <x v="1"/>
    <n v="56"/>
    <x v="1"/>
    <n v="8000"/>
    <d v="2021-05-14T00:00:00"/>
    <x v="2"/>
    <x v="11"/>
  </r>
  <r>
    <x v="16"/>
    <n v="1200"/>
    <n v="4"/>
    <s v="R. Teodoro Sampaio, 954 - Pinheiros, São Paulo - SP, 05406-050"/>
    <x v="0"/>
    <s v="LUCAS BAPTISTA"/>
    <x v="0"/>
    <n v="49"/>
    <x v="0"/>
    <n v="4800"/>
    <d v="2021-03-06T00:00:00"/>
    <x v="2"/>
    <x v="9"/>
  </r>
  <r>
    <x v="9"/>
    <n v="2000"/>
    <n v="2"/>
    <s v="R. Teodoro Sampaio, 954 - Pinheiros, São Paulo - SP, 05406-050"/>
    <x v="0"/>
    <s v="PALOMA SPERANDEI"/>
    <x v="1"/>
    <n v="65"/>
    <x v="1"/>
    <n v="4000"/>
    <d v="2021-12-02T00:00:00"/>
    <x v="2"/>
    <x v="8"/>
  </r>
  <r>
    <x v="22"/>
    <n v="2400"/>
    <n v="4"/>
    <s v="R. Visc. de Pirajá, 136 - Ipanema, Rio de Janeiro - RJ, 22410-000"/>
    <x v="1"/>
    <s v="THAÍS RIBEIRO"/>
    <x v="1"/>
    <n v="51"/>
    <x v="1"/>
    <n v="9600"/>
    <d v="2021-05-15T00:00:00"/>
    <x v="2"/>
    <x v="11"/>
  </r>
  <r>
    <x v="12"/>
    <n v="1500"/>
    <n v="5"/>
    <s v="R. Teodoro Sampaio, 954 - Pinheiros, São Paulo - SP, 05406-050"/>
    <x v="0"/>
    <s v="NINA MAGALHÃES"/>
    <x v="1"/>
    <n v="66"/>
    <x v="1"/>
    <n v="7500"/>
    <d v="2021-10-10T00:00:00"/>
    <x v="2"/>
    <x v="6"/>
  </r>
  <r>
    <x v="8"/>
    <n v="1400"/>
    <n v="5"/>
    <s v="R. Visc. de Pirajá, 136 - Ipanema, Rio de Janeiro - RJ, 22410-000"/>
    <x v="1"/>
    <s v="ISABELLE FIRMINO"/>
    <x v="1"/>
    <n v="58"/>
    <x v="1"/>
    <n v="7000"/>
    <d v="2021-02-23T00:00:00"/>
    <x v="2"/>
    <x v="4"/>
  </r>
  <r>
    <x v="0"/>
    <n v="4500"/>
    <n v="3"/>
    <s v="R. Luíz Faccini, 212 - Centro, Guarulhos - SP, 07110-000"/>
    <x v="0"/>
    <s v="JOÃO FONSECA"/>
    <x v="0"/>
    <n v="34"/>
    <x v="0"/>
    <n v="13500"/>
    <d v="2021-03-03T00:00:00"/>
    <x v="2"/>
    <x v="9"/>
  </r>
  <r>
    <x v="10"/>
    <n v="750"/>
    <n v="2"/>
    <s v="Av. Borges de Medeiros, 3120 - Praia de Belas, Porto Alegre - RS, 90110-150"/>
    <x v="8"/>
    <s v="DAVID ASSUMPÇÃO"/>
    <x v="0"/>
    <n v="30"/>
    <x v="0"/>
    <n v="1500"/>
    <d v="2021-12-19T00:00:00"/>
    <x v="2"/>
    <x v="8"/>
  </r>
  <r>
    <x v="9"/>
    <n v="2000"/>
    <n v="5"/>
    <s v="Av. Goiás Norte, 3.592 - quadra 2.1 - St. Mal. Rondon, Goiânia - GO, 74063-010"/>
    <x v="4"/>
    <s v="LUIS SILVA"/>
    <x v="1"/>
    <n v="27"/>
    <x v="2"/>
    <n v="10000"/>
    <d v="2021-09-21T00:00:00"/>
    <x v="2"/>
    <x v="1"/>
  </r>
  <r>
    <x v="22"/>
    <n v="2400"/>
    <n v="2"/>
    <s v="R. Dr. Antônio Castro Prado, 422 - Vila Rossi e Borchi, Campinas - SP, 13076-130"/>
    <x v="0"/>
    <s v="NATHAN CUNHA"/>
    <x v="0"/>
    <n v="34"/>
    <x v="0"/>
    <n v="4800"/>
    <d v="2021-09-19T00:00:00"/>
    <x v="2"/>
    <x v="1"/>
  </r>
  <r>
    <x v="2"/>
    <n v="1900"/>
    <n v="3"/>
    <s v="R. Visc. de Pirajá, 136 - Ipanema, Rio de Janeiro - RJ, 22410-000"/>
    <x v="1"/>
    <s v="NATALIA ANDRADE"/>
    <x v="1"/>
    <n v="73"/>
    <x v="1"/>
    <n v="5700"/>
    <d v="2021-09-21T00:00:00"/>
    <x v="2"/>
    <x v="1"/>
  </r>
  <r>
    <x v="1"/>
    <n v="1400"/>
    <n v="4"/>
    <s v="R. Brasílio Itiberê, 3279 - Água Verde, Curitiba - PR, 80250-160"/>
    <x v="3"/>
    <s v="CATARINA TEIXEIRA"/>
    <x v="1"/>
    <n v="54"/>
    <x v="1"/>
    <n v="5600"/>
    <d v="2021-04-29T00:00:00"/>
    <x v="2"/>
    <x v="2"/>
  </r>
  <r>
    <x v="18"/>
    <n v="2500"/>
    <n v="3"/>
    <s v="Shopping Barra - Av. Centenário, 2992 - Barra, Salvador - BA, 40155-150"/>
    <x v="5"/>
    <s v="GUILHERME CASTILHO"/>
    <x v="0"/>
    <n v="55"/>
    <x v="1"/>
    <n v="7500"/>
    <d v="2021-04-23T00:00:00"/>
    <x v="2"/>
    <x v="2"/>
  </r>
  <r>
    <x v="1"/>
    <n v="1400"/>
    <n v="5"/>
    <s v="Av. Barão Homem de Melo, 1389 - Nova Granada, Belo Horizonte - MG, 30431-425"/>
    <x v="7"/>
    <s v="REBECA REIS"/>
    <x v="1"/>
    <n v="66"/>
    <x v="1"/>
    <n v="7000"/>
    <d v="2021-11-13T00:00:00"/>
    <x v="2"/>
    <x v="10"/>
  </r>
  <r>
    <x v="5"/>
    <n v="1450"/>
    <n v="4"/>
    <s v="Av. Mal. Floriano Peixoto, 2248-2258 - Centro, Nova Iguaçu - RJ, 26210-000"/>
    <x v="1"/>
    <s v="FERNANDA COUTINHO"/>
    <x v="1"/>
    <n v="63"/>
    <x v="1"/>
    <n v="5800"/>
    <d v="2021-12-10T00:00:00"/>
    <x v="2"/>
    <x v="8"/>
  </r>
  <r>
    <x v="1"/>
    <n v="1400"/>
    <n v="5"/>
    <s v="Av. Barão Homem de Melo, 1389 - Nova Granada, Belo Horizonte - MG, 30431-425"/>
    <x v="7"/>
    <s v="FELIPE FREITAS"/>
    <x v="0"/>
    <n v="36"/>
    <x v="0"/>
    <n v="7000"/>
    <d v="2021-10-01T00:00:00"/>
    <x v="2"/>
    <x v="6"/>
  </r>
  <r>
    <x v="14"/>
    <n v="1500"/>
    <n v="5"/>
    <s v="R. Luíz Faccini, 212 - Centro, Guarulhos - SP, 07110-000"/>
    <x v="0"/>
    <s v="GABRIELLE PORTO"/>
    <x v="1"/>
    <n v="40"/>
    <x v="0"/>
    <n v="7500"/>
    <d v="2021-09-13T00:00:00"/>
    <x v="2"/>
    <x v="1"/>
  </r>
  <r>
    <x v="17"/>
    <n v="2300"/>
    <n v="1"/>
    <s v="Av. Borges de Medeiros, 3120 - Praia de Belas, Porto Alegre - RS, 90110-150"/>
    <x v="8"/>
    <s v="LUIZA JOHNSON"/>
    <x v="1"/>
    <n v="72"/>
    <x v="1"/>
    <n v="2300"/>
    <d v="2021-07-22T00:00:00"/>
    <x v="2"/>
    <x v="0"/>
  </r>
  <r>
    <x v="19"/>
    <n v="1750"/>
    <n v="1"/>
    <s v="Rua Quinze de Novembro, 8 - Loja 301a Loja 301b - Centro, Niterói - RJ, 24020-125"/>
    <x v="1"/>
    <s v="EDUARDO LOPES"/>
    <x v="0"/>
    <n v="30"/>
    <x v="0"/>
    <n v="1750"/>
    <d v="2021-12-16T00:00:00"/>
    <x v="2"/>
    <x v="8"/>
  </r>
  <r>
    <x v="5"/>
    <n v="1450"/>
    <n v="2"/>
    <s v="R. Brasílio Itiberê, 3279 - Água Verde, Curitiba - PR, 80250-160"/>
    <x v="3"/>
    <s v="JONATAS ESSABER"/>
    <x v="0"/>
    <n v="67"/>
    <x v="1"/>
    <n v="2900"/>
    <d v="2021-02-21T00:00:00"/>
    <x v="2"/>
    <x v="4"/>
  </r>
  <r>
    <x v="8"/>
    <n v="1400"/>
    <n v="3"/>
    <s v="Shopping Barra - Av. Centenário, 2992 - Barra, Salvador - BA, 40155-150"/>
    <x v="5"/>
    <s v="ALLAN GUEDES"/>
    <x v="0"/>
    <n v="34"/>
    <x v="0"/>
    <n v="4200"/>
    <d v="2021-02-13T00:00:00"/>
    <x v="2"/>
    <x v="4"/>
  </r>
  <r>
    <x v="23"/>
    <n v="1100"/>
    <n v="4"/>
    <s v="Av. Mal. Floriano Peixoto, 2248-2258 - Centro, Nova Iguaçu - RJ, 26210-000"/>
    <x v="1"/>
    <s v="NATALIA GUEDES"/>
    <x v="1"/>
    <n v="71"/>
    <x v="1"/>
    <n v="4400"/>
    <d v="2021-04-19T00:00:00"/>
    <x v="2"/>
    <x v="2"/>
  </r>
  <r>
    <x v="22"/>
    <n v="2400"/>
    <n v="5"/>
    <s v="Av. Mal. Floriano Peixoto, 2248-2258 - Centro, Nova Iguaçu - RJ, 26210-000"/>
    <x v="1"/>
    <s v="MARIA GASPERI"/>
    <x v="1"/>
    <n v="70"/>
    <x v="1"/>
    <n v="12000"/>
    <d v="2021-05-22T00:00:00"/>
    <x v="2"/>
    <x v="11"/>
  </r>
  <r>
    <x v="20"/>
    <n v="5500"/>
    <n v="1"/>
    <s v="Rua Antônio Lumack do Monte, 203 - 1 - Boa Viagem, Recife - PE, 51020-350"/>
    <x v="6"/>
    <s v="BARBARA PROCACI"/>
    <x v="1"/>
    <n v="60"/>
    <x v="1"/>
    <n v="5500"/>
    <d v="2021-09-06T00:00:00"/>
    <x v="2"/>
    <x v="1"/>
  </r>
  <r>
    <x v="3"/>
    <n v="1500"/>
    <n v="4"/>
    <s v="R. Teodoro Sampaio, 954 - Pinheiros, São Paulo - SP, 05406-050"/>
    <x v="0"/>
    <s v="PEDRO RONFINI"/>
    <x v="0"/>
    <n v="42"/>
    <x v="0"/>
    <n v="6000"/>
    <d v="2021-09-30T00:00:00"/>
    <x v="2"/>
    <x v="1"/>
  </r>
  <r>
    <x v="13"/>
    <n v="1550"/>
    <n v="4"/>
    <s v="R. Luíz Faccini, 212 - Centro, Guarulhos - SP, 07110-000"/>
    <x v="0"/>
    <s v="AMANDA PROCACI"/>
    <x v="1"/>
    <n v="34"/>
    <x v="0"/>
    <n v="6200"/>
    <d v="2021-01-27T00:00:00"/>
    <x v="2"/>
    <x v="5"/>
  </r>
  <r>
    <x v="5"/>
    <n v="1450"/>
    <n v="5"/>
    <s v="Av. Barão Homem de Melo, 1389 - Nova Granada, Belo Horizonte - MG, 30431-425"/>
    <x v="7"/>
    <s v="LUCAS VALIM"/>
    <x v="0"/>
    <n v="62"/>
    <x v="1"/>
    <n v="7250"/>
    <d v="2021-06-27T00:00:00"/>
    <x v="2"/>
    <x v="3"/>
  </r>
  <r>
    <x v="8"/>
    <n v="1400"/>
    <n v="1"/>
    <s v="Rua Quinze de Novembro, 8 - Loja 301a Loja 301b - Centro, Niterói - RJ, 24020-125"/>
    <x v="1"/>
    <s v="CAROLINA FIGUEIREDO"/>
    <x v="1"/>
    <n v="57"/>
    <x v="1"/>
    <n v="1400"/>
    <d v="2021-04-28T00:00:00"/>
    <x v="2"/>
    <x v="2"/>
  </r>
  <r>
    <x v="17"/>
    <n v="2300"/>
    <n v="5"/>
    <s v="Av. Barão Homem de Melo, 1389 - Nova Granada, Belo Horizonte - MG, 30431-425"/>
    <x v="7"/>
    <s v="ANA FIORETTI"/>
    <x v="1"/>
    <n v="59"/>
    <x v="1"/>
    <n v="11500"/>
    <d v="2021-07-26T00:00:00"/>
    <x v="2"/>
    <x v="0"/>
  </r>
  <r>
    <x v="10"/>
    <n v="750"/>
    <n v="2"/>
    <s v="Rua Antônio Lumack do Monte, 203 - 1 - Boa Viagem, Recife - PE, 51020-350"/>
    <x v="6"/>
    <s v="LUIZA FARIAS"/>
    <x v="1"/>
    <n v="54"/>
    <x v="1"/>
    <n v="1500"/>
    <d v="2021-12-08T00:00:00"/>
    <x v="2"/>
    <x v="8"/>
  </r>
  <r>
    <x v="14"/>
    <n v="1500"/>
    <n v="5"/>
    <s v="R. Luíz Faccini, 212 - Centro, Guarulhos - SP, 07110-000"/>
    <x v="0"/>
    <s v="WELLINGTON DUARTE"/>
    <x v="0"/>
    <n v="55"/>
    <x v="1"/>
    <n v="7500"/>
    <d v="2021-11-27T00:00:00"/>
    <x v="2"/>
    <x v="10"/>
  </r>
  <r>
    <x v="12"/>
    <n v="1500"/>
    <n v="4"/>
    <s v="Rua Quinze de Novembro, 8 - Loja 301a Loja 301b - Centro, Niterói - RJ, 24020-125"/>
    <x v="1"/>
    <s v="PEDRO MACCKIONE"/>
    <x v="0"/>
    <n v="35"/>
    <x v="0"/>
    <n v="6000"/>
    <d v="2021-12-05T00:00:00"/>
    <x v="2"/>
    <x v="8"/>
  </r>
  <r>
    <x v="15"/>
    <n v="3000"/>
    <n v="3"/>
    <s v="Shopping Barra - Av. Centenário, 2992 - Barra, Salvador - BA, 40155-150"/>
    <x v="5"/>
    <s v="LUANA SANTANA"/>
    <x v="1"/>
    <n v="25"/>
    <x v="2"/>
    <n v="9000"/>
    <d v="2021-09-29T00:00:00"/>
    <x v="2"/>
    <x v="1"/>
  </r>
  <r>
    <x v="1"/>
    <n v="1400"/>
    <n v="4"/>
    <s v="R. Brasílio Itiberê, 3279 - Água Verde, Curitiba - PR, 80250-160"/>
    <x v="3"/>
    <s v="BRENNO MIRANDA"/>
    <x v="0"/>
    <n v="43"/>
    <x v="0"/>
    <n v="5600"/>
    <d v="2021-09-28T00:00:00"/>
    <x v="2"/>
    <x v="1"/>
  </r>
  <r>
    <x v="17"/>
    <n v="2300"/>
    <n v="4"/>
    <s v="Av. Borges de Medeiros, 3120 - Praia de Belas, Porto Alegre - RS, 90110-150"/>
    <x v="8"/>
    <s v="THALES ANDRADE"/>
    <x v="0"/>
    <n v="55"/>
    <x v="1"/>
    <n v="9200"/>
    <d v="2021-03-07T00:00:00"/>
    <x v="2"/>
    <x v="9"/>
  </r>
  <r>
    <x v="9"/>
    <n v="2000"/>
    <n v="1"/>
    <s v="R. Luíz Faccini, 212 - Centro, Guarulhos - SP, 07110-000"/>
    <x v="0"/>
    <s v="SANDY FIGUEIREDO"/>
    <x v="1"/>
    <n v="35"/>
    <x v="0"/>
    <n v="2000"/>
    <d v="2021-08-08T00:00:00"/>
    <x v="2"/>
    <x v="7"/>
  </r>
  <r>
    <x v="8"/>
    <n v="1400"/>
    <n v="1"/>
    <s v="Av. Mal. Floriano Peixoto, 2248-2258 - Centro, Nova Iguaçu - RJ, 26210-000"/>
    <x v="1"/>
    <s v="ALON FAHRNHOLZ"/>
    <x v="0"/>
    <n v="71"/>
    <x v="1"/>
    <n v="1400"/>
    <d v="2021-08-02T00:00:00"/>
    <x v="2"/>
    <x v="7"/>
  </r>
  <r>
    <x v="10"/>
    <n v="750"/>
    <n v="5"/>
    <s v="Av. Dom Luís, 500 - Aldeota, Fortaleza - CE, 60160-230"/>
    <x v="2"/>
    <s v="JULIANA GUIMARÃES"/>
    <x v="1"/>
    <n v="73"/>
    <x v="1"/>
    <n v="3750"/>
    <d v="2021-04-12T00:00:00"/>
    <x v="2"/>
    <x v="2"/>
  </r>
  <r>
    <x v="3"/>
    <n v="1500"/>
    <n v="3"/>
    <s v="Av. Mal. Floriano Peixoto, 2248-2258 - Centro, Nova Iguaçu - RJ, 26210-000"/>
    <x v="1"/>
    <s v="GIULIA PESSANHA"/>
    <x v="1"/>
    <n v="28"/>
    <x v="2"/>
    <n v="4500"/>
    <d v="2021-12-18T00:00:00"/>
    <x v="2"/>
    <x v="8"/>
  </r>
  <r>
    <x v="16"/>
    <n v="1200"/>
    <n v="1"/>
    <s v="R. Luíz Faccini, 212 - Centro, Guarulhos - SP, 07110-000"/>
    <x v="0"/>
    <s v="BRUNA RAMOS"/>
    <x v="1"/>
    <n v="35"/>
    <x v="0"/>
    <n v="1200"/>
    <d v="2021-02-06T00:00:00"/>
    <x v="2"/>
    <x v="4"/>
  </r>
  <r>
    <x v="11"/>
    <n v="2000"/>
    <n v="5"/>
    <s v="Av. Borges de Medeiros, 3120 - Praia de Belas, Porto Alegre - RS, 90110-150"/>
    <x v="8"/>
    <s v="DIEGO MELLO"/>
    <x v="0"/>
    <n v="38"/>
    <x v="0"/>
    <n v="10000"/>
    <d v="2021-06-07T00:00:00"/>
    <x v="2"/>
    <x v="3"/>
  </r>
  <r>
    <x v="10"/>
    <n v="750"/>
    <n v="1"/>
    <s v="R. Luíz Faccini, 212 - Centro, Guarulhos - SP, 07110-000"/>
    <x v="0"/>
    <s v="ROBERTA PIMENTA"/>
    <x v="1"/>
    <n v="56"/>
    <x v="1"/>
    <n v="750"/>
    <d v="2021-10-09T00:00:00"/>
    <x v="2"/>
    <x v="6"/>
  </r>
  <r>
    <x v="4"/>
    <n v="700"/>
    <n v="4"/>
    <s v="R. Visc. de Pirajá, 136 - Ipanema, Rio de Janeiro - RJ, 22410-000"/>
    <x v="1"/>
    <s v="THAYS CASTRO"/>
    <x v="1"/>
    <n v="61"/>
    <x v="1"/>
    <n v="2800"/>
    <d v="2021-08-18T00:00:00"/>
    <x v="2"/>
    <x v="7"/>
  </r>
  <r>
    <x v="1"/>
    <n v="1400"/>
    <n v="2"/>
    <s v="R. Teodoro Sampaio, 954 - Pinheiros, São Paulo - SP, 05406-050"/>
    <x v="0"/>
    <s v="MARCELA MEDEIROS"/>
    <x v="1"/>
    <n v="31"/>
    <x v="0"/>
    <n v="2800"/>
    <d v="2021-09-21T00:00:00"/>
    <x v="2"/>
    <x v="1"/>
  </r>
  <r>
    <x v="7"/>
    <n v="2600"/>
    <n v="1"/>
    <s v="R. Teodoro Sampaio, 954 - Pinheiros, São Paulo - SP, 05406-050"/>
    <x v="0"/>
    <s v="BEATRIZ NOGUEIRA"/>
    <x v="1"/>
    <n v="42"/>
    <x v="0"/>
    <n v="2600"/>
    <d v="2021-09-21T00:00:00"/>
    <x v="2"/>
    <x v="1"/>
  </r>
  <r>
    <x v="19"/>
    <n v="1750"/>
    <n v="4"/>
    <s v="Av. Goiás Norte, 3.592 - quadra 2.1 - St. Mal. Rondon, Goiânia - GO, 74063-010"/>
    <x v="4"/>
    <s v="PEDRO XAVIER"/>
    <x v="0"/>
    <n v="35"/>
    <x v="0"/>
    <n v="7000"/>
    <d v="2021-05-03T00:00:00"/>
    <x v="2"/>
    <x v="11"/>
  </r>
  <r>
    <x v="8"/>
    <n v="1400"/>
    <n v="5"/>
    <s v="Rua Quinze de Novembro, 8 - Loja 301a Loja 301b - Centro, Niterói - RJ, 24020-125"/>
    <x v="1"/>
    <s v="GABRIELLE WANDERLEY"/>
    <x v="1"/>
    <n v="69"/>
    <x v="1"/>
    <n v="7000"/>
    <d v="2021-04-06T00:00:00"/>
    <x v="2"/>
    <x v="2"/>
  </r>
  <r>
    <x v="4"/>
    <n v="700"/>
    <n v="3"/>
    <s v="Av. Barão Homem de Melo, 1389 - Nova Granada, Belo Horizonte - MG, 30431-425"/>
    <x v="7"/>
    <s v="ANA FIORETTI"/>
    <x v="1"/>
    <n v="59"/>
    <x v="1"/>
    <n v="2100"/>
    <d v="2021-01-08T00:00:00"/>
    <x v="2"/>
    <x v="5"/>
  </r>
  <r>
    <x v="21"/>
    <n v="5200"/>
    <n v="2"/>
    <s v="Av. Mal. Floriano Peixoto, 2248-2258 - Centro, Nova Iguaçu - RJ, 26210-000"/>
    <x v="1"/>
    <s v="BRUNA FRANCO"/>
    <x v="1"/>
    <n v="45"/>
    <x v="0"/>
    <n v="10400"/>
    <d v="2021-12-31T00:00:00"/>
    <x v="2"/>
    <x v="8"/>
  </r>
  <r>
    <x v="19"/>
    <n v="1750"/>
    <n v="1"/>
    <s v="R. Luíz Faccini, 212 - Centro, Guarulhos - SP, 07110-000"/>
    <x v="0"/>
    <s v="CAROLINA ABRAHÃO"/>
    <x v="1"/>
    <n v="39"/>
    <x v="0"/>
    <n v="1750"/>
    <d v="2021-03-30T00:00:00"/>
    <x v="2"/>
    <x v="9"/>
  </r>
  <r>
    <x v="7"/>
    <n v="2600"/>
    <n v="1"/>
    <s v="Shopping Barra - Av. Centenário, 2992 - Barra, Salvador - BA, 40155-150"/>
    <x v="5"/>
    <s v="ALLAN GUEDES"/>
    <x v="0"/>
    <n v="34"/>
    <x v="0"/>
    <n v="2600"/>
    <d v="2021-11-13T00:00:00"/>
    <x v="2"/>
    <x v="10"/>
  </r>
  <r>
    <x v="10"/>
    <n v="750"/>
    <n v="2"/>
    <s v="R. Dr. Antônio Castro Prado, 422 - Vila Rossi e Borchi, Campinas - SP, 13076-130"/>
    <x v="0"/>
    <s v="LUÍZA MELO"/>
    <x v="1"/>
    <n v="66"/>
    <x v="1"/>
    <n v="1500"/>
    <d v="2021-12-22T00:00:00"/>
    <x v="2"/>
    <x v="8"/>
  </r>
  <r>
    <x v="21"/>
    <n v="5200"/>
    <n v="5"/>
    <s v="Shopping Barra - Av. Centenário, 2992 - Barra, Salvador - BA, 40155-150"/>
    <x v="5"/>
    <s v="JULIA TEIXEIRA"/>
    <x v="1"/>
    <n v="25"/>
    <x v="2"/>
    <n v="26000"/>
    <d v="2021-09-12T00:00:00"/>
    <x v="2"/>
    <x v="1"/>
  </r>
  <r>
    <x v="22"/>
    <n v="2400"/>
    <n v="3"/>
    <s v="Av. Mal. Floriano Peixoto, 2248-2258 - Centro, Nova Iguaçu - RJ, 26210-000"/>
    <x v="1"/>
    <s v="MAURÍCIO DIAS"/>
    <x v="0"/>
    <n v="59"/>
    <x v="1"/>
    <n v="7200"/>
    <d v="2021-03-05T00:00:00"/>
    <x v="2"/>
    <x v="9"/>
  </r>
  <r>
    <x v="15"/>
    <n v="3000"/>
    <n v="2"/>
    <s v="Av. Dom Luís, 500 - Aldeota, Fortaleza - CE, 60160-230"/>
    <x v="2"/>
    <s v="THALES SANTOS"/>
    <x v="0"/>
    <n v="28"/>
    <x v="2"/>
    <n v="6000"/>
    <d v="2021-07-09T00:00:00"/>
    <x v="2"/>
    <x v="0"/>
  </r>
  <r>
    <x v="0"/>
    <n v="4500"/>
    <n v="4"/>
    <s v="Av. Barão Homem de Melo, 1389 - Nova Granada, Belo Horizonte - MG, 30431-425"/>
    <x v="7"/>
    <s v="LÁZARO NASCIMENTO"/>
    <x v="0"/>
    <n v="69"/>
    <x v="1"/>
    <n v="18000"/>
    <d v="2021-05-15T00:00:00"/>
    <x v="2"/>
    <x v="11"/>
  </r>
  <r>
    <x v="5"/>
    <n v="1450"/>
    <n v="3"/>
    <s v="Av. Mal. Floriano Peixoto, 2248-2258 - Centro, Nova Iguaçu - RJ, 26210-000"/>
    <x v="1"/>
    <s v="CLÁUDIO ARAGÃO"/>
    <x v="0"/>
    <n v="61"/>
    <x v="1"/>
    <n v="4350"/>
    <d v="2021-10-17T00:00:00"/>
    <x v="2"/>
    <x v="6"/>
  </r>
  <r>
    <x v="6"/>
    <n v="6500"/>
    <n v="1"/>
    <s v="R. Dr. Antônio Castro Prado, 422 - Vila Rossi e Borchi, Campinas - SP, 13076-130"/>
    <x v="0"/>
    <s v="GABRIEL SILVA"/>
    <x v="0"/>
    <n v="63"/>
    <x v="1"/>
    <n v="6500"/>
    <d v="2021-08-07T00:00:00"/>
    <x v="2"/>
    <x v="7"/>
  </r>
  <r>
    <x v="9"/>
    <n v="2000"/>
    <n v="4"/>
    <s v="R. Teodoro Sampaio, 954 - Pinheiros, São Paulo - SP, 05406-050"/>
    <x v="0"/>
    <s v="MARCELA MEDEIROS"/>
    <x v="1"/>
    <n v="31"/>
    <x v="0"/>
    <n v="8000"/>
    <d v="2021-03-27T00:00:00"/>
    <x v="2"/>
    <x v="9"/>
  </r>
  <r>
    <x v="7"/>
    <n v="2600"/>
    <n v="3"/>
    <s v="Av. Barão Homem de Melo, 1389 - Nova Granada, Belo Horizonte - MG, 30431-425"/>
    <x v="7"/>
    <s v="ALEXANDRE RODRIGUEZ"/>
    <x v="0"/>
    <n v="62"/>
    <x v="1"/>
    <n v="7800"/>
    <d v="2021-11-29T00:00:00"/>
    <x v="2"/>
    <x v="10"/>
  </r>
  <r>
    <x v="21"/>
    <n v="5200"/>
    <n v="5"/>
    <s v="Av. Mal. Floriano Peixoto, 2248-2258 - Centro, Nova Iguaçu - RJ, 26210-000"/>
    <x v="1"/>
    <s v="CLÁUDIO ARAGÃO"/>
    <x v="0"/>
    <n v="61"/>
    <x v="1"/>
    <n v="26000"/>
    <d v="2021-12-17T00:00:00"/>
    <x v="2"/>
    <x v="8"/>
  </r>
  <r>
    <x v="4"/>
    <n v="700"/>
    <n v="3"/>
    <s v="Rua Antônio Lumack do Monte, 203 - 1 - Boa Viagem, Recife - PE, 51020-350"/>
    <x v="6"/>
    <s v="PAULA CALBUCCI"/>
    <x v="1"/>
    <n v="62"/>
    <x v="1"/>
    <n v="2100"/>
    <d v="2021-11-27T00:00:00"/>
    <x v="2"/>
    <x v="10"/>
  </r>
  <r>
    <x v="12"/>
    <n v="1500"/>
    <n v="5"/>
    <s v="Av. Dom Luís, 500 - Aldeota, Fortaleza - CE, 60160-230"/>
    <x v="2"/>
    <s v="JULIANA GUIMARÃES"/>
    <x v="1"/>
    <n v="73"/>
    <x v="1"/>
    <n v="7500"/>
    <d v="2021-11-13T00:00:00"/>
    <x v="2"/>
    <x v="10"/>
  </r>
  <r>
    <x v="7"/>
    <n v="2600"/>
    <n v="2"/>
    <s v="Rua Antônio Lumack do Monte, 203 - 1 - Boa Viagem, Recife - PE, 51020-350"/>
    <x v="6"/>
    <s v="RODRIGO MENDES"/>
    <x v="0"/>
    <n v="56"/>
    <x v="1"/>
    <n v="5200"/>
    <d v="2021-06-29T00:00:00"/>
    <x v="2"/>
    <x v="3"/>
  </r>
  <r>
    <x v="3"/>
    <n v="1500"/>
    <n v="2"/>
    <s v="Av. Dom Luís, 500 - Aldeota, Fortaleza - CE, 60160-230"/>
    <x v="2"/>
    <s v="FERNANDA FIGUEIREDO"/>
    <x v="1"/>
    <n v="28"/>
    <x v="2"/>
    <n v="3000"/>
    <d v="2021-06-22T00:00:00"/>
    <x v="2"/>
    <x v="3"/>
  </r>
  <r>
    <x v="3"/>
    <n v="1500"/>
    <n v="1"/>
    <s v="Av. Mal. Floriano Peixoto, 2248-2258 - Centro, Nova Iguaçu - RJ, 26210-000"/>
    <x v="1"/>
    <s v="PLATINI HEIMLICH"/>
    <x v="0"/>
    <n v="48"/>
    <x v="0"/>
    <n v="1500"/>
    <d v="2021-10-28T00:00:00"/>
    <x v="2"/>
    <x v="6"/>
  </r>
  <r>
    <x v="5"/>
    <n v="1450"/>
    <n v="5"/>
    <s v="R. Brasílio Itiberê, 3279 - Água Verde, Curitiba - PR, 80250-160"/>
    <x v="3"/>
    <s v="ANNA SILVA"/>
    <x v="1"/>
    <n v="69"/>
    <x v="1"/>
    <n v="7250"/>
    <d v="2021-07-30T00:00:00"/>
    <x v="2"/>
    <x v="0"/>
  </r>
  <r>
    <x v="8"/>
    <n v="1400"/>
    <n v="2"/>
    <s v="Av. Barão Homem de Melo, 1389 - Nova Granada, Belo Horizonte - MG, 30431-425"/>
    <x v="7"/>
    <s v="CLARA SILVEIRA"/>
    <x v="1"/>
    <n v="39"/>
    <x v="0"/>
    <n v="2800"/>
    <d v="2021-03-22T00:00:00"/>
    <x v="2"/>
    <x v="9"/>
  </r>
  <r>
    <x v="14"/>
    <n v="1500"/>
    <n v="4"/>
    <s v="Rua Antônio Lumack do Monte, 203 - 1 - Boa Viagem, Recife - PE, 51020-350"/>
    <x v="6"/>
    <s v="CAIO VIANNA"/>
    <x v="0"/>
    <n v="33"/>
    <x v="0"/>
    <n v="6000"/>
    <d v="2021-07-12T00:00:00"/>
    <x v="2"/>
    <x v="0"/>
  </r>
  <r>
    <x v="13"/>
    <n v="1550"/>
    <n v="1"/>
    <s v="Av. Dom Luís, 500 - Aldeota, Fortaleza - CE, 60160-230"/>
    <x v="2"/>
    <s v="RAUL SILVEIRA"/>
    <x v="0"/>
    <n v="70"/>
    <x v="1"/>
    <n v="1550"/>
    <d v="2021-12-02T00:00:00"/>
    <x v="2"/>
    <x v="8"/>
  </r>
  <r>
    <x v="2"/>
    <n v="1900"/>
    <n v="1"/>
    <s v="R. Brasílio Itiberê, 3279 - Água Verde, Curitiba - PR, 80250-160"/>
    <x v="3"/>
    <s v="MARCELA GASPERI"/>
    <x v="1"/>
    <n v="59"/>
    <x v="1"/>
    <n v="1900"/>
    <d v="2021-01-31T00:00:00"/>
    <x v="2"/>
    <x v="5"/>
  </r>
  <r>
    <x v="16"/>
    <n v="1200"/>
    <n v="5"/>
    <s v="R. Dr. Antônio Castro Prado, 422 - Vila Rossi e Borchi, Campinas - SP, 13076-130"/>
    <x v="0"/>
    <s v="ALON PESTANA"/>
    <x v="0"/>
    <n v="26"/>
    <x v="2"/>
    <n v="6000"/>
    <d v="2021-04-04T00:00:00"/>
    <x v="2"/>
    <x v="2"/>
  </r>
  <r>
    <x v="22"/>
    <n v="2400"/>
    <n v="4"/>
    <s v="R. Luíz Faccini, 212 - Centro, Guarulhos - SP, 07110-000"/>
    <x v="0"/>
    <s v="STHEFESON KOHN"/>
    <x v="0"/>
    <n v="35"/>
    <x v="0"/>
    <n v="9600"/>
    <d v="2021-12-12T00:00:00"/>
    <x v="2"/>
    <x v="8"/>
  </r>
  <r>
    <x v="11"/>
    <n v="2000"/>
    <n v="2"/>
    <s v="Av. Mal. Floriano Peixoto, 2248-2258 - Centro, Nova Iguaçu - RJ, 26210-000"/>
    <x v="1"/>
    <s v="JUAN FERNANDES"/>
    <x v="0"/>
    <n v="40"/>
    <x v="0"/>
    <n v="4000"/>
    <d v="2021-12-31T00:00:00"/>
    <x v="2"/>
    <x v="8"/>
  </r>
  <r>
    <x v="2"/>
    <n v="1900"/>
    <n v="5"/>
    <s v="Av. Mal. Floriano Peixoto, 2248-2258 - Centro, Nova Iguaçu - RJ, 26210-000"/>
    <x v="1"/>
    <s v="ANA LEITE"/>
    <x v="1"/>
    <n v="67"/>
    <x v="1"/>
    <n v="9500"/>
    <d v="2021-02-13T00:00:00"/>
    <x v="2"/>
    <x v="4"/>
  </r>
  <r>
    <x v="6"/>
    <n v="6500"/>
    <n v="1"/>
    <s v="Av. Dom Luís, 500 - Aldeota, Fortaleza - CE, 60160-230"/>
    <x v="2"/>
    <s v="ANNA MAIA"/>
    <x v="1"/>
    <n v="54"/>
    <x v="1"/>
    <n v="6500"/>
    <d v="2021-02-07T00:00:00"/>
    <x v="2"/>
    <x v="4"/>
  </r>
  <r>
    <x v="7"/>
    <n v="2600"/>
    <n v="2"/>
    <s v="Shopping Barra - Av. Centenário, 2992 - Barra, Salvador - BA, 40155-150"/>
    <x v="5"/>
    <s v="GABRIELA MELLO"/>
    <x v="1"/>
    <n v="58"/>
    <x v="1"/>
    <n v="5200"/>
    <d v="2021-02-17T00:00:00"/>
    <x v="2"/>
    <x v="4"/>
  </r>
  <r>
    <x v="22"/>
    <n v="2400"/>
    <n v="2"/>
    <s v="Av. Dom Luís, 500 - Aldeota, Fortaleza - CE, 60160-230"/>
    <x v="2"/>
    <s v="JULIA ALIANI"/>
    <x v="1"/>
    <n v="40"/>
    <x v="0"/>
    <n v="4800"/>
    <d v="2021-03-06T00:00:00"/>
    <x v="2"/>
    <x v="9"/>
  </r>
  <r>
    <x v="12"/>
    <n v="1500"/>
    <n v="2"/>
    <s v="R. Luíz Faccini, 212 - Centro, Guarulhos - SP, 07110-000"/>
    <x v="0"/>
    <s v="ANDRÉ ALVES"/>
    <x v="0"/>
    <n v="60"/>
    <x v="1"/>
    <n v="3000"/>
    <d v="2021-09-02T00:00:00"/>
    <x v="2"/>
    <x v="1"/>
  </r>
  <r>
    <x v="11"/>
    <n v="2000"/>
    <n v="2"/>
    <s v="Rua Quinze de Novembro, 8 - Loja 301a Loja 301b - Centro, Niterói - RJ, 24020-125"/>
    <x v="1"/>
    <s v="ALEXANDRE DANTAS"/>
    <x v="0"/>
    <n v="53"/>
    <x v="1"/>
    <n v="4000"/>
    <d v="2021-08-03T00:00:00"/>
    <x v="2"/>
    <x v="7"/>
  </r>
  <r>
    <x v="18"/>
    <n v="2500"/>
    <n v="3"/>
    <s v="R. Visc. de Pirajá, 136 - Ipanema, Rio de Janeiro - RJ, 22410-000"/>
    <x v="1"/>
    <s v="THAYS CASTRO"/>
    <x v="1"/>
    <n v="61"/>
    <x v="1"/>
    <n v="7500"/>
    <d v="2021-07-15T00:00:00"/>
    <x v="2"/>
    <x v="0"/>
  </r>
  <r>
    <x v="23"/>
    <n v="1100"/>
    <n v="1"/>
    <s v="R. Dr. Antônio Castro Prado, 422 - Vila Rossi e Borchi, Campinas - SP, 13076-130"/>
    <x v="0"/>
    <s v="LUÍZA MELO"/>
    <x v="1"/>
    <n v="66"/>
    <x v="1"/>
    <n v="1100"/>
    <d v="2021-01-02T00:00:00"/>
    <x v="2"/>
    <x v="5"/>
  </r>
  <r>
    <x v="9"/>
    <n v="2000"/>
    <n v="4"/>
    <s v="Rua Antônio Lumack do Monte, 203 - 1 - Boa Viagem, Recife - PE, 51020-350"/>
    <x v="6"/>
    <s v="GUILHERME LIMA"/>
    <x v="0"/>
    <n v="53"/>
    <x v="1"/>
    <n v="8000"/>
    <d v="2021-08-04T00:00:00"/>
    <x v="2"/>
    <x v="7"/>
  </r>
  <r>
    <x v="16"/>
    <n v="1200"/>
    <n v="5"/>
    <s v="R. Dr. Antônio Castro Prado, 422 - Vila Rossi e Borchi, Campinas - SP, 13076-130"/>
    <x v="0"/>
    <s v="CARLOS ASSIS"/>
    <x v="0"/>
    <n v="68"/>
    <x v="1"/>
    <n v="6000"/>
    <d v="2021-06-26T00:00:00"/>
    <x v="2"/>
    <x v="3"/>
  </r>
  <r>
    <x v="0"/>
    <n v="4500"/>
    <n v="1"/>
    <s v="Shopping Barra - Av. Centenário, 2992 - Barra, Salvador - BA, 40155-150"/>
    <x v="5"/>
    <s v="GABRIELA MELLO"/>
    <x v="1"/>
    <n v="58"/>
    <x v="1"/>
    <n v="4500"/>
    <d v="2021-12-13T00:00:00"/>
    <x v="2"/>
    <x v="8"/>
  </r>
  <r>
    <x v="16"/>
    <n v="1200"/>
    <n v="2"/>
    <s v="R. Luíz Faccini, 212 - Centro, Guarulhos - SP, 07110-000"/>
    <x v="0"/>
    <s v="ROBERTA PIMENTA"/>
    <x v="1"/>
    <n v="56"/>
    <x v="1"/>
    <n v="2400"/>
    <d v="2021-07-18T00:00:00"/>
    <x v="2"/>
    <x v="0"/>
  </r>
  <r>
    <x v="13"/>
    <n v="1550"/>
    <n v="4"/>
    <s v="Shopping Barra - Av. Centenário, 2992 - Barra, Salvador - BA, 40155-150"/>
    <x v="5"/>
    <s v="MARIA ASSUMPÇÃO"/>
    <x v="1"/>
    <n v="28"/>
    <x v="2"/>
    <n v="6200"/>
    <d v="2021-02-21T00:00:00"/>
    <x v="2"/>
    <x v="4"/>
  </r>
  <r>
    <x v="20"/>
    <n v="5500"/>
    <n v="2"/>
    <s v="Av. Mal. Floriano Peixoto, 2248-2258 - Centro, Nova Iguaçu - RJ, 26210-000"/>
    <x v="1"/>
    <s v="JOÃO RIBEIRO"/>
    <x v="0"/>
    <n v="48"/>
    <x v="0"/>
    <n v="11000"/>
    <d v="2021-03-18T00:00:00"/>
    <x v="2"/>
    <x v="9"/>
  </r>
  <r>
    <x v="17"/>
    <n v="2300"/>
    <n v="5"/>
    <s v="Rua Antônio Lumack do Monte, 203 - 1 - Boa Viagem, Recife - PE, 51020-350"/>
    <x v="6"/>
    <s v="JOSÉ CARVALHO"/>
    <x v="0"/>
    <n v="41"/>
    <x v="0"/>
    <n v="11500"/>
    <d v="2021-02-13T00:00:00"/>
    <x v="2"/>
    <x v="4"/>
  </r>
  <r>
    <x v="7"/>
    <n v="2600"/>
    <n v="4"/>
    <s v="Av. Goiás Norte, 3.592 - quadra 2.1 - St. Mal. Rondon, Goiânia - GO, 74063-010"/>
    <x v="4"/>
    <s v="GUILHERME JORDAO"/>
    <x v="0"/>
    <n v="37"/>
    <x v="0"/>
    <n v="10400"/>
    <d v="2021-09-25T00:00:00"/>
    <x v="2"/>
    <x v="1"/>
  </r>
  <r>
    <x v="9"/>
    <n v="2000"/>
    <n v="4"/>
    <s v="Av. Dom Luís, 500 - Aldeota, Fortaleza - CE, 60160-230"/>
    <x v="2"/>
    <s v="BRUNO MOTA"/>
    <x v="0"/>
    <n v="37"/>
    <x v="0"/>
    <n v="8000"/>
    <d v="2021-09-04T00:00:00"/>
    <x v="2"/>
    <x v="1"/>
  </r>
  <r>
    <x v="14"/>
    <n v="1500"/>
    <n v="1"/>
    <s v="Av. Mal. Floriano Peixoto, 2248-2258 - Centro, Nova Iguaçu - RJ, 26210-000"/>
    <x v="1"/>
    <s v="RODRIGO ALVES"/>
    <x v="0"/>
    <n v="40"/>
    <x v="0"/>
    <n v="1500"/>
    <d v="2021-12-23T00:00:00"/>
    <x v="2"/>
    <x v="8"/>
  </r>
  <r>
    <x v="13"/>
    <n v="1550"/>
    <n v="4"/>
    <s v="Av. Dom Luís, 500 - Aldeota, Fortaleza - CE, 60160-230"/>
    <x v="2"/>
    <s v="ANA GONZAGA"/>
    <x v="1"/>
    <n v="48"/>
    <x v="0"/>
    <n v="6200"/>
    <d v="2021-04-30T00:00:00"/>
    <x v="2"/>
    <x v="2"/>
  </r>
  <r>
    <x v="11"/>
    <n v="2000"/>
    <n v="4"/>
    <s v="Av. Dom Luís, 500 - Aldeota, Fortaleza - CE, 60160-230"/>
    <x v="2"/>
    <s v="IZABEL LOPES"/>
    <x v="1"/>
    <n v="27"/>
    <x v="2"/>
    <n v="8000"/>
    <d v="2021-07-25T00:00:00"/>
    <x v="2"/>
    <x v="0"/>
  </r>
  <r>
    <x v="1"/>
    <n v="1400"/>
    <n v="2"/>
    <s v="Av. Borges de Medeiros, 3120 - Praia de Belas, Porto Alegre - RS, 90110-150"/>
    <x v="8"/>
    <s v="BRUNA SOARES"/>
    <x v="1"/>
    <n v="49"/>
    <x v="0"/>
    <n v="2800"/>
    <d v="2021-06-01T00:00:00"/>
    <x v="2"/>
    <x v="3"/>
  </r>
  <r>
    <x v="12"/>
    <n v="1500"/>
    <n v="2"/>
    <s v="R. Teodoro Sampaio, 954 - Pinheiros, São Paulo - SP, 05406-050"/>
    <x v="0"/>
    <s v="PALOMA SPERANDEI"/>
    <x v="1"/>
    <n v="65"/>
    <x v="1"/>
    <n v="3000"/>
    <d v="2021-10-07T00:00:00"/>
    <x v="2"/>
    <x v="6"/>
  </r>
  <r>
    <x v="2"/>
    <n v="1900"/>
    <n v="2"/>
    <s v="Rua Antônio Lumack do Monte, 203 - 1 - Boa Viagem, Recife - PE, 51020-350"/>
    <x v="6"/>
    <s v="JULIA LEIG"/>
    <x v="1"/>
    <n v="31"/>
    <x v="0"/>
    <n v="3800"/>
    <d v="2021-09-24T00:00:00"/>
    <x v="2"/>
    <x v="1"/>
  </r>
  <r>
    <x v="2"/>
    <n v="1900"/>
    <n v="5"/>
    <s v="Av. Goiás Norte, 3.592 - quadra 2.1 - St. Mal. Rondon, Goiânia - GO, 74063-010"/>
    <x v="4"/>
    <s v="MATHEUS RAMOS"/>
    <x v="0"/>
    <n v="56"/>
    <x v="1"/>
    <n v="9500"/>
    <d v="2021-12-03T00:00:00"/>
    <x v="2"/>
    <x v="8"/>
  </r>
  <r>
    <x v="0"/>
    <n v="4500"/>
    <n v="1"/>
    <s v="Av. Goiás Norte, 3.592 - quadra 2.1 - St. Mal. Rondon, Goiânia - GO, 74063-010"/>
    <x v="4"/>
    <s v="LORENA CARVALHO"/>
    <x v="1"/>
    <n v="55"/>
    <x v="1"/>
    <n v="4500"/>
    <d v="2021-08-25T00:00:00"/>
    <x v="2"/>
    <x v="7"/>
  </r>
  <r>
    <x v="6"/>
    <n v="6500"/>
    <n v="4"/>
    <s v="R. Brasílio Itiberê, 3279 - Água Verde, Curitiba - PR, 80250-160"/>
    <x v="3"/>
    <s v="AMANDA GONTIJO"/>
    <x v="1"/>
    <n v="32"/>
    <x v="0"/>
    <n v="26000"/>
    <d v="2021-05-25T00:00:00"/>
    <x v="2"/>
    <x v="11"/>
  </r>
  <r>
    <x v="2"/>
    <n v="1900"/>
    <n v="3"/>
    <s v="Av. Mal. Floriano Peixoto, 2248-2258 - Centro, Nova Iguaçu - RJ, 26210-000"/>
    <x v="1"/>
    <s v="RENAN FREIRE"/>
    <x v="0"/>
    <n v="69"/>
    <x v="1"/>
    <n v="5700"/>
    <d v="2021-05-15T00:00:00"/>
    <x v="2"/>
    <x v="11"/>
  </r>
  <r>
    <x v="16"/>
    <n v="1200"/>
    <n v="1"/>
    <s v="R. Luíz Faccini, 212 - Centro, Guarulhos - SP, 07110-000"/>
    <x v="0"/>
    <s v="THIAGO LIMA"/>
    <x v="0"/>
    <n v="29"/>
    <x v="2"/>
    <n v="1200"/>
    <d v="2021-03-26T00:00:00"/>
    <x v="2"/>
    <x v="9"/>
  </r>
  <r>
    <x v="9"/>
    <n v="2000"/>
    <n v="4"/>
    <s v="R. Luíz Faccini, 212 - Centro, Guarulhos - SP, 07110-000"/>
    <x v="0"/>
    <s v="CARLOS PORTELA"/>
    <x v="0"/>
    <n v="63"/>
    <x v="1"/>
    <n v="8000"/>
    <d v="2021-12-18T00:00:00"/>
    <x v="2"/>
    <x v="8"/>
  </r>
  <r>
    <x v="22"/>
    <n v="2400"/>
    <n v="3"/>
    <s v="Av. Dom Luís, 500 - Aldeota, Fortaleza - CE, 60160-230"/>
    <x v="2"/>
    <s v="DIEGO BARROS"/>
    <x v="0"/>
    <n v="37"/>
    <x v="0"/>
    <n v="7200"/>
    <d v="2021-03-26T00:00:00"/>
    <x v="2"/>
    <x v="9"/>
  </r>
  <r>
    <x v="20"/>
    <n v="5500"/>
    <n v="4"/>
    <s v="R. Luíz Faccini, 212 - Centro, Guarulhos - SP, 07110-000"/>
    <x v="0"/>
    <s v="SANDY MOREIRA"/>
    <x v="1"/>
    <n v="52"/>
    <x v="1"/>
    <n v="22000"/>
    <d v="2021-04-21T00:00:00"/>
    <x v="2"/>
    <x v="2"/>
  </r>
  <r>
    <x v="3"/>
    <n v="1500"/>
    <n v="2"/>
    <s v="Rua Antônio Lumack do Monte, 203 - 1 - Boa Viagem, Recife - PE, 51020-350"/>
    <x v="6"/>
    <s v="FERNANDA RUBIM"/>
    <x v="1"/>
    <n v="74"/>
    <x v="1"/>
    <n v="3000"/>
    <d v="2021-07-17T00:00:00"/>
    <x v="2"/>
    <x v="0"/>
  </r>
  <r>
    <x v="23"/>
    <n v="1100"/>
    <n v="5"/>
    <s v="R. Luíz Faccini, 212 - Centro, Guarulhos - SP, 07110-000"/>
    <x v="0"/>
    <s v="WENDELA MARIZ"/>
    <x v="1"/>
    <n v="54"/>
    <x v="1"/>
    <n v="5500"/>
    <d v="2021-01-01T00:00:00"/>
    <x v="2"/>
    <x v="5"/>
  </r>
  <r>
    <x v="15"/>
    <n v="3000"/>
    <n v="1"/>
    <s v="Av. Dom Luís, 500 - Aldeota, Fortaleza - CE, 60160-230"/>
    <x v="2"/>
    <s v="THAYANE RESENDE"/>
    <x v="1"/>
    <n v="37"/>
    <x v="0"/>
    <n v="3000"/>
    <d v="2021-12-26T00:00:00"/>
    <x v="2"/>
    <x v="8"/>
  </r>
  <r>
    <x v="21"/>
    <n v="5200"/>
    <n v="3"/>
    <s v="Rua Antônio Lumack do Monte, 203 - 1 - Boa Viagem, Recife - PE, 51020-350"/>
    <x v="6"/>
    <s v="JORGE CARVALHO"/>
    <x v="0"/>
    <n v="60"/>
    <x v="1"/>
    <n v="15600"/>
    <d v="2021-02-17T00:00:00"/>
    <x v="2"/>
    <x v="4"/>
  </r>
  <r>
    <x v="11"/>
    <n v="2000"/>
    <n v="5"/>
    <s v="Rua Quinze de Novembro, 8 - Loja 301a Loja 301b - Centro, Niterói - RJ, 24020-125"/>
    <x v="1"/>
    <s v="RAFAEL RAMOS"/>
    <x v="0"/>
    <n v="40"/>
    <x v="0"/>
    <n v="10000"/>
    <d v="2021-05-05T00:00:00"/>
    <x v="2"/>
    <x v="11"/>
  </r>
  <r>
    <x v="13"/>
    <n v="1550"/>
    <n v="2"/>
    <s v="R. Dr. Antônio Castro Prado, 422 - Vila Rossi e Borchi, Campinas - SP, 13076-130"/>
    <x v="0"/>
    <s v="GABRIEL RIBEIRO"/>
    <x v="0"/>
    <n v="65"/>
    <x v="1"/>
    <n v="3100"/>
    <d v="2021-03-03T00:00:00"/>
    <x v="2"/>
    <x v="9"/>
  </r>
  <r>
    <x v="17"/>
    <n v="2300"/>
    <n v="2"/>
    <s v="Av. Goiás Norte, 3.592 - quadra 2.1 - St. Mal. Rondon, Goiânia - GO, 74063-010"/>
    <x v="4"/>
    <s v="REBECA TAYLOR"/>
    <x v="1"/>
    <n v="41"/>
    <x v="0"/>
    <n v="4600"/>
    <d v="2021-04-12T00:00:00"/>
    <x v="2"/>
    <x v="2"/>
  </r>
  <r>
    <x v="18"/>
    <n v="2500"/>
    <n v="3"/>
    <s v="Shopping Barra - Av. Centenário, 2992 - Barra, Salvador - BA, 40155-150"/>
    <x v="5"/>
    <s v="DÉBORA LOPES"/>
    <x v="1"/>
    <n v="44"/>
    <x v="0"/>
    <n v="7500"/>
    <d v="2021-01-08T00:00:00"/>
    <x v="2"/>
    <x v="5"/>
  </r>
  <r>
    <x v="12"/>
    <n v="1500"/>
    <n v="5"/>
    <s v="R. Dr. Antônio Castro Prado, 422 - Vila Rossi e Borchi, Campinas - SP, 13076-130"/>
    <x v="0"/>
    <s v="JESSICA FERREIRA"/>
    <x v="1"/>
    <n v="75"/>
    <x v="1"/>
    <n v="7500"/>
    <d v="2021-08-13T00:00:00"/>
    <x v="2"/>
    <x v="7"/>
  </r>
  <r>
    <x v="8"/>
    <n v="1400"/>
    <n v="4"/>
    <s v="R. Teodoro Sampaio, 954 - Pinheiros, São Paulo - SP, 05406-050"/>
    <x v="0"/>
    <s v="VITOR BOCCALETTI"/>
    <x v="0"/>
    <n v="48"/>
    <x v="0"/>
    <n v="5600"/>
    <d v="2021-01-29T00:00:00"/>
    <x v="2"/>
    <x v="5"/>
  </r>
  <r>
    <x v="12"/>
    <n v="1500"/>
    <n v="4"/>
    <s v="Av. Barão Homem de Melo, 1389 - Nova Granada, Belo Horizonte - MG, 30431-425"/>
    <x v="7"/>
    <s v="ROBERTA TEIXEIRA"/>
    <x v="1"/>
    <n v="26"/>
    <x v="2"/>
    <n v="6000"/>
    <d v="2021-10-28T00:00:00"/>
    <x v="2"/>
    <x v="6"/>
  </r>
  <r>
    <x v="10"/>
    <n v="750"/>
    <n v="5"/>
    <s v="Av. Mal. Floriano Peixoto, 2248-2258 - Centro, Nova Iguaçu - RJ, 26210-000"/>
    <x v="1"/>
    <s v="ANDRESSA ROTSZTEJN"/>
    <x v="1"/>
    <n v="48"/>
    <x v="0"/>
    <n v="3750"/>
    <d v="2021-04-25T00:00:00"/>
    <x v="2"/>
    <x v="2"/>
  </r>
  <r>
    <x v="3"/>
    <n v="1500"/>
    <n v="1"/>
    <s v="R. Visc. de Pirajá, 136 - Ipanema, Rio de Janeiro - RJ, 22410-000"/>
    <x v="1"/>
    <s v="CÉZAR SANTOS"/>
    <x v="0"/>
    <n v="68"/>
    <x v="1"/>
    <n v="1500"/>
    <d v="2021-07-11T00:00:00"/>
    <x v="2"/>
    <x v="0"/>
  </r>
  <r>
    <x v="22"/>
    <n v="2400"/>
    <n v="2"/>
    <s v="Rua Antônio Lumack do Monte, 203 - 1 - Boa Viagem, Recife - PE, 51020-350"/>
    <x v="6"/>
    <s v="CAROLINA BRUM"/>
    <x v="1"/>
    <n v="68"/>
    <x v="1"/>
    <n v="4800"/>
    <d v="2021-04-17T00:00:00"/>
    <x v="2"/>
    <x v="2"/>
  </r>
  <r>
    <x v="19"/>
    <n v="1750"/>
    <n v="1"/>
    <s v="R. Luíz Faccini, 212 - Centro, Guarulhos - SP, 07110-000"/>
    <x v="0"/>
    <s v="PEDRO BITENCOURT"/>
    <x v="0"/>
    <n v="43"/>
    <x v="0"/>
    <n v="1750"/>
    <d v="2021-03-01T00:00:00"/>
    <x v="2"/>
    <x v="9"/>
  </r>
  <r>
    <x v="21"/>
    <n v="5200"/>
    <n v="3"/>
    <s v="Av. Goiás Norte, 3.592 - quadra 2.1 - St. Mal. Rondon, Goiânia - GO, 74063-010"/>
    <x v="4"/>
    <s v="JÔNATAS TANAKA"/>
    <x v="0"/>
    <n v="31"/>
    <x v="0"/>
    <n v="15600"/>
    <d v="2021-07-06T00:00:00"/>
    <x v="2"/>
    <x v="0"/>
  </r>
  <r>
    <x v="18"/>
    <n v="2500"/>
    <n v="2"/>
    <s v="Rua Quinze de Novembro, 8 - Loja 301a Loja 301b - Centro, Niterói - RJ, 24020-125"/>
    <x v="1"/>
    <s v="DYKSON SILVA"/>
    <x v="0"/>
    <n v="38"/>
    <x v="0"/>
    <n v="5000"/>
    <d v="2021-07-09T00:00:00"/>
    <x v="2"/>
    <x v="0"/>
  </r>
  <r>
    <x v="10"/>
    <n v="750"/>
    <n v="3"/>
    <s v="Av. Dom Luís, 500 - Aldeota, Fortaleza - CE, 60160-230"/>
    <x v="2"/>
    <s v="LIVIA CODECEIRA"/>
    <x v="1"/>
    <n v="35"/>
    <x v="0"/>
    <n v="2250"/>
    <d v="2021-01-31T00:00:00"/>
    <x v="2"/>
    <x v="5"/>
  </r>
  <r>
    <x v="2"/>
    <n v="1900"/>
    <n v="5"/>
    <s v="R. Brasílio Itiberê, 3279 - Água Verde, Curitiba - PR, 80250-160"/>
    <x v="3"/>
    <s v="LUIS SOUZA"/>
    <x v="1"/>
    <n v="51"/>
    <x v="1"/>
    <n v="9500"/>
    <d v="2021-06-19T00:00:00"/>
    <x v="2"/>
    <x v="3"/>
  </r>
  <r>
    <x v="3"/>
    <n v="1500"/>
    <n v="3"/>
    <s v="R. Visc. de Pirajá, 136 - Ipanema, Rio de Janeiro - RJ, 22410-000"/>
    <x v="1"/>
    <s v="GUILHERME RACHIDE"/>
    <x v="0"/>
    <n v="66"/>
    <x v="1"/>
    <n v="4500"/>
    <d v="2021-10-02T00:00:00"/>
    <x v="2"/>
    <x v="6"/>
  </r>
  <r>
    <x v="6"/>
    <n v="6500"/>
    <n v="3"/>
    <s v="Av. Barão Homem de Melo, 1389 - Nova Granada, Belo Horizonte - MG, 30431-425"/>
    <x v="7"/>
    <s v="PEDRO FERRARI"/>
    <x v="0"/>
    <n v="54"/>
    <x v="1"/>
    <n v="19500"/>
    <d v="2021-08-06T00:00:00"/>
    <x v="2"/>
    <x v="7"/>
  </r>
  <r>
    <x v="18"/>
    <n v="2500"/>
    <n v="1"/>
    <s v="Rua Quinze de Novembro, 8 - Loja 301a Loja 301b - Centro, Niterói - RJ, 24020-125"/>
    <x v="1"/>
    <s v="VICTOR OLIVEIRA"/>
    <x v="0"/>
    <n v="73"/>
    <x v="1"/>
    <n v="2500"/>
    <d v="2021-07-25T00:00:00"/>
    <x v="2"/>
    <x v="0"/>
  </r>
  <r>
    <x v="1"/>
    <n v="1400"/>
    <n v="4"/>
    <s v="Av. Borges de Medeiros, 3120 - Praia de Belas, Porto Alegre - RS, 90110-150"/>
    <x v="8"/>
    <s v="DANIEL ALCOFORADO"/>
    <x v="0"/>
    <n v="56"/>
    <x v="1"/>
    <n v="5600"/>
    <d v="2021-03-02T00:00:00"/>
    <x v="2"/>
    <x v="9"/>
  </r>
  <r>
    <x v="16"/>
    <n v="1200"/>
    <n v="2"/>
    <s v="Av. Goiás Norte, 3.592 - quadra 2.1 - St. Mal. Rondon, Goiânia - GO, 74063-010"/>
    <x v="4"/>
    <s v="BEATRIZ LI"/>
    <x v="1"/>
    <n v="36"/>
    <x v="0"/>
    <n v="2400"/>
    <d v="2021-06-30T00:00:00"/>
    <x v="2"/>
    <x v="3"/>
  </r>
  <r>
    <x v="16"/>
    <n v="1200"/>
    <n v="3"/>
    <s v="Av. Dom Luís, 500 - Aldeota, Fortaleza - CE, 60160-230"/>
    <x v="2"/>
    <s v="MARINA MARINS"/>
    <x v="1"/>
    <n v="75"/>
    <x v="1"/>
    <n v="3600"/>
    <d v="2021-03-13T00:00:00"/>
    <x v="2"/>
    <x v="9"/>
  </r>
  <r>
    <x v="0"/>
    <n v="4500"/>
    <n v="2"/>
    <s v="Av. Barão Homem de Melo, 1389 - Nova Granada, Belo Horizonte - MG, 30431-425"/>
    <x v="7"/>
    <s v="BERNARDO BOTELHO"/>
    <x v="0"/>
    <n v="43"/>
    <x v="0"/>
    <n v="9000"/>
    <d v="2021-12-19T00:00:00"/>
    <x v="2"/>
    <x v="8"/>
  </r>
  <r>
    <x v="2"/>
    <n v="1900"/>
    <n v="5"/>
    <s v="Rua Quinze de Novembro, 8 - Loja 301a Loja 301b - Centro, Niterói - RJ, 24020-125"/>
    <x v="1"/>
    <s v="CAMILLE SILVA"/>
    <x v="1"/>
    <n v="73"/>
    <x v="1"/>
    <n v="9500"/>
    <d v="2021-08-07T00:00:00"/>
    <x v="2"/>
    <x v="7"/>
  </r>
  <r>
    <x v="1"/>
    <n v="1400"/>
    <n v="2"/>
    <s v="Rua Antônio Lumack do Monte, 203 - 1 - Boa Viagem, Recife - PE, 51020-350"/>
    <x v="6"/>
    <s v="GABRIELLE COSTA"/>
    <x v="1"/>
    <n v="36"/>
    <x v="0"/>
    <n v="2800"/>
    <d v="2021-07-06T00:00:00"/>
    <x v="2"/>
    <x v="0"/>
  </r>
  <r>
    <x v="12"/>
    <n v="1500"/>
    <n v="5"/>
    <s v="Shopping Barra - Av. Centenário, 2992 - Barra, Salvador - BA, 40155-150"/>
    <x v="5"/>
    <s v="MATHEUS GOMES"/>
    <x v="0"/>
    <n v="63"/>
    <x v="1"/>
    <n v="7500"/>
    <d v="2021-05-06T00:00:00"/>
    <x v="2"/>
    <x v="11"/>
  </r>
  <r>
    <x v="13"/>
    <n v="1550"/>
    <n v="2"/>
    <s v="R. Brasílio Itiberê, 3279 - Água Verde, Curitiba - PR, 80250-160"/>
    <x v="3"/>
    <s v="IVES BARBOSA"/>
    <x v="1"/>
    <n v="42"/>
    <x v="0"/>
    <n v="3100"/>
    <d v="2021-04-11T00:00:00"/>
    <x v="2"/>
    <x v="2"/>
  </r>
  <r>
    <x v="23"/>
    <n v="1100"/>
    <n v="3"/>
    <s v="Av. Goiás Norte, 3.592 - quadra 2.1 - St. Mal. Rondon, Goiânia - GO, 74063-010"/>
    <x v="4"/>
    <s v="JÔNATAS TANAKA"/>
    <x v="0"/>
    <n v="31"/>
    <x v="0"/>
    <n v="3300"/>
    <d v="2021-03-07T00:00:00"/>
    <x v="2"/>
    <x v="9"/>
  </r>
  <r>
    <x v="8"/>
    <n v="1400"/>
    <n v="4"/>
    <s v="Av. Borges de Medeiros, 3120 - Praia de Belas, Porto Alegre - RS, 90110-150"/>
    <x v="8"/>
    <s v="DIOGO RESSURREIÇÃO"/>
    <x v="0"/>
    <n v="70"/>
    <x v="1"/>
    <n v="5600"/>
    <d v="2021-05-26T00:00:00"/>
    <x v="2"/>
    <x v="11"/>
  </r>
  <r>
    <x v="11"/>
    <n v="2000"/>
    <n v="5"/>
    <s v="R. Luíz Faccini, 212 - Centro, Guarulhos - SP, 07110-000"/>
    <x v="0"/>
    <s v="AMANDA PROCACI"/>
    <x v="1"/>
    <n v="34"/>
    <x v="0"/>
    <n v="10000"/>
    <d v="2021-12-07T00:00:00"/>
    <x v="2"/>
    <x v="8"/>
  </r>
  <r>
    <x v="23"/>
    <n v="1100"/>
    <n v="4"/>
    <s v="R. Luíz Faccini, 212 - Centro, Guarulhos - SP, 07110-000"/>
    <x v="0"/>
    <s v="JULIE FERREIRA"/>
    <x v="1"/>
    <n v="34"/>
    <x v="0"/>
    <n v="4400"/>
    <d v="2021-02-24T00:00:00"/>
    <x v="2"/>
    <x v="4"/>
  </r>
  <r>
    <x v="2"/>
    <n v="1900"/>
    <n v="2"/>
    <s v="Rua Antônio Lumack do Monte, 203 - 1 - Boa Viagem, Recife - PE, 51020-350"/>
    <x v="6"/>
    <s v="ISABELA RESENDE"/>
    <x v="1"/>
    <n v="74"/>
    <x v="1"/>
    <n v="3800"/>
    <d v="2021-10-23T00:00:00"/>
    <x v="2"/>
    <x v="6"/>
  </r>
  <r>
    <x v="15"/>
    <n v="3000"/>
    <n v="2"/>
    <s v="R. Teodoro Sampaio, 954 - Pinheiros, São Paulo - SP, 05406-050"/>
    <x v="0"/>
    <s v="CAROLINA SANTOS"/>
    <x v="1"/>
    <n v="72"/>
    <x v="1"/>
    <n v="6000"/>
    <d v="2021-01-31T00:00:00"/>
    <x v="2"/>
    <x v="5"/>
  </r>
  <r>
    <x v="2"/>
    <n v="1900"/>
    <n v="5"/>
    <s v="R. Luíz Faccini, 212 - Centro, Guarulhos - SP, 07110-000"/>
    <x v="0"/>
    <s v="RAPHAEL KURTZ"/>
    <x v="0"/>
    <n v="48"/>
    <x v="0"/>
    <n v="9500"/>
    <d v="2021-08-18T00:00:00"/>
    <x v="2"/>
    <x v="7"/>
  </r>
  <r>
    <x v="13"/>
    <n v="1550"/>
    <n v="5"/>
    <s v="Rua Antônio Lumack do Monte, 203 - 1 - Boa Viagem, Recife - PE, 51020-350"/>
    <x v="6"/>
    <s v="RAFAEL CARNEIRO"/>
    <x v="0"/>
    <n v="75"/>
    <x v="1"/>
    <n v="7750"/>
    <d v="2021-03-05T00:00:00"/>
    <x v="2"/>
    <x v="9"/>
  </r>
  <r>
    <x v="6"/>
    <n v="6500"/>
    <n v="4"/>
    <s v="Rua Antônio Lumack do Monte, 203 - 1 - Boa Viagem, Recife - PE, 51020-350"/>
    <x v="6"/>
    <s v="CAIO VIANNA"/>
    <x v="0"/>
    <n v="33"/>
    <x v="0"/>
    <n v="26000"/>
    <d v="2021-07-06T00:00:00"/>
    <x v="2"/>
    <x v="0"/>
  </r>
  <r>
    <x v="17"/>
    <n v="2300"/>
    <n v="4"/>
    <s v="R. Brasílio Itiberê, 3279 - Água Verde, Curitiba - PR, 80250-160"/>
    <x v="3"/>
    <s v="YLANA TERAOKA"/>
    <x v="1"/>
    <n v="43"/>
    <x v="0"/>
    <n v="9200"/>
    <d v="2021-08-23T00:00:00"/>
    <x v="2"/>
    <x v="7"/>
  </r>
  <r>
    <x v="23"/>
    <n v="1100"/>
    <n v="3"/>
    <s v="Av. Barão Homem de Melo, 1389 - Nova Granada, Belo Horizonte - MG, 30431-425"/>
    <x v="7"/>
    <s v="LUCAS VALIM"/>
    <x v="0"/>
    <n v="62"/>
    <x v="1"/>
    <n v="3300"/>
    <d v="2021-11-12T00:00:00"/>
    <x v="2"/>
    <x v="10"/>
  </r>
  <r>
    <x v="9"/>
    <n v="2000"/>
    <n v="2"/>
    <s v="R. Luíz Faccini, 212 - Centro, Guarulhos - SP, 07110-000"/>
    <x v="0"/>
    <s v="LARISSA JESUS"/>
    <x v="1"/>
    <n v="29"/>
    <x v="2"/>
    <n v="4000"/>
    <d v="2021-04-29T00:00:00"/>
    <x v="2"/>
    <x v="2"/>
  </r>
  <r>
    <x v="17"/>
    <n v="2300"/>
    <n v="4"/>
    <s v="R. Visc. de Pirajá, 136 - Ipanema, Rio de Janeiro - RJ, 22410-000"/>
    <x v="1"/>
    <s v="RENAN NASCIMENTO"/>
    <x v="0"/>
    <n v="37"/>
    <x v="0"/>
    <n v="9200"/>
    <d v="2021-05-12T00:00:00"/>
    <x v="2"/>
    <x v="11"/>
  </r>
  <r>
    <x v="0"/>
    <n v="4500"/>
    <n v="5"/>
    <s v="Av. Barão Homem de Melo, 1389 - Nova Granada, Belo Horizonte - MG, 30431-425"/>
    <x v="7"/>
    <s v="MATEUS FRANCO"/>
    <x v="0"/>
    <n v="62"/>
    <x v="1"/>
    <n v="22500"/>
    <d v="2021-09-19T00:00:00"/>
    <x v="2"/>
    <x v="1"/>
  </r>
  <r>
    <x v="0"/>
    <n v="4500"/>
    <n v="4"/>
    <s v="Av. Mal. Floriano Peixoto, 2248-2258 - Centro, Nova Iguaçu - RJ, 26210-000"/>
    <x v="1"/>
    <s v="CLÁUDIO ARAGÃO"/>
    <x v="0"/>
    <n v="61"/>
    <x v="1"/>
    <n v="18000"/>
    <d v="2021-05-23T00:00:00"/>
    <x v="2"/>
    <x v="11"/>
  </r>
  <r>
    <x v="13"/>
    <n v="1550"/>
    <n v="2"/>
    <s v="R. Luíz Faccini, 212 - Centro, Guarulhos - SP, 07110-000"/>
    <x v="0"/>
    <s v="FELIPE CAVALCANTI"/>
    <x v="0"/>
    <n v="30"/>
    <x v="0"/>
    <n v="3100"/>
    <d v="2021-08-19T00:00:00"/>
    <x v="2"/>
    <x v="7"/>
  </r>
  <r>
    <x v="8"/>
    <n v="1400"/>
    <n v="1"/>
    <s v="R. Luíz Faccini, 212 - Centro, Guarulhos - SP, 07110-000"/>
    <x v="0"/>
    <s v="BEATRIZ PERDOMO"/>
    <x v="1"/>
    <n v="50"/>
    <x v="0"/>
    <n v="1400"/>
    <d v="2021-03-10T00:00:00"/>
    <x v="2"/>
    <x v="9"/>
  </r>
  <r>
    <x v="15"/>
    <n v="3000"/>
    <n v="2"/>
    <s v="Av. Borges de Medeiros, 3120 - Praia de Belas, Porto Alegre - RS, 90110-150"/>
    <x v="8"/>
    <s v="ANDRE NÓBREGA"/>
    <x v="0"/>
    <n v="36"/>
    <x v="0"/>
    <n v="6000"/>
    <d v="2021-05-02T00:00:00"/>
    <x v="2"/>
    <x v="11"/>
  </r>
  <r>
    <x v="1"/>
    <n v="1400"/>
    <n v="5"/>
    <s v="Shopping Barra - Av. Centenário, 2992 - Barra, Salvador - BA, 40155-150"/>
    <x v="5"/>
    <s v="AMANDA FELIPPE"/>
    <x v="1"/>
    <n v="32"/>
    <x v="0"/>
    <n v="7000"/>
    <d v="2021-07-04T00:00:00"/>
    <x v="2"/>
    <x v="0"/>
  </r>
  <r>
    <x v="3"/>
    <n v="1500"/>
    <n v="3"/>
    <s v="R. Dr. Antônio Castro Prado, 422 - Vila Rossi e Borchi, Campinas - SP, 13076-130"/>
    <x v="0"/>
    <s v="RAPHAEL MATTOS"/>
    <x v="0"/>
    <n v="40"/>
    <x v="0"/>
    <n v="4500"/>
    <d v="2021-05-03T00:00:00"/>
    <x v="2"/>
    <x v="11"/>
  </r>
  <r>
    <x v="14"/>
    <n v="1500"/>
    <n v="4"/>
    <s v="Av. Mal. Floriano Peixoto, 2248-2258 - Centro, Nova Iguaçu - RJ, 26210-000"/>
    <x v="1"/>
    <s v="JOÃO RIBEIRO"/>
    <x v="0"/>
    <n v="48"/>
    <x v="0"/>
    <n v="6000"/>
    <d v="2021-06-04T00:00:00"/>
    <x v="2"/>
    <x v="3"/>
  </r>
  <r>
    <x v="7"/>
    <n v="2600"/>
    <n v="5"/>
    <s v="R. Brasílio Itiberê, 3279 - Água Verde, Curitiba - PR, 80250-160"/>
    <x v="3"/>
    <s v="ANA GOMES"/>
    <x v="1"/>
    <n v="64"/>
    <x v="1"/>
    <n v="13000"/>
    <d v="2021-12-21T00:00:00"/>
    <x v="2"/>
    <x v="8"/>
  </r>
  <r>
    <x v="23"/>
    <n v="1100"/>
    <n v="3"/>
    <s v="Av. Goiás Norte, 3.592 - quadra 2.1 - St. Mal. Rondon, Goiânia - GO, 74063-010"/>
    <x v="4"/>
    <s v="RODRIGO SILVA"/>
    <x v="0"/>
    <n v="31"/>
    <x v="0"/>
    <n v="3300"/>
    <d v="2021-03-01T00:00:00"/>
    <x v="2"/>
    <x v="9"/>
  </r>
  <r>
    <x v="3"/>
    <n v="1500"/>
    <n v="2"/>
    <s v="R. Visc. de Pirajá, 136 - Ipanema, Rio de Janeiro - RJ, 22410-000"/>
    <x v="1"/>
    <s v="BIANCA ALLEVATO"/>
    <x v="1"/>
    <n v="42"/>
    <x v="0"/>
    <n v="3000"/>
    <d v="2021-04-25T00:00:00"/>
    <x v="2"/>
    <x v="2"/>
  </r>
  <r>
    <x v="7"/>
    <n v="2600"/>
    <n v="2"/>
    <s v="Shopping Barra - Av. Centenário, 2992 - Barra, Salvador - BA, 40155-150"/>
    <x v="5"/>
    <s v="MILENA ALCOFORADO"/>
    <x v="1"/>
    <n v="68"/>
    <x v="1"/>
    <n v="5200"/>
    <d v="2021-05-24T00:00:00"/>
    <x v="2"/>
    <x v="11"/>
  </r>
  <r>
    <x v="19"/>
    <n v="1750"/>
    <n v="5"/>
    <s v="Av. Goiás Norte, 3.592 - quadra 2.1 - St. Mal. Rondon, Goiânia - GO, 74063-010"/>
    <x v="4"/>
    <s v="BRENO GODOY"/>
    <x v="0"/>
    <n v="25"/>
    <x v="2"/>
    <n v="8750"/>
    <d v="2021-09-19T00:00:00"/>
    <x v="2"/>
    <x v="1"/>
  </r>
  <r>
    <x v="0"/>
    <n v="4500"/>
    <n v="5"/>
    <s v="R. Luíz Faccini, 212 - Centro, Guarulhos - SP, 07110-000"/>
    <x v="0"/>
    <s v="LUCAS FREIRE"/>
    <x v="0"/>
    <n v="67"/>
    <x v="1"/>
    <n v="22500"/>
    <d v="2021-11-25T00:00:00"/>
    <x v="2"/>
    <x v="10"/>
  </r>
  <r>
    <x v="2"/>
    <n v="1900"/>
    <n v="1"/>
    <s v="R. Luíz Faccini, 212 - Centro, Guarulhos - SP, 07110-000"/>
    <x v="0"/>
    <s v="JÚLIA ALMEIDA"/>
    <x v="1"/>
    <n v="73"/>
    <x v="1"/>
    <n v="1900"/>
    <d v="2021-02-21T00:00:00"/>
    <x v="2"/>
    <x v="4"/>
  </r>
  <r>
    <x v="9"/>
    <n v="2000"/>
    <n v="1"/>
    <s v="R. Luíz Faccini, 212 - Centro, Guarulhos - SP, 07110-000"/>
    <x v="0"/>
    <s v="BIANCA TATSCH"/>
    <x v="1"/>
    <n v="40"/>
    <x v="0"/>
    <n v="2000"/>
    <d v="2021-09-19T00:00:00"/>
    <x v="2"/>
    <x v="1"/>
  </r>
  <r>
    <x v="15"/>
    <n v="3000"/>
    <n v="2"/>
    <s v="Av. Barão Homem de Melo, 1389 - Nova Granada, Belo Horizonte - MG, 30431-425"/>
    <x v="7"/>
    <s v="YASSER CALBUCCI"/>
    <x v="0"/>
    <n v="45"/>
    <x v="0"/>
    <n v="6000"/>
    <d v="2021-05-06T00:00:00"/>
    <x v="2"/>
    <x v="11"/>
  </r>
  <r>
    <x v="10"/>
    <n v="750"/>
    <n v="3"/>
    <s v="Rua Antônio Lumack do Monte, 203 - 1 - Boa Viagem, Recife - PE, 51020-350"/>
    <x v="6"/>
    <s v="ANA FELIPPE"/>
    <x v="1"/>
    <n v="55"/>
    <x v="1"/>
    <n v="2250"/>
    <d v="2021-11-21T00:00:00"/>
    <x v="2"/>
    <x v="10"/>
  </r>
  <r>
    <x v="10"/>
    <n v="750"/>
    <n v="4"/>
    <s v="R. Dr. Antônio Castro Prado, 422 - Vila Rossi e Borchi, Campinas - SP, 13076-130"/>
    <x v="0"/>
    <s v="BÁRBARA CAVALCANTE"/>
    <x v="0"/>
    <n v="31"/>
    <x v="0"/>
    <n v="3000"/>
    <d v="2021-12-31T00:00:00"/>
    <x v="2"/>
    <x v="8"/>
  </r>
  <r>
    <x v="10"/>
    <n v="750"/>
    <n v="4"/>
    <s v="R. Visc. de Pirajá, 136 - Ipanema, Rio de Janeiro - RJ, 22410-000"/>
    <x v="1"/>
    <s v="CAIO FERNANDES"/>
    <x v="0"/>
    <n v="32"/>
    <x v="0"/>
    <n v="3000"/>
    <d v="2021-01-09T00:00:00"/>
    <x v="2"/>
    <x v="5"/>
  </r>
  <r>
    <x v="15"/>
    <n v="3000"/>
    <n v="3"/>
    <s v="Rua Antônio Lumack do Monte, 203 - 1 - Boa Viagem, Recife - PE, 51020-350"/>
    <x v="6"/>
    <s v="JULIA LEIG"/>
    <x v="1"/>
    <n v="31"/>
    <x v="0"/>
    <n v="9000"/>
    <d v="2021-01-07T00:00:00"/>
    <x v="2"/>
    <x v="5"/>
  </r>
  <r>
    <x v="21"/>
    <n v="5200"/>
    <n v="1"/>
    <s v="R. Luíz Faccini, 212 - Centro, Guarulhos - SP, 07110-000"/>
    <x v="0"/>
    <s v="ROBERTA PIMENTA"/>
    <x v="1"/>
    <n v="56"/>
    <x v="1"/>
    <n v="5200"/>
    <d v="2021-06-19T00:00:00"/>
    <x v="2"/>
    <x v="3"/>
  </r>
  <r>
    <x v="2"/>
    <n v="1900"/>
    <n v="2"/>
    <s v="R. Teodoro Sampaio, 954 - Pinheiros, São Paulo - SP, 05406-050"/>
    <x v="0"/>
    <s v="LUCAS MACHADO"/>
    <x v="0"/>
    <n v="49"/>
    <x v="0"/>
    <n v="3800"/>
    <d v="2021-01-17T00:00:00"/>
    <x v="2"/>
    <x v="5"/>
  </r>
  <r>
    <x v="1"/>
    <n v="1400"/>
    <n v="5"/>
    <s v="R. Dr. Antônio Castro Prado, 422 - Vila Rossi e Borchi, Campinas - SP, 13076-130"/>
    <x v="0"/>
    <s v="PEDRO DALFORNE"/>
    <x v="0"/>
    <n v="41"/>
    <x v="0"/>
    <n v="7000"/>
    <d v="2021-05-20T00:00:00"/>
    <x v="2"/>
    <x v="11"/>
  </r>
  <r>
    <x v="11"/>
    <n v="2000"/>
    <n v="2"/>
    <s v="Av. Dom Luís, 500 - Aldeota, Fortaleza - CE, 60160-230"/>
    <x v="2"/>
    <s v="CAROLINE AQUINO"/>
    <x v="1"/>
    <n v="41"/>
    <x v="0"/>
    <n v="4000"/>
    <d v="2021-01-16T00:00:00"/>
    <x v="2"/>
    <x v="5"/>
  </r>
  <r>
    <x v="15"/>
    <n v="3000"/>
    <n v="1"/>
    <s v="R. Luíz Faccini, 212 - Centro, Guarulhos - SP, 07110-000"/>
    <x v="0"/>
    <s v="LÍVIA TANAKA"/>
    <x v="1"/>
    <n v="48"/>
    <x v="0"/>
    <n v="3000"/>
    <d v="2021-12-02T00:00:00"/>
    <x v="2"/>
    <x v="8"/>
  </r>
  <r>
    <x v="6"/>
    <n v="6500"/>
    <n v="1"/>
    <s v="R. Visc. de Pirajá, 136 - Ipanema, Rio de Janeiro - RJ, 22410-000"/>
    <x v="1"/>
    <s v="EDUARDO VEIGA"/>
    <x v="0"/>
    <n v="30"/>
    <x v="0"/>
    <n v="6500"/>
    <d v="2021-03-02T00:00:00"/>
    <x v="2"/>
    <x v="9"/>
  </r>
  <r>
    <x v="2"/>
    <n v="1900"/>
    <n v="3"/>
    <s v="Av. Goiás Norte, 3.592 - quadra 2.1 - St. Mal. Rondon, Goiânia - GO, 74063-010"/>
    <x v="4"/>
    <s v="GIOVANNA SANTOS"/>
    <x v="1"/>
    <n v="28"/>
    <x v="2"/>
    <n v="5700"/>
    <d v="2021-04-10T00:00:00"/>
    <x v="2"/>
    <x v="2"/>
  </r>
  <r>
    <x v="21"/>
    <n v="5200"/>
    <n v="4"/>
    <s v="Av. Barão Homem de Melo, 1389 - Nova Granada, Belo Horizonte - MG, 30431-425"/>
    <x v="7"/>
    <s v="CLARA SILVEIRA"/>
    <x v="1"/>
    <n v="39"/>
    <x v="0"/>
    <n v="20800"/>
    <d v="2021-11-19T00:00:00"/>
    <x v="2"/>
    <x v="10"/>
  </r>
  <r>
    <x v="10"/>
    <n v="750"/>
    <n v="1"/>
    <s v="Rua Antônio Lumack do Monte, 203 - 1 - Boa Viagem, Recife - PE, 51020-350"/>
    <x v="6"/>
    <s v="STEPHANIE GONÇALVES"/>
    <x v="1"/>
    <n v="26"/>
    <x v="2"/>
    <n v="750"/>
    <d v="2021-10-08T00:00:00"/>
    <x v="2"/>
    <x v="6"/>
  </r>
  <r>
    <x v="5"/>
    <n v="1450"/>
    <n v="1"/>
    <s v="R. Visc. de Pirajá, 136 - Ipanema, Rio de Janeiro - RJ, 22410-000"/>
    <x v="1"/>
    <s v="RAPHAEL MACHADO"/>
    <x v="0"/>
    <n v="66"/>
    <x v="1"/>
    <n v="1450"/>
    <d v="2021-10-24T00:00:00"/>
    <x v="2"/>
    <x v="6"/>
  </r>
  <r>
    <x v="3"/>
    <n v="1500"/>
    <n v="5"/>
    <s v="Av. Borges de Medeiros, 3120 - Praia de Belas, Porto Alegre - RS, 90110-150"/>
    <x v="8"/>
    <s v="BRUNO FERREIRA"/>
    <x v="0"/>
    <n v="64"/>
    <x v="1"/>
    <n v="7500"/>
    <d v="2021-08-23T00:00:00"/>
    <x v="2"/>
    <x v="7"/>
  </r>
  <r>
    <x v="21"/>
    <n v="5200"/>
    <n v="1"/>
    <s v="R. Visc. de Pirajá, 136 - Ipanema, Rio de Janeiro - RJ, 22410-000"/>
    <x v="1"/>
    <s v="LARISSA CRUZ"/>
    <x v="1"/>
    <n v="36"/>
    <x v="0"/>
    <n v="5200"/>
    <d v="2021-05-05T00:00:00"/>
    <x v="2"/>
    <x v="11"/>
  </r>
  <r>
    <x v="13"/>
    <n v="1550"/>
    <n v="5"/>
    <s v="Av. Mal. Floriano Peixoto, 2248-2258 - Centro, Nova Iguaçu - RJ, 26210-000"/>
    <x v="1"/>
    <s v="RAÍZA LOPES"/>
    <x v="1"/>
    <n v="43"/>
    <x v="0"/>
    <n v="7750"/>
    <d v="2021-10-15T00:00:00"/>
    <x v="2"/>
    <x v="6"/>
  </r>
  <r>
    <x v="8"/>
    <n v="1400"/>
    <n v="4"/>
    <s v="Av. Goiás Norte, 3.592 - quadra 2.1 - St. Mal. Rondon, Goiânia - GO, 74063-010"/>
    <x v="4"/>
    <s v="SANDY RIBEIRO"/>
    <x v="1"/>
    <n v="53"/>
    <x v="1"/>
    <n v="5600"/>
    <d v="2021-09-29T00:00:00"/>
    <x v="2"/>
    <x v="1"/>
  </r>
  <r>
    <x v="2"/>
    <n v="1900"/>
    <n v="5"/>
    <s v="R. Luíz Faccini, 212 - Centro, Guarulhos - SP, 07110-000"/>
    <x v="0"/>
    <s v="DANIEL VALENTE"/>
    <x v="0"/>
    <n v="41"/>
    <x v="0"/>
    <n v="9500"/>
    <d v="2021-08-12T00:00:00"/>
    <x v="2"/>
    <x v="7"/>
  </r>
  <r>
    <x v="9"/>
    <n v="2000"/>
    <n v="3"/>
    <s v="Rua Quinze de Novembro, 8 - Loja 301a Loja 301b - Centro, Niterói - RJ, 24020-125"/>
    <x v="1"/>
    <s v="VICTOR OLIVEIRA"/>
    <x v="0"/>
    <n v="73"/>
    <x v="1"/>
    <n v="6000"/>
    <d v="2021-12-21T00:00:00"/>
    <x v="2"/>
    <x v="8"/>
  </r>
  <r>
    <x v="15"/>
    <n v="3000"/>
    <n v="2"/>
    <s v="Av. Mal. Floriano Peixoto, 2248-2258 - Centro, Nova Iguaçu - RJ, 26210-000"/>
    <x v="1"/>
    <s v="CARLOS BARBOSA"/>
    <x v="0"/>
    <n v="43"/>
    <x v="0"/>
    <n v="6000"/>
    <d v="2021-12-07T00:00:00"/>
    <x v="2"/>
    <x v="8"/>
  </r>
  <r>
    <x v="13"/>
    <n v="1550"/>
    <n v="1"/>
    <s v="R. Dr. Antônio Castro Prado, 422 - Vila Rossi e Borchi, Campinas - SP, 13076-130"/>
    <x v="0"/>
    <s v="ANTONIO MANHÃES"/>
    <x v="0"/>
    <n v="43"/>
    <x v="0"/>
    <n v="1550"/>
    <d v="2021-09-25T00:00:00"/>
    <x v="2"/>
    <x v="1"/>
  </r>
  <r>
    <x v="0"/>
    <n v="4500"/>
    <n v="1"/>
    <s v="Av. Mal. Floriano Peixoto, 2248-2258 - Centro, Nova Iguaçu - RJ, 26210-000"/>
    <x v="1"/>
    <s v="HELVIO PEDROSA"/>
    <x v="0"/>
    <n v="59"/>
    <x v="1"/>
    <n v="4500"/>
    <d v="2021-06-01T00:00:00"/>
    <x v="2"/>
    <x v="3"/>
  </r>
  <r>
    <x v="22"/>
    <n v="2400"/>
    <n v="1"/>
    <s v="Rua Quinze de Novembro, 8 - Loja 301a Loja 301b - Centro, Niterói - RJ, 24020-125"/>
    <x v="1"/>
    <s v="THALES GOUVÊA"/>
    <x v="0"/>
    <n v="41"/>
    <x v="0"/>
    <n v="2400"/>
    <d v="2021-04-17T00:00:00"/>
    <x v="2"/>
    <x v="2"/>
  </r>
  <r>
    <x v="9"/>
    <n v="2000"/>
    <n v="1"/>
    <s v="Rua Quinze de Novembro, 8 - Loja 301a Loja 301b - Centro, Niterói - RJ, 24020-125"/>
    <x v="1"/>
    <s v="NATALIA ACCIOLY"/>
    <x v="1"/>
    <n v="28"/>
    <x v="2"/>
    <n v="2000"/>
    <d v="2021-01-27T00:00:00"/>
    <x v="2"/>
    <x v="5"/>
  </r>
  <r>
    <x v="20"/>
    <n v="5500"/>
    <n v="4"/>
    <s v="R. Luíz Faccini, 212 - Centro, Guarulhos - SP, 07110-000"/>
    <x v="0"/>
    <s v="JOSÉ SEIXAS"/>
    <x v="0"/>
    <n v="74"/>
    <x v="1"/>
    <n v="22000"/>
    <d v="2021-03-25T00:00:00"/>
    <x v="2"/>
    <x v="9"/>
  </r>
  <r>
    <x v="1"/>
    <n v="1400"/>
    <n v="2"/>
    <s v="Shopping Barra - Av. Centenário, 2992 - Barra, Salvador - BA, 40155-150"/>
    <x v="5"/>
    <s v="RAISSA MAIA"/>
    <x v="1"/>
    <n v="38"/>
    <x v="0"/>
    <n v="2800"/>
    <d v="2021-08-02T00:00:00"/>
    <x v="2"/>
    <x v="7"/>
  </r>
  <r>
    <x v="12"/>
    <n v="1500"/>
    <n v="2"/>
    <s v="Av. Dom Luís, 500 - Aldeota, Fortaleza - CE, 60160-230"/>
    <x v="2"/>
    <s v="THALES SANTOS"/>
    <x v="0"/>
    <n v="28"/>
    <x v="2"/>
    <n v="3000"/>
    <d v="2021-09-16T00:00:00"/>
    <x v="2"/>
    <x v="1"/>
  </r>
  <r>
    <x v="7"/>
    <n v="2600"/>
    <n v="1"/>
    <s v="R. Luíz Faccini, 212 - Centro, Guarulhos - SP, 07110-000"/>
    <x v="0"/>
    <s v="STHEFESON KOHN"/>
    <x v="0"/>
    <n v="35"/>
    <x v="0"/>
    <n v="2600"/>
    <d v="2021-11-02T00:00:00"/>
    <x v="2"/>
    <x v="10"/>
  </r>
  <r>
    <x v="7"/>
    <n v="2600"/>
    <n v="1"/>
    <s v="Av. Barão Homem de Melo, 1389 - Nova Granada, Belo Horizonte - MG, 30431-425"/>
    <x v="7"/>
    <s v="PEDRO FERRARI"/>
    <x v="0"/>
    <n v="54"/>
    <x v="1"/>
    <n v="2600"/>
    <d v="2021-04-13T00:00:00"/>
    <x v="2"/>
    <x v="2"/>
  </r>
  <r>
    <x v="14"/>
    <n v="1500"/>
    <n v="2"/>
    <s v="Av. Dom Luís, 500 - Aldeota, Fortaleza - CE, 60160-230"/>
    <x v="2"/>
    <s v="MATHEUS MIRANDA"/>
    <x v="0"/>
    <n v="58"/>
    <x v="1"/>
    <n v="3000"/>
    <d v="2021-01-07T00:00:00"/>
    <x v="2"/>
    <x v="5"/>
  </r>
  <r>
    <x v="16"/>
    <n v="1200"/>
    <n v="5"/>
    <s v="R. Teodoro Sampaio, 954 - Pinheiros, São Paulo - SP, 05406-050"/>
    <x v="0"/>
    <s v="AMANDA DELGADO"/>
    <x v="1"/>
    <n v="31"/>
    <x v="0"/>
    <n v="6000"/>
    <d v="2021-06-17T00:00:00"/>
    <x v="2"/>
    <x v="3"/>
  </r>
  <r>
    <x v="18"/>
    <n v="2500"/>
    <n v="1"/>
    <s v="Rua Quinze de Novembro, 8 - Loja 301a Loja 301b - Centro, Niterói - RJ, 24020-125"/>
    <x v="1"/>
    <s v="THIAGO COSTA"/>
    <x v="0"/>
    <n v="73"/>
    <x v="1"/>
    <n v="2500"/>
    <d v="2021-03-05T00:00:00"/>
    <x v="2"/>
    <x v="9"/>
  </r>
  <r>
    <x v="5"/>
    <n v="1450"/>
    <n v="5"/>
    <s v="R. Visc. de Pirajá, 136 - Ipanema, Rio de Janeiro - RJ, 22410-000"/>
    <x v="1"/>
    <s v="LUCAS LIMA"/>
    <x v="0"/>
    <n v="49"/>
    <x v="0"/>
    <n v="7250"/>
    <d v="2021-08-09T00:00:00"/>
    <x v="2"/>
    <x v="7"/>
  </r>
  <r>
    <x v="18"/>
    <n v="2500"/>
    <n v="1"/>
    <s v="R. Brasílio Itiberê, 3279 - Água Verde, Curitiba - PR, 80250-160"/>
    <x v="3"/>
    <s v="JOÃO COSTA"/>
    <x v="0"/>
    <n v="39"/>
    <x v="0"/>
    <n v="2500"/>
    <d v="2021-11-17T00:00:00"/>
    <x v="2"/>
    <x v="10"/>
  </r>
  <r>
    <x v="17"/>
    <n v="2300"/>
    <n v="4"/>
    <s v="R. Luíz Faccini, 212 - Centro, Guarulhos - SP, 07110-000"/>
    <x v="0"/>
    <s v="DOUGLAS RODRIGUES"/>
    <x v="0"/>
    <n v="33"/>
    <x v="0"/>
    <n v="9200"/>
    <d v="2021-03-09T00:00:00"/>
    <x v="2"/>
    <x v="9"/>
  </r>
  <r>
    <x v="5"/>
    <n v="1450"/>
    <n v="2"/>
    <s v="Rua Antônio Lumack do Monte, 203 - 1 - Boa Viagem, Recife - PE, 51020-350"/>
    <x v="6"/>
    <s v="RAFAELA GOMES"/>
    <x v="1"/>
    <n v="35"/>
    <x v="0"/>
    <n v="2900"/>
    <d v="2021-04-01T00:00:00"/>
    <x v="2"/>
    <x v="2"/>
  </r>
  <r>
    <x v="16"/>
    <n v="1200"/>
    <n v="1"/>
    <s v="R. Dr. Antônio Castro Prado, 422 - Vila Rossi e Borchi, Campinas - SP, 13076-130"/>
    <x v="0"/>
    <s v="BÁRBARA CAVALCANTE"/>
    <x v="0"/>
    <n v="31"/>
    <x v="0"/>
    <n v="1200"/>
    <d v="2021-06-12T00:00:00"/>
    <x v="2"/>
    <x v="3"/>
  </r>
  <r>
    <x v="0"/>
    <n v="4500"/>
    <n v="1"/>
    <s v="R. Teodoro Sampaio, 954 - Pinheiros, São Paulo - SP, 05406-050"/>
    <x v="0"/>
    <s v="LUCAS ALMEIDA"/>
    <x v="0"/>
    <n v="48"/>
    <x v="0"/>
    <n v="4500"/>
    <d v="2021-10-06T00:00:00"/>
    <x v="2"/>
    <x v="6"/>
  </r>
  <r>
    <x v="14"/>
    <n v="1500"/>
    <n v="4"/>
    <s v="R. Teodoro Sampaio, 954 - Pinheiros, São Paulo - SP, 05406-050"/>
    <x v="0"/>
    <s v="TAYLA LIMA"/>
    <x v="1"/>
    <n v="31"/>
    <x v="0"/>
    <n v="6000"/>
    <d v="2021-01-18T00:00:00"/>
    <x v="2"/>
    <x v="5"/>
  </r>
  <r>
    <x v="7"/>
    <n v="2600"/>
    <n v="5"/>
    <s v="Rua Antônio Lumack do Monte, 203 - 1 - Boa Viagem, Recife - PE, 51020-350"/>
    <x v="6"/>
    <s v="ALON PALMEIRA"/>
    <x v="0"/>
    <n v="34"/>
    <x v="0"/>
    <n v="13000"/>
    <d v="2021-06-03T00:00:00"/>
    <x v="2"/>
    <x v="3"/>
  </r>
  <r>
    <x v="13"/>
    <n v="1550"/>
    <n v="2"/>
    <s v="R. Luíz Faccini, 212 - Centro, Guarulhos - SP, 07110-000"/>
    <x v="0"/>
    <s v="LUÍZA GOULART"/>
    <x v="1"/>
    <n v="70"/>
    <x v="1"/>
    <n v="3100"/>
    <d v="2021-04-08T00:00:00"/>
    <x v="2"/>
    <x v="2"/>
  </r>
  <r>
    <x v="13"/>
    <n v="1550"/>
    <n v="1"/>
    <s v="R. Visc. de Pirajá, 136 - Ipanema, Rio de Janeiro - RJ, 22410-000"/>
    <x v="1"/>
    <s v="GUILHERME ASSIS"/>
    <x v="0"/>
    <n v="36"/>
    <x v="0"/>
    <n v="1550"/>
    <d v="2021-06-16T00:00:00"/>
    <x v="2"/>
    <x v="3"/>
  </r>
  <r>
    <x v="15"/>
    <n v="3000"/>
    <n v="2"/>
    <s v="R. Teodoro Sampaio, 954 - Pinheiros, São Paulo - SP, 05406-050"/>
    <x v="0"/>
    <s v="NINA MAGALHÃES"/>
    <x v="1"/>
    <n v="66"/>
    <x v="1"/>
    <n v="6000"/>
    <d v="2021-01-15T00:00:00"/>
    <x v="2"/>
    <x v="5"/>
  </r>
  <r>
    <x v="0"/>
    <n v="4500"/>
    <n v="5"/>
    <s v="R. Luíz Faccini, 212 - Centro, Guarulhos - SP, 07110-000"/>
    <x v="0"/>
    <s v="ANTONIO BERNHARDT"/>
    <x v="0"/>
    <n v="52"/>
    <x v="1"/>
    <n v="22500"/>
    <d v="2021-03-02T00:00:00"/>
    <x v="2"/>
    <x v="9"/>
  </r>
  <r>
    <x v="16"/>
    <n v="1200"/>
    <n v="2"/>
    <s v="R. Luíz Faccini, 212 - Centro, Guarulhos - SP, 07110-000"/>
    <x v="0"/>
    <s v="JÚLIA ALMEIDA"/>
    <x v="1"/>
    <n v="73"/>
    <x v="1"/>
    <n v="2400"/>
    <d v="2021-08-23T00:00:00"/>
    <x v="2"/>
    <x v="7"/>
  </r>
  <r>
    <x v="20"/>
    <n v="5500"/>
    <n v="1"/>
    <s v="Av. Barão Homem de Melo, 1389 - Nova Granada, Belo Horizonte - MG, 30431-425"/>
    <x v="7"/>
    <s v="VICTOR ZAKHM"/>
    <x v="0"/>
    <n v="68"/>
    <x v="1"/>
    <n v="5500"/>
    <d v="2021-02-18T00:00:00"/>
    <x v="2"/>
    <x v="4"/>
  </r>
  <r>
    <x v="1"/>
    <n v="1400"/>
    <n v="2"/>
    <s v="R. Luíz Faccini, 212 - Centro, Guarulhos - SP, 07110-000"/>
    <x v="0"/>
    <s v="HANNA FONSECA"/>
    <x v="1"/>
    <n v="40"/>
    <x v="0"/>
    <n v="2800"/>
    <d v="2021-11-20T00:00:00"/>
    <x v="2"/>
    <x v="10"/>
  </r>
  <r>
    <x v="14"/>
    <n v="1500"/>
    <n v="1"/>
    <s v="Av. Barão Homem de Melo, 1389 - Nova Granada, Belo Horizonte - MG, 30431-425"/>
    <x v="7"/>
    <s v="GABRIEL PUNTEL"/>
    <x v="0"/>
    <n v="26"/>
    <x v="2"/>
    <n v="1500"/>
    <d v="2021-09-12T00:00:00"/>
    <x v="2"/>
    <x v="1"/>
  </r>
  <r>
    <x v="7"/>
    <n v="2600"/>
    <n v="1"/>
    <s v="Rua Quinze de Novembro, 8 - Loja 301a Loja 301b - Centro, Niterói - RJ, 24020-125"/>
    <x v="1"/>
    <s v="MICHELLE MIURA"/>
    <x v="1"/>
    <n v="59"/>
    <x v="1"/>
    <n v="2600"/>
    <d v="2021-04-14T00:00:00"/>
    <x v="2"/>
    <x v="2"/>
  </r>
  <r>
    <x v="20"/>
    <n v="5500"/>
    <n v="2"/>
    <s v="Rua Antônio Lumack do Monte, 203 - 1 - Boa Viagem, Recife - PE, 51020-350"/>
    <x v="6"/>
    <s v="THIAGO NÓBREGA"/>
    <x v="0"/>
    <n v="70"/>
    <x v="1"/>
    <n v="11000"/>
    <d v="2021-02-09T00:00:00"/>
    <x v="2"/>
    <x v="4"/>
  </r>
  <r>
    <x v="8"/>
    <n v="1400"/>
    <n v="2"/>
    <s v="R. Dr. Antônio Castro Prado, 422 - Vila Rossi e Borchi, Campinas - SP, 13076-130"/>
    <x v="0"/>
    <s v="RAISSA PINHEIRO"/>
    <x v="1"/>
    <n v="76"/>
    <x v="1"/>
    <n v="2800"/>
    <d v="2021-01-13T00:00:00"/>
    <x v="2"/>
    <x v="5"/>
  </r>
  <r>
    <x v="21"/>
    <n v="5200"/>
    <n v="1"/>
    <s v="R. Brasílio Itiberê, 3279 - Água Verde, Curitiba - PR, 80250-160"/>
    <x v="3"/>
    <s v="MATHEUS DELGADO"/>
    <x v="0"/>
    <n v="44"/>
    <x v="0"/>
    <n v="5200"/>
    <d v="2021-07-09T00:00:00"/>
    <x v="2"/>
    <x v="0"/>
  </r>
  <r>
    <x v="14"/>
    <n v="1500"/>
    <n v="2"/>
    <s v="Av. Dom Luís, 500 - Aldeota, Fortaleza - CE, 60160-230"/>
    <x v="2"/>
    <s v="CAROLINE AQUINO"/>
    <x v="1"/>
    <n v="41"/>
    <x v="0"/>
    <n v="3000"/>
    <d v="2021-05-20T00:00:00"/>
    <x v="2"/>
    <x v="11"/>
  </r>
  <r>
    <x v="7"/>
    <n v="2600"/>
    <n v="5"/>
    <s v="Shopping Barra - Av. Centenário, 2992 - Barra, Salvador - BA, 40155-150"/>
    <x v="5"/>
    <s v="MARIA ASSUMPÇÃO"/>
    <x v="1"/>
    <n v="28"/>
    <x v="2"/>
    <n v="13000"/>
    <d v="2021-04-04T00:00:00"/>
    <x v="2"/>
    <x v="2"/>
  </r>
  <r>
    <x v="21"/>
    <n v="5200"/>
    <n v="4"/>
    <s v="Av. Barão Homem de Melo, 1389 - Nova Granada, Belo Horizonte - MG, 30431-425"/>
    <x v="7"/>
    <s v="ROJANE LIMA"/>
    <x v="1"/>
    <n v="39"/>
    <x v="0"/>
    <n v="20800"/>
    <d v="2021-04-01T00:00:00"/>
    <x v="2"/>
    <x v="2"/>
  </r>
  <r>
    <x v="1"/>
    <n v="1400"/>
    <n v="4"/>
    <s v="R. Dr. Antônio Castro Prado, 422 - Vila Rossi e Borchi, Campinas - SP, 13076-130"/>
    <x v="0"/>
    <s v="GUILHERME BARBOSA"/>
    <x v="0"/>
    <n v="28"/>
    <x v="2"/>
    <n v="5600"/>
    <d v="2021-05-06T00:00:00"/>
    <x v="2"/>
    <x v="11"/>
  </r>
  <r>
    <x v="20"/>
    <n v="5500"/>
    <n v="4"/>
    <s v="R. Brasílio Itiberê, 3279 - Água Verde, Curitiba - PR, 80250-160"/>
    <x v="3"/>
    <s v="JONAS GOMES"/>
    <x v="0"/>
    <n v="56"/>
    <x v="1"/>
    <n v="22000"/>
    <d v="2021-09-30T00:00:00"/>
    <x v="2"/>
    <x v="1"/>
  </r>
  <r>
    <x v="18"/>
    <n v="2500"/>
    <n v="4"/>
    <s v="R. Dr. Antônio Castro Prado, 422 - Vila Rossi e Borchi, Campinas - SP, 13076-130"/>
    <x v="0"/>
    <s v="DEBORA SILVA"/>
    <x v="1"/>
    <n v="61"/>
    <x v="1"/>
    <n v="10000"/>
    <d v="2021-01-02T00:00:00"/>
    <x v="2"/>
    <x v="5"/>
  </r>
  <r>
    <x v="21"/>
    <n v="5200"/>
    <n v="5"/>
    <s v="R. Teodoro Sampaio, 954 - Pinheiros, São Paulo - SP, 05406-050"/>
    <x v="0"/>
    <s v="VITOR BOCCALETTI"/>
    <x v="0"/>
    <n v="48"/>
    <x v="0"/>
    <n v="26000"/>
    <d v="2021-03-10T00:00:00"/>
    <x v="2"/>
    <x v="9"/>
  </r>
  <r>
    <x v="13"/>
    <n v="1550"/>
    <n v="5"/>
    <s v="Av. Goiás Norte, 3.592 - quadra 2.1 - St. Mal. Rondon, Goiânia - GO, 74063-010"/>
    <x v="4"/>
    <s v="BRENO GODOY"/>
    <x v="0"/>
    <n v="25"/>
    <x v="2"/>
    <n v="7750"/>
    <d v="2021-04-20T00:00:00"/>
    <x v="2"/>
    <x v="2"/>
  </r>
  <r>
    <x v="9"/>
    <n v="2000"/>
    <n v="2"/>
    <s v="Av. Borges de Medeiros, 3120 - Praia de Belas, Porto Alegre - RS, 90110-150"/>
    <x v="8"/>
    <s v="MARCELA JOHNSON"/>
    <x v="1"/>
    <n v="67"/>
    <x v="1"/>
    <n v="4000"/>
    <d v="2021-03-17T00:00:00"/>
    <x v="2"/>
    <x v="9"/>
  </r>
  <r>
    <x v="22"/>
    <n v="2400"/>
    <n v="4"/>
    <s v="Av. Mal. Floriano Peixoto, 2248-2258 - Centro, Nova Iguaçu - RJ, 26210-000"/>
    <x v="1"/>
    <s v="STEFAN NUNES"/>
    <x v="0"/>
    <n v="64"/>
    <x v="1"/>
    <n v="9600"/>
    <d v="2021-07-25T00:00:00"/>
    <x v="2"/>
    <x v="0"/>
  </r>
  <r>
    <x v="1"/>
    <n v="1400"/>
    <n v="2"/>
    <s v="Rua Antônio Lumack do Monte, 203 - 1 - Boa Viagem, Recife - PE, 51020-350"/>
    <x v="6"/>
    <s v="BRUNA LONDERO"/>
    <x v="1"/>
    <n v="64"/>
    <x v="1"/>
    <n v="2800"/>
    <d v="2021-12-20T00:00:00"/>
    <x v="2"/>
    <x v="8"/>
  </r>
  <r>
    <x v="5"/>
    <n v="1450"/>
    <n v="3"/>
    <s v="Rua Quinze de Novembro, 8 - Loja 301a Loja 301b - Centro, Niterói - RJ, 24020-125"/>
    <x v="1"/>
    <s v="ALESSANDRA MARTINS"/>
    <x v="1"/>
    <n v="33"/>
    <x v="0"/>
    <n v="4350"/>
    <d v="2021-06-26T00:00:00"/>
    <x v="2"/>
    <x v="3"/>
  </r>
  <r>
    <x v="1"/>
    <n v="1400"/>
    <n v="3"/>
    <s v="Shopping Barra - Av. Centenário, 2992 - Barra, Salvador - BA, 40155-150"/>
    <x v="5"/>
    <s v="MILENA ALCOFORADO"/>
    <x v="1"/>
    <n v="68"/>
    <x v="1"/>
    <n v="4200"/>
    <d v="2021-10-03T00:00:00"/>
    <x v="2"/>
    <x v="6"/>
  </r>
  <r>
    <x v="8"/>
    <n v="1400"/>
    <n v="4"/>
    <s v="Av. Goiás Norte, 3.592 - quadra 2.1 - St. Mal. Rondon, Goiânia - GO, 74063-010"/>
    <x v="4"/>
    <s v="DANIELA PEREIRA"/>
    <x v="1"/>
    <n v="27"/>
    <x v="2"/>
    <n v="5600"/>
    <d v="2021-03-19T00:00:00"/>
    <x v="2"/>
    <x v="9"/>
  </r>
  <r>
    <x v="14"/>
    <n v="1500"/>
    <n v="5"/>
    <s v="Rua Antônio Lumack do Monte, 203 - 1 - Boa Viagem, Recife - PE, 51020-350"/>
    <x v="6"/>
    <s v="GLENDA SANTOS"/>
    <x v="1"/>
    <n v="27"/>
    <x v="2"/>
    <n v="7500"/>
    <d v="2021-07-30T00:00:00"/>
    <x v="2"/>
    <x v="0"/>
  </r>
  <r>
    <x v="1"/>
    <n v="1400"/>
    <n v="3"/>
    <s v="R. Visc. de Pirajá, 136 - Ipanema, Rio de Janeiro - RJ, 22410-000"/>
    <x v="1"/>
    <s v="THAYS CASTRO"/>
    <x v="1"/>
    <n v="61"/>
    <x v="1"/>
    <n v="4200"/>
    <d v="2021-01-11T00:00:00"/>
    <x v="2"/>
    <x v="5"/>
  </r>
  <r>
    <x v="23"/>
    <n v="1100"/>
    <n v="1"/>
    <s v="Rua Antônio Lumack do Monte, 203 - 1 - Boa Viagem, Recife - PE, 51020-350"/>
    <x v="6"/>
    <s v="BARBARA PROCACI"/>
    <x v="1"/>
    <n v="60"/>
    <x v="1"/>
    <n v="1100"/>
    <d v="2021-08-18T00:00:00"/>
    <x v="2"/>
    <x v="7"/>
  </r>
  <r>
    <x v="12"/>
    <n v="1500"/>
    <n v="4"/>
    <s v="Av. Goiás Norte, 3.592 - quadra 2.1 - St. Mal. Rondon, Goiânia - GO, 74063-010"/>
    <x v="4"/>
    <s v="LEONARDO FERREIRA"/>
    <x v="0"/>
    <n v="47"/>
    <x v="0"/>
    <n v="6000"/>
    <d v="2021-04-01T00:00:00"/>
    <x v="2"/>
    <x v="2"/>
  </r>
  <r>
    <x v="3"/>
    <n v="1500"/>
    <n v="3"/>
    <s v="R. Luíz Faccini, 212 - Centro, Guarulhos - SP, 07110-000"/>
    <x v="0"/>
    <s v="FELIPE MELLO"/>
    <x v="0"/>
    <n v="57"/>
    <x v="1"/>
    <n v="4500"/>
    <d v="2021-01-18T00:00:00"/>
    <x v="2"/>
    <x v="5"/>
  </r>
  <r>
    <x v="21"/>
    <n v="5200"/>
    <n v="2"/>
    <s v="R. Teodoro Sampaio, 954 - Pinheiros, São Paulo - SP, 05406-050"/>
    <x v="0"/>
    <s v="DANIEL ARAUJO"/>
    <x v="0"/>
    <n v="31"/>
    <x v="0"/>
    <n v="10400"/>
    <d v="2021-11-12T00:00:00"/>
    <x v="2"/>
    <x v="10"/>
  </r>
  <r>
    <x v="23"/>
    <n v="1100"/>
    <n v="4"/>
    <s v="R. Visc. de Pirajá, 136 - Ipanema, Rio de Janeiro - RJ, 22410-000"/>
    <x v="1"/>
    <s v="ALLAN CANDIDO"/>
    <x v="0"/>
    <n v="70"/>
    <x v="1"/>
    <n v="4400"/>
    <d v="2021-04-17T00:00:00"/>
    <x v="2"/>
    <x v="2"/>
  </r>
  <r>
    <x v="16"/>
    <n v="1200"/>
    <n v="1"/>
    <s v="Av. Dom Luís, 500 - Aldeota, Fortaleza - CE, 60160-230"/>
    <x v="2"/>
    <s v="ANA GONZAGA"/>
    <x v="1"/>
    <n v="48"/>
    <x v="0"/>
    <n v="1200"/>
    <d v="2021-11-09T00:00:00"/>
    <x v="2"/>
    <x v="10"/>
  </r>
  <r>
    <x v="15"/>
    <n v="3000"/>
    <n v="2"/>
    <s v="Av. Mal. Floriano Peixoto, 2248-2258 - Centro, Nova Iguaçu - RJ, 26210-000"/>
    <x v="1"/>
    <s v="PLATINI HEIMLICH"/>
    <x v="0"/>
    <n v="48"/>
    <x v="0"/>
    <n v="6000"/>
    <d v="2021-09-22T00:00:00"/>
    <x v="2"/>
    <x v="1"/>
  </r>
  <r>
    <x v="7"/>
    <n v="2600"/>
    <n v="3"/>
    <s v="R. Luíz Faccini, 212 - Centro, Guarulhos - SP, 07110-000"/>
    <x v="0"/>
    <s v="ISABELLE GONÇALVES"/>
    <x v="1"/>
    <n v="64"/>
    <x v="1"/>
    <n v="7800"/>
    <d v="2021-07-24T00:00:00"/>
    <x v="2"/>
    <x v="0"/>
  </r>
  <r>
    <x v="6"/>
    <n v="6500"/>
    <n v="3"/>
    <s v="R. Visc. de Pirajá, 136 - Ipanema, Rio de Janeiro - RJ, 22410-000"/>
    <x v="1"/>
    <s v="PEDRO CONCEIÇÃO"/>
    <x v="0"/>
    <n v="59"/>
    <x v="1"/>
    <n v="19500"/>
    <d v="2021-04-02T00:00:00"/>
    <x v="2"/>
    <x v="2"/>
  </r>
  <r>
    <x v="8"/>
    <n v="1400"/>
    <n v="1"/>
    <s v="Av. Mal. Floriano Peixoto, 2248-2258 - Centro, Nova Iguaçu - RJ, 26210-000"/>
    <x v="1"/>
    <s v="RAÍZA LOPES"/>
    <x v="1"/>
    <n v="43"/>
    <x v="0"/>
    <n v="1400"/>
    <d v="2021-07-07T00:00:00"/>
    <x v="2"/>
    <x v="0"/>
  </r>
  <r>
    <x v="20"/>
    <n v="5500"/>
    <n v="1"/>
    <s v="R. Visc. de Pirajá, 136 - Ipanema, Rio de Janeiro - RJ, 22410-000"/>
    <x v="1"/>
    <s v="VICTOR GOMES"/>
    <x v="0"/>
    <n v="47"/>
    <x v="0"/>
    <n v="5500"/>
    <d v="2021-12-04T00:00:00"/>
    <x v="2"/>
    <x v="8"/>
  </r>
  <r>
    <x v="17"/>
    <n v="2300"/>
    <n v="3"/>
    <s v="R. Teodoro Sampaio, 954 - Pinheiros, São Paulo - SP, 05406-050"/>
    <x v="0"/>
    <s v="LETÍCIA LEAL"/>
    <x v="1"/>
    <n v="45"/>
    <x v="0"/>
    <n v="6900"/>
    <d v="2021-10-03T00:00:00"/>
    <x v="2"/>
    <x v="6"/>
  </r>
  <r>
    <x v="15"/>
    <n v="3000"/>
    <n v="2"/>
    <s v="Rua Quinze de Novembro, 8 - Loja 301a Loja 301b - Centro, Niterói - RJ, 24020-125"/>
    <x v="1"/>
    <s v="LUIZ FREIRE"/>
    <x v="0"/>
    <n v="32"/>
    <x v="0"/>
    <n v="6000"/>
    <d v="2021-06-25T00:00:00"/>
    <x v="2"/>
    <x v="3"/>
  </r>
  <r>
    <x v="14"/>
    <n v="1500"/>
    <n v="2"/>
    <s v="Av. Borges de Medeiros, 3120 - Praia de Belas, Porto Alegre - RS, 90110-150"/>
    <x v="8"/>
    <s v="LARA MOREIRA"/>
    <x v="1"/>
    <n v="52"/>
    <x v="1"/>
    <n v="3000"/>
    <d v="2021-06-28T00:00:00"/>
    <x v="2"/>
    <x v="3"/>
  </r>
  <r>
    <x v="20"/>
    <n v="5500"/>
    <n v="3"/>
    <s v="Av. Borges de Medeiros, 3120 - Praia de Belas, Porto Alegre - RS, 90110-150"/>
    <x v="8"/>
    <s v="BERNARDO SOARES"/>
    <x v="0"/>
    <n v="41"/>
    <x v="0"/>
    <n v="16500"/>
    <d v="2021-01-18T00:00:00"/>
    <x v="2"/>
    <x v="5"/>
  </r>
  <r>
    <x v="9"/>
    <n v="2000"/>
    <n v="4"/>
    <s v="Rua Antônio Lumack do Monte, 203 - 1 - Boa Viagem, Recife - PE, 51020-350"/>
    <x v="6"/>
    <s v="RAÍSA RODRIGUES"/>
    <x v="1"/>
    <n v="68"/>
    <x v="1"/>
    <n v="8000"/>
    <d v="2021-03-11T00:00:00"/>
    <x v="2"/>
    <x v="9"/>
  </r>
  <r>
    <x v="10"/>
    <n v="750"/>
    <n v="1"/>
    <s v="R. Visc. de Pirajá, 136 - Ipanema, Rio de Janeiro - RJ, 22410-000"/>
    <x v="1"/>
    <s v="RENAN NASCIMENTO"/>
    <x v="0"/>
    <n v="37"/>
    <x v="0"/>
    <n v="750"/>
    <d v="2021-03-08T00:00:00"/>
    <x v="2"/>
    <x v="9"/>
  </r>
  <r>
    <x v="8"/>
    <n v="1400"/>
    <n v="3"/>
    <s v="R. Teodoro Sampaio, 954 - Pinheiros, São Paulo - SP, 05406-050"/>
    <x v="0"/>
    <s v="RAÍSSA OLIVEIRA"/>
    <x v="1"/>
    <n v="31"/>
    <x v="0"/>
    <n v="4200"/>
    <d v="2021-08-07T00:00:00"/>
    <x v="2"/>
    <x v="7"/>
  </r>
  <r>
    <x v="10"/>
    <n v="750"/>
    <n v="5"/>
    <s v="R. Dr. Antônio Castro Prado, 422 - Vila Rossi e Borchi, Campinas - SP, 13076-130"/>
    <x v="0"/>
    <s v="HELENA CHAFIN"/>
    <x v="1"/>
    <n v="45"/>
    <x v="0"/>
    <n v="3750"/>
    <d v="2021-09-28T00:00:00"/>
    <x v="2"/>
    <x v="1"/>
  </r>
  <r>
    <x v="0"/>
    <n v="4500"/>
    <n v="3"/>
    <s v="R. Teodoro Sampaio, 954 - Pinheiros, São Paulo - SP, 05406-050"/>
    <x v="0"/>
    <s v="LAIS CANDIDO"/>
    <x v="1"/>
    <n v="48"/>
    <x v="0"/>
    <n v="13500"/>
    <d v="2021-05-12T00:00:00"/>
    <x v="2"/>
    <x v="11"/>
  </r>
  <r>
    <x v="11"/>
    <n v="2000"/>
    <n v="1"/>
    <s v="Av. Borges de Medeiros, 3120 - Praia de Belas, Porto Alegre - RS, 90110-150"/>
    <x v="8"/>
    <s v="THALES ANDRADE"/>
    <x v="0"/>
    <n v="55"/>
    <x v="1"/>
    <n v="2000"/>
    <d v="2021-09-11T00:00:00"/>
    <x v="2"/>
    <x v="1"/>
  </r>
  <r>
    <x v="1"/>
    <n v="1400"/>
    <n v="3"/>
    <s v="Av. Borges de Medeiros, 3120 - Praia de Belas, Porto Alegre - RS, 90110-150"/>
    <x v="8"/>
    <s v="ISAAC SANTOS"/>
    <x v="0"/>
    <n v="44"/>
    <x v="0"/>
    <n v="4200"/>
    <d v="2021-09-18T00:00:00"/>
    <x v="2"/>
    <x v="1"/>
  </r>
  <r>
    <x v="5"/>
    <n v="1450"/>
    <n v="3"/>
    <s v="R. Dr. Antônio Castro Prado, 422 - Vila Rossi e Borchi, Campinas - SP, 13076-130"/>
    <x v="0"/>
    <s v="ADRIANE CHAGAS"/>
    <x v="1"/>
    <n v="37"/>
    <x v="0"/>
    <n v="4350"/>
    <d v="2021-01-28T00:00:00"/>
    <x v="2"/>
    <x v="5"/>
  </r>
  <r>
    <x v="16"/>
    <n v="1200"/>
    <n v="1"/>
    <s v="Av. Goiás Norte, 3.592 - quadra 2.1 - St. Mal. Rondon, Goiânia - GO, 74063-010"/>
    <x v="4"/>
    <s v="MATHEUS RAMOS"/>
    <x v="0"/>
    <n v="56"/>
    <x v="1"/>
    <n v="1200"/>
    <d v="2021-09-30T00:00:00"/>
    <x v="2"/>
    <x v="1"/>
  </r>
  <r>
    <x v="18"/>
    <n v="2500"/>
    <n v="3"/>
    <s v="Av. Goiás Norte, 3.592 - quadra 2.1 - St. Mal. Rondon, Goiânia - GO, 74063-010"/>
    <x v="4"/>
    <s v="RODRIGO SILVA"/>
    <x v="0"/>
    <n v="31"/>
    <x v="0"/>
    <n v="7500"/>
    <d v="2021-04-13T00:00:00"/>
    <x v="2"/>
    <x v="2"/>
  </r>
  <r>
    <x v="13"/>
    <n v="1550"/>
    <n v="2"/>
    <s v="Av. Borges de Medeiros, 3120 - Praia de Belas, Porto Alegre - RS, 90110-150"/>
    <x v="8"/>
    <s v="ARTHUR ROCHA"/>
    <x v="0"/>
    <n v="58"/>
    <x v="1"/>
    <n v="3100"/>
    <d v="2021-11-29T00:00:00"/>
    <x v="2"/>
    <x v="10"/>
  </r>
  <r>
    <x v="14"/>
    <n v="1500"/>
    <n v="3"/>
    <s v="Rua Antônio Lumack do Monte, 203 - 1 - Boa Viagem, Recife - PE, 51020-350"/>
    <x v="6"/>
    <s v="LUCAS ARAÚJO"/>
    <x v="0"/>
    <n v="48"/>
    <x v="0"/>
    <n v="4500"/>
    <d v="2021-05-26T00:00:00"/>
    <x v="2"/>
    <x v="11"/>
  </r>
  <r>
    <x v="22"/>
    <n v="2400"/>
    <n v="1"/>
    <s v="Av. Barão Homem de Melo, 1389 - Nova Granada, Belo Horizonte - MG, 30431-425"/>
    <x v="7"/>
    <s v="FILLIPE ALMEIDA"/>
    <x v="0"/>
    <n v="71"/>
    <x v="1"/>
    <n v="2400"/>
    <d v="2021-08-17T00:00:00"/>
    <x v="2"/>
    <x v="7"/>
  </r>
  <r>
    <x v="19"/>
    <n v="1750"/>
    <n v="1"/>
    <s v="Shopping Barra - Av. Centenário, 2992 - Barra, Salvador - BA, 40155-150"/>
    <x v="5"/>
    <s v="ANA ALMEIDA"/>
    <x v="1"/>
    <n v="53"/>
    <x v="1"/>
    <n v="1750"/>
    <d v="2021-01-20T00:00:00"/>
    <x v="2"/>
    <x v="5"/>
  </r>
  <r>
    <x v="18"/>
    <n v="2500"/>
    <n v="1"/>
    <s v="Rua Antônio Lumack do Monte, 203 - 1 - Boa Viagem, Recife - PE, 51020-350"/>
    <x v="6"/>
    <s v="FERNANDA SILVA"/>
    <x v="1"/>
    <n v="39"/>
    <x v="0"/>
    <n v="2500"/>
    <d v="2021-05-25T00:00:00"/>
    <x v="2"/>
    <x v="11"/>
  </r>
  <r>
    <x v="13"/>
    <n v="1550"/>
    <n v="4"/>
    <s v="R. Brasílio Itiberê, 3279 - Água Verde, Curitiba - PR, 80250-160"/>
    <x v="3"/>
    <s v="JOÃO PEÇANHA"/>
    <x v="0"/>
    <n v="48"/>
    <x v="0"/>
    <n v="6200"/>
    <d v="2021-09-28T00:00:00"/>
    <x v="2"/>
    <x v="1"/>
  </r>
  <r>
    <x v="7"/>
    <n v="2600"/>
    <n v="5"/>
    <s v="Shopping Barra - Av. Centenário, 2992 - Barra, Salvador - BA, 40155-150"/>
    <x v="5"/>
    <s v="MARIA CARDOSO"/>
    <x v="1"/>
    <n v="56"/>
    <x v="1"/>
    <n v="13000"/>
    <d v="2021-05-07T00:00:00"/>
    <x v="2"/>
    <x v="11"/>
  </r>
  <r>
    <x v="22"/>
    <n v="2400"/>
    <n v="2"/>
    <s v="Rua Antônio Lumack do Monte, 203 - 1 - Boa Viagem, Recife - PE, 51020-350"/>
    <x v="6"/>
    <s v="MYLLENA CORRÊA"/>
    <x v="1"/>
    <n v="32"/>
    <x v="0"/>
    <n v="4800"/>
    <d v="2021-02-10T00:00:00"/>
    <x v="2"/>
    <x v="4"/>
  </r>
  <r>
    <x v="15"/>
    <n v="3000"/>
    <n v="3"/>
    <s v="Av. Goiás Norte, 3.592 - quadra 2.1 - St. Mal. Rondon, Goiânia - GO, 74063-010"/>
    <x v="4"/>
    <s v="ALBERTO SILVEIRA"/>
    <x v="0"/>
    <n v="36"/>
    <x v="0"/>
    <n v="9000"/>
    <d v="2021-07-11T00:00:00"/>
    <x v="2"/>
    <x v="0"/>
  </r>
  <r>
    <x v="4"/>
    <n v="700"/>
    <n v="2"/>
    <s v="Av. Borges de Medeiros, 3120 - Praia de Belas, Porto Alegre - RS, 90110-150"/>
    <x v="8"/>
    <s v="MAIKE PEREIRA"/>
    <x v="0"/>
    <n v="41"/>
    <x v="0"/>
    <n v="1400"/>
    <d v="2021-12-23T00:00:00"/>
    <x v="2"/>
    <x v="8"/>
  </r>
  <r>
    <x v="18"/>
    <n v="2500"/>
    <n v="2"/>
    <s v="Av. Mal. Floriano Peixoto, 2248-2258 - Centro, Nova Iguaçu - RJ, 26210-000"/>
    <x v="1"/>
    <s v="GUILHERME SANTOS"/>
    <x v="0"/>
    <n v="44"/>
    <x v="0"/>
    <n v="5000"/>
    <d v="2021-09-18T00:00:00"/>
    <x v="2"/>
    <x v="1"/>
  </r>
  <r>
    <x v="15"/>
    <n v="3000"/>
    <n v="1"/>
    <s v="Av. Dom Luís, 500 - Aldeota, Fortaleza - CE, 60160-230"/>
    <x v="2"/>
    <s v="BRUNO MOTA"/>
    <x v="0"/>
    <n v="37"/>
    <x v="0"/>
    <n v="3000"/>
    <d v="2021-04-24T00:00:00"/>
    <x v="2"/>
    <x v="2"/>
  </r>
  <r>
    <x v="23"/>
    <n v="1100"/>
    <n v="4"/>
    <s v="R. Teodoro Sampaio, 954 - Pinheiros, São Paulo - SP, 05406-050"/>
    <x v="0"/>
    <s v="MIGUEL CARNEIRO"/>
    <x v="0"/>
    <n v="45"/>
    <x v="0"/>
    <n v="4400"/>
    <d v="2021-02-14T00:00:00"/>
    <x v="2"/>
    <x v="4"/>
  </r>
  <r>
    <x v="16"/>
    <n v="1200"/>
    <n v="3"/>
    <s v="R. Luíz Faccini, 212 - Centro, Guarulhos - SP, 07110-000"/>
    <x v="0"/>
    <s v="STHEFESON KOHN"/>
    <x v="0"/>
    <n v="35"/>
    <x v="0"/>
    <n v="3600"/>
    <d v="2021-04-01T00:00:00"/>
    <x v="2"/>
    <x v="2"/>
  </r>
  <r>
    <x v="0"/>
    <n v="4500"/>
    <n v="3"/>
    <s v="Rua Antônio Lumack do Monte, 203 - 1 - Boa Viagem, Recife - PE, 51020-350"/>
    <x v="6"/>
    <s v="KATHARINA BARROS"/>
    <x v="1"/>
    <n v="65"/>
    <x v="1"/>
    <n v="13500"/>
    <d v="2021-06-25T00:00:00"/>
    <x v="2"/>
    <x v="3"/>
  </r>
  <r>
    <x v="18"/>
    <n v="2500"/>
    <n v="5"/>
    <s v="Rua Antônio Lumack do Monte, 203 - 1 - Boa Viagem, Recife - PE, 51020-350"/>
    <x v="6"/>
    <s v="PAULA CALBUCCI"/>
    <x v="1"/>
    <n v="62"/>
    <x v="1"/>
    <n v="12500"/>
    <d v="2021-12-31T00:00:00"/>
    <x v="2"/>
    <x v="8"/>
  </r>
  <r>
    <x v="16"/>
    <n v="1200"/>
    <n v="4"/>
    <s v="Av. Borges de Medeiros, 3120 - Praia de Belas, Porto Alegre - RS, 90110-150"/>
    <x v="8"/>
    <s v="RODRIGO FEIJO"/>
    <x v="0"/>
    <n v="56"/>
    <x v="1"/>
    <n v="4800"/>
    <d v="2021-10-01T00:00:00"/>
    <x v="2"/>
    <x v="6"/>
  </r>
  <r>
    <x v="5"/>
    <n v="1450"/>
    <n v="2"/>
    <s v="R. Dr. Antônio Castro Prado, 422 - Vila Rossi e Borchi, Campinas - SP, 13076-130"/>
    <x v="0"/>
    <s v="ANTONIO MANHÃES"/>
    <x v="0"/>
    <n v="43"/>
    <x v="0"/>
    <n v="2900"/>
    <d v="2021-12-31T00:00:00"/>
    <x v="2"/>
    <x v="8"/>
  </r>
  <r>
    <x v="5"/>
    <n v="1450"/>
    <n v="2"/>
    <s v="R. Luíz Faccini, 212 - Centro, Guarulhos - SP, 07110-000"/>
    <x v="0"/>
    <s v="RODRIGO RAMOS"/>
    <x v="0"/>
    <n v="64"/>
    <x v="1"/>
    <n v="2900"/>
    <d v="2021-08-08T00:00:00"/>
    <x v="2"/>
    <x v="7"/>
  </r>
  <r>
    <x v="7"/>
    <n v="2600"/>
    <n v="3"/>
    <s v="Av. Borges de Medeiros, 3120 - Praia de Belas, Porto Alegre - RS, 90110-150"/>
    <x v="8"/>
    <s v="LIVIA COZENDEY"/>
    <x v="1"/>
    <n v="32"/>
    <x v="0"/>
    <n v="7800"/>
    <d v="2021-03-31T00:00:00"/>
    <x v="2"/>
    <x v="9"/>
  </r>
  <r>
    <x v="23"/>
    <n v="1100"/>
    <n v="4"/>
    <s v="R. Dr. Antônio Castro Prado, 422 - Vila Rossi e Borchi, Campinas - SP, 13076-130"/>
    <x v="0"/>
    <s v="VICTOR FIRMINO"/>
    <x v="0"/>
    <n v="43"/>
    <x v="0"/>
    <n v="4400"/>
    <d v="2021-08-11T00:00:00"/>
    <x v="2"/>
    <x v="7"/>
  </r>
  <r>
    <x v="18"/>
    <n v="2500"/>
    <n v="3"/>
    <s v="Av. Barão Homem de Melo, 1389 - Nova Granada, Belo Horizonte - MG, 30431-425"/>
    <x v="7"/>
    <s v="GABRIEL PUNTEL"/>
    <x v="0"/>
    <n v="26"/>
    <x v="2"/>
    <n v="7500"/>
    <d v="2021-12-10T00:00:00"/>
    <x v="2"/>
    <x v="8"/>
  </r>
  <r>
    <x v="3"/>
    <n v="1500"/>
    <n v="3"/>
    <s v="Av. Mal. Floriano Peixoto, 2248-2258 - Centro, Nova Iguaçu - RJ, 26210-000"/>
    <x v="1"/>
    <s v="RAÍZA LOPES"/>
    <x v="1"/>
    <n v="43"/>
    <x v="0"/>
    <n v="4500"/>
    <d v="2021-06-23T00:00:00"/>
    <x v="2"/>
    <x v="3"/>
  </r>
  <r>
    <x v="9"/>
    <n v="2000"/>
    <n v="3"/>
    <s v="Av. Dom Luís, 500 - Aldeota, Fortaleza - CE, 60160-230"/>
    <x v="2"/>
    <s v="MARINA CORREA"/>
    <x v="1"/>
    <n v="42"/>
    <x v="0"/>
    <n v="6000"/>
    <d v="2021-10-16T00:00:00"/>
    <x v="2"/>
    <x v="6"/>
  </r>
  <r>
    <x v="1"/>
    <n v="1400"/>
    <n v="2"/>
    <s v="R. Dr. Antônio Castro Prado, 422 - Vila Rossi e Borchi, Campinas - SP, 13076-130"/>
    <x v="0"/>
    <s v="RAISSA PINHEIRO"/>
    <x v="1"/>
    <n v="76"/>
    <x v="1"/>
    <n v="2800"/>
    <d v="2021-12-02T00:00:00"/>
    <x v="2"/>
    <x v="8"/>
  </r>
  <r>
    <x v="10"/>
    <n v="750"/>
    <n v="5"/>
    <s v="R. Luíz Faccini, 212 - Centro, Guarulhos - SP, 07110-000"/>
    <x v="0"/>
    <s v="VICTOR LIRA"/>
    <x v="0"/>
    <n v="38"/>
    <x v="0"/>
    <n v="3750"/>
    <d v="2021-04-30T00:00:00"/>
    <x v="2"/>
    <x v="2"/>
  </r>
  <r>
    <x v="11"/>
    <n v="2000"/>
    <n v="1"/>
    <s v="Av. Dom Luís, 500 - Aldeota, Fortaleza - CE, 60160-230"/>
    <x v="2"/>
    <s v="BRENO BRITTO"/>
    <x v="0"/>
    <n v="55"/>
    <x v="1"/>
    <n v="2000"/>
    <d v="2021-07-23T00:00:00"/>
    <x v="2"/>
    <x v="0"/>
  </r>
  <r>
    <x v="9"/>
    <n v="2000"/>
    <n v="1"/>
    <s v="Rua Antônio Lumack do Monte, 203 - 1 - Boa Viagem, Recife - PE, 51020-350"/>
    <x v="6"/>
    <s v="LUIZA CABRAL"/>
    <x v="1"/>
    <n v="32"/>
    <x v="0"/>
    <n v="2000"/>
    <d v="2021-10-28T00:00:00"/>
    <x v="2"/>
    <x v="6"/>
  </r>
  <r>
    <x v="23"/>
    <n v="1100"/>
    <n v="2"/>
    <s v="R. Visc. de Pirajá, 136 - Ipanema, Rio de Janeiro - RJ, 22410-000"/>
    <x v="1"/>
    <s v="EDUARDO VEIGA"/>
    <x v="0"/>
    <n v="30"/>
    <x v="0"/>
    <n v="2200"/>
    <d v="2021-01-01T00:00:00"/>
    <x v="2"/>
    <x v="5"/>
  </r>
  <r>
    <x v="22"/>
    <n v="2400"/>
    <n v="4"/>
    <s v="Av. Goiás Norte, 3.592 - quadra 2.1 - St. Mal. Rondon, Goiânia - GO, 74063-010"/>
    <x v="4"/>
    <s v="WEN SANTOS"/>
    <x v="1"/>
    <n v="52"/>
    <x v="1"/>
    <n v="9600"/>
    <d v="2021-04-13T00:00:00"/>
    <x v="2"/>
    <x v="2"/>
  </r>
  <r>
    <x v="5"/>
    <n v="1450"/>
    <n v="2"/>
    <s v="R. Luíz Faccini, 212 - Centro, Guarulhos - SP, 07110-000"/>
    <x v="0"/>
    <s v="VICTOR LIRA"/>
    <x v="0"/>
    <n v="38"/>
    <x v="0"/>
    <n v="2900"/>
    <d v="2021-07-24T00:00:00"/>
    <x v="2"/>
    <x v="0"/>
  </r>
  <r>
    <x v="7"/>
    <n v="2600"/>
    <n v="3"/>
    <s v="R. Teodoro Sampaio, 954 - Pinheiros, São Paulo - SP, 05406-050"/>
    <x v="0"/>
    <s v="JOÃO ABRAÇADO"/>
    <x v="0"/>
    <n v="42"/>
    <x v="0"/>
    <n v="7800"/>
    <d v="2021-12-07T00:00:00"/>
    <x v="2"/>
    <x v="8"/>
  </r>
  <r>
    <x v="20"/>
    <n v="5500"/>
    <n v="2"/>
    <s v="Av. Borges de Medeiros, 3120 - Praia de Belas, Porto Alegre - RS, 90110-150"/>
    <x v="8"/>
    <s v="MATHEUS SAPIR"/>
    <x v="0"/>
    <n v="70"/>
    <x v="1"/>
    <n v="11000"/>
    <d v="2021-09-05T00:00:00"/>
    <x v="2"/>
    <x v="1"/>
  </r>
  <r>
    <x v="12"/>
    <n v="1500"/>
    <n v="5"/>
    <s v="Av. Mal. Floriano Peixoto, 2248-2258 - Centro, Nova Iguaçu - RJ, 26210-000"/>
    <x v="1"/>
    <s v="MARIA CORREA"/>
    <x v="1"/>
    <n v="34"/>
    <x v="0"/>
    <n v="7500"/>
    <d v="2021-09-06T00:00:00"/>
    <x v="2"/>
    <x v="1"/>
  </r>
  <r>
    <x v="18"/>
    <n v="2500"/>
    <n v="4"/>
    <s v="Av. Dom Luís, 500 - Aldeota, Fortaleza - CE, 60160-230"/>
    <x v="2"/>
    <s v="KARINA CAMARA"/>
    <x v="1"/>
    <n v="63"/>
    <x v="1"/>
    <n v="10000"/>
    <d v="2021-01-01T00:00:00"/>
    <x v="2"/>
    <x v="5"/>
  </r>
  <r>
    <x v="10"/>
    <n v="750"/>
    <n v="4"/>
    <s v="R. Visc. de Pirajá, 136 - Ipanema, Rio de Janeiro - RJ, 22410-000"/>
    <x v="1"/>
    <s v="MARIA MOITA"/>
    <x v="1"/>
    <n v="68"/>
    <x v="1"/>
    <n v="3000"/>
    <d v="2021-08-13T00:00:00"/>
    <x v="2"/>
    <x v="7"/>
  </r>
  <r>
    <x v="20"/>
    <n v="5500"/>
    <n v="1"/>
    <s v="Rua Quinze de Novembro, 8 - Loja 301a Loja 301b - Centro, Niterói - RJ, 24020-125"/>
    <x v="1"/>
    <s v="ALEXANDRE DANTAS"/>
    <x v="0"/>
    <n v="53"/>
    <x v="1"/>
    <n v="5500"/>
    <d v="2021-05-26T00:00:00"/>
    <x v="2"/>
    <x v="11"/>
  </r>
  <r>
    <x v="15"/>
    <n v="3000"/>
    <n v="2"/>
    <s v="Rua Quinze de Novembro, 8 - Loja 301a Loja 301b - Centro, Niterói - RJ, 24020-125"/>
    <x v="1"/>
    <s v="GABRIELLA LOPES"/>
    <x v="1"/>
    <n v="45"/>
    <x v="0"/>
    <n v="6000"/>
    <d v="2021-06-07T00:00:00"/>
    <x v="2"/>
    <x v="3"/>
  </r>
  <r>
    <x v="21"/>
    <n v="5200"/>
    <n v="4"/>
    <s v="Av. Dom Luís, 500 - Aldeota, Fortaleza - CE, 60160-230"/>
    <x v="2"/>
    <s v="RAFAELA RODRIGUES"/>
    <x v="1"/>
    <n v="34"/>
    <x v="0"/>
    <n v="20800"/>
    <d v="2021-05-21T00:00:00"/>
    <x v="2"/>
    <x v="11"/>
  </r>
  <r>
    <x v="14"/>
    <n v="1500"/>
    <n v="2"/>
    <s v="R. Luíz Faccini, 212 - Centro, Guarulhos - SP, 07110-000"/>
    <x v="0"/>
    <s v="BRENO QUINTO"/>
    <x v="0"/>
    <n v="49"/>
    <x v="0"/>
    <n v="3000"/>
    <d v="2021-10-30T00:00:00"/>
    <x v="2"/>
    <x v="6"/>
  </r>
  <r>
    <x v="4"/>
    <n v="700"/>
    <n v="1"/>
    <s v="Av. Barão Homem de Melo, 1389 - Nova Granada, Belo Horizonte - MG, 30431-425"/>
    <x v="7"/>
    <s v="FILLIPE ALMEIDA"/>
    <x v="0"/>
    <n v="71"/>
    <x v="1"/>
    <n v="700"/>
    <d v="2021-08-07T00:00:00"/>
    <x v="2"/>
    <x v="7"/>
  </r>
  <r>
    <x v="3"/>
    <n v="1500"/>
    <n v="5"/>
    <s v="Rua Antônio Lumack do Monte, 203 - 1 - Boa Viagem, Recife - PE, 51020-350"/>
    <x v="6"/>
    <s v="VICTOR FRANCO"/>
    <x v="0"/>
    <n v="35"/>
    <x v="0"/>
    <n v="7500"/>
    <d v="2021-07-25T00:00:00"/>
    <x v="2"/>
    <x v="0"/>
  </r>
  <r>
    <x v="18"/>
    <n v="2500"/>
    <n v="4"/>
    <s v="R. Teodoro Sampaio, 954 - Pinheiros, São Paulo - SP, 05406-050"/>
    <x v="0"/>
    <s v="JOÃO ARAUJO"/>
    <x v="0"/>
    <n v="36"/>
    <x v="0"/>
    <n v="10000"/>
    <d v="2021-08-31T00:00:00"/>
    <x v="2"/>
    <x v="7"/>
  </r>
  <r>
    <x v="3"/>
    <n v="1500"/>
    <n v="3"/>
    <s v="Av. Dom Luís, 500 - Aldeota, Fortaleza - CE, 60160-230"/>
    <x v="2"/>
    <s v="MARINA CORREA"/>
    <x v="1"/>
    <n v="42"/>
    <x v="0"/>
    <n v="4500"/>
    <d v="2021-10-08T00:00:00"/>
    <x v="2"/>
    <x v="6"/>
  </r>
  <r>
    <x v="20"/>
    <n v="5500"/>
    <n v="3"/>
    <s v="R. Luíz Faccini, 212 - Centro, Guarulhos - SP, 07110-000"/>
    <x v="0"/>
    <s v="AMANDA PROCACI"/>
    <x v="1"/>
    <n v="34"/>
    <x v="0"/>
    <n v="16500"/>
    <d v="2021-03-11T00:00:00"/>
    <x v="2"/>
    <x v="9"/>
  </r>
  <r>
    <x v="9"/>
    <n v="2000"/>
    <n v="2"/>
    <s v="R. Dr. Antônio Castro Prado, 422 - Vila Rossi e Borchi, Campinas - SP, 13076-130"/>
    <x v="0"/>
    <s v="CARLOS ASSIS"/>
    <x v="0"/>
    <n v="68"/>
    <x v="1"/>
    <n v="4000"/>
    <d v="2021-08-07T00:00:00"/>
    <x v="2"/>
    <x v="7"/>
  </r>
  <r>
    <x v="23"/>
    <n v="1100"/>
    <n v="1"/>
    <s v="R. Luíz Faccini, 212 - Centro, Guarulhos - SP, 07110-000"/>
    <x v="0"/>
    <s v="KIM FERREIRA"/>
    <x v="1"/>
    <n v="73"/>
    <x v="1"/>
    <n v="1100"/>
    <d v="2021-12-01T00:00:00"/>
    <x v="2"/>
    <x v="8"/>
  </r>
  <r>
    <x v="20"/>
    <n v="5500"/>
    <n v="2"/>
    <s v="Av. Dom Luís, 500 - Aldeota, Fortaleza - CE, 60160-230"/>
    <x v="2"/>
    <s v="HENRIQUE SILVA"/>
    <x v="0"/>
    <n v="62"/>
    <x v="1"/>
    <n v="11000"/>
    <d v="2021-02-15T00:00:00"/>
    <x v="2"/>
    <x v="4"/>
  </r>
  <r>
    <x v="8"/>
    <n v="1400"/>
    <n v="1"/>
    <s v="Rua Antônio Lumack do Monte, 203 - 1 - Boa Viagem, Recife - PE, 51020-350"/>
    <x v="6"/>
    <s v="LUIZA FARIAS"/>
    <x v="1"/>
    <n v="54"/>
    <x v="1"/>
    <n v="1400"/>
    <d v="2021-03-21T00:00:00"/>
    <x v="2"/>
    <x v="9"/>
  </r>
  <r>
    <x v="23"/>
    <n v="1100"/>
    <n v="1"/>
    <s v="R. Luíz Faccini, 212 - Centro, Guarulhos - SP, 07110-000"/>
    <x v="0"/>
    <s v="HANNA FONSECA"/>
    <x v="1"/>
    <n v="40"/>
    <x v="0"/>
    <n v="1100"/>
    <d v="2021-03-28T00:00:00"/>
    <x v="2"/>
    <x v="9"/>
  </r>
  <r>
    <x v="13"/>
    <n v="1550"/>
    <n v="2"/>
    <s v="R. Brasílio Itiberê, 3279 - Água Verde, Curitiba - PR, 80250-160"/>
    <x v="3"/>
    <s v="BRUNO OLIVEIRA"/>
    <x v="0"/>
    <n v="76"/>
    <x v="1"/>
    <n v="3100"/>
    <d v="2021-04-10T00:00:00"/>
    <x v="2"/>
    <x v="2"/>
  </r>
  <r>
    <x v="3"/>
    <n v="1500"/>
    <n v="2"/>
    <s v="Av. Mal. Floriano Peixoto, 2248-2258 - Centro, Nova Iguaçu - RJ, 26210-000"/>
    <x v="1"/>
    <s v="DANIEL MONTEIRO"/>
    <x v="0"/>
    <n v="64"/>
    <x v="1"/>
    <n v="3000"/>
    <d v="2021-06-12T00:00:00"/>
    <x v="2"/>
    <x v="3"/>
  </r>
  <r>
    <x v="16"/>
    <n v="1200"/>
    <n v="2"/>
    <s v="R. Visc. de Pirajá, 136 - Ipanema, Rio de Janeiro - RJ, 22410-000"/>
    <x v="1"/>
    <s v="LUCAS LIMA"/>
    <x v="0"/>
    <n v="49"/>
    <x v="0"/>
    <n v="2400"/>
    <d v="2021-06-15T00:00:00"/>
    <x v="2"/>
    <x v="3"/>
  </r>
  <r>
    <x v="2"/>
    <n v="1900"/>
    <n v="2"/>
    <s v="R. Brasílio Itiberê, 3279 - Água Verde, Curitiba - PR, 80250-160"/>
    <x v="3"/>
    <s v="DANIEL NAUENBERG"/>
    <x v="0"/>
    <n v="36"/>
    <x v="0"/>
    <n v="3800"/>
    <d v="2021-03-31T00:00:00"/>
    <x v="2"/>
    <x v="9"/>
  </r>
  <r>
    <x v="6"/>
    <n v="6500"/>
    <n v="2"/>
    <s v="Av. Borges de Medeiros, 3120 - Praia de Belas, Porto Alegre - RS, 90110-150"/>
    <x v="8"/>
    <s v="THAINÁ BINELLO"/>
    <x v="1"/>
    <n v="75"/>
    <x v="1"/>
    <n v="13000"/>
    <d v="2021-10-27T00:00:00"/>
    <x v="2"/>
    <x v="6"/>
  </r>
  <r>
    <x v="9"/>
    <n v="2000"/>
    <n v="5"/>
    <s v="Av. Barão Homem de Melo, 1389 - Nova Granada, Belo Horizonte - MG, 30431-425"/>
    <x v="7"/>
    <s v="DANIELA ROSA"/>
    <x v="1"/>
    <n v="67"/>
    <x v="1"/>
    <n v="10000"/>
    <d v="2021-07-01T00:00:00"/>
    <x v="2"/>
    <x v="0"/>
  </r>
  <r>
    <x v="14"/>
    <n v="1500"/>
    <n v="3"/>
    <s v="Av. Borges de Medeiros, 3120 - Praia de Belas, Porto Alegre - RS, 90110-150"/>
    <x v="8"/>
    <s v="ANDERSON CAVALCANTI"/>
    <x v="0"/>
    <n v="40"/>
    <x v="0"/>
    <n v="4500"/>
    <d v="2021-07-16T00:00:00"/>
    <x v="2"/>
    <x v="0"/>
  </r>
  <r>
    <x v="17"/>
    <n v="2300"/>
    <n v="4"/>
    <s v="R. Visc. de Pirajá, 136 - Ipanema, Rio de Janeiro - RJ, 22410-000"/>
    <x v="1"/>
    <s v="PEDRO SANTANA"/>
    <x v="0"/>
    <n v="50"/>
    <x v="0"/>
    <n v="9200"/>
    <d v="2021-03-13T00:00:00"/>
    <x v="2"/>
    <x v="9"/>
  </r>
  <r>
    <x v="2"/>
    <n v="1900"/>
    <n v="5"/>
    <s v="R. Teodoro Sampaio, 954 - Pinheiros, São Paulo - SP, 05406-050"/>
    <x v="0"/>
    <s v="WILSON MIRANDA"/>
    <x v="0"/>
    <n v="50"/>
    <x v="0"/>
    <n v="9500"/>
    <d v="2021-07-29T00:00:00"/>
    <x v="2"/>
    <x v="0"/>
  </r>
  <r>
    <x v="9"/>
    <n v="2000"/>
    <n v="4"/>
    <s v="Av. Dom Luís, 500 - Aldeota, Fortaleza - CE, 60160-230"/>
    <x v="2"/>
    <s v="MARCELO GUADAGNINO"/>
    <x v="0"/>
    <n v="37"/>
    <x v="0"/>
    <n v="8000"/>
    <d v="2021-12-18T00:00:00"/>
    <x v="2"/>
    <x v="8"/>
  </r>
  <r>
    <x v="16"/>
    <n v="1200"/>
    <n v="3"/>
    <s v="Shopping Barra - Av. Centenário, 2992 - Barra, Salvador - BA, 40155-150"/>
    <x v="5"/>
    <s v="MATEUS DUQUE"/>
    <x v="0"/>
    <n v="59"/>
    <x v="1"/>
    <n v="3600"/>
    <d v="2021-07-31T00:00:00"/>
    <x v="2"/>
    <x v="0"/>
  </r>
  <r>
    <x v="4"/>
    <n v="700"/>
    <n v="4"/>
    <s v="R. Visc. de Pirajá, 136 - Ipanema, Rio de Janeiro - RJ, 22410-000"/>
    <x v="1"/>
    <s v="CAROLINA RACHIDE"/>
    <x v="1"/>
    <n v="45"/>
    <x v="0"/>
    <n v="2800"/>
    <d v="2021-09-02T00:00:00"/>
    <x v="2"/>
    <x v="1"/>
  </r>
  <r>
    <x v="5"/>
    <n v="1450"/>
    <n v="4"/>
    <s v="R. Visc. de Pirajá, 136 - Ipanema, Rio de Janeiro - RJ, 22410-000"/>
    <x v="1"/>
    <s v="PEDRO CONCEIÇÃO"/>
    <x v="0"/>
    <n v="59"/>
    <x v="1"/>
    <n v="5800"/>
    <d v="2021-06-30T00:00:00"/>
    <x v="2"/>
    <x v="3"/>
  </r>
  <r>
    <x v="7"/>
    <n v="2600"/>
    <n v="4"/>
    <s v="Av. Goiás Norte, 3.592 - quadra 2.1 - St. Mal. Rondon, Goiânia - GO, 74063-010"/>
    <x v="4"/>
    <s v="FABIO RAMOS"/>
    <x v="0"/>
    <n v="59"/>
    <x v="1"/>
    <n v="10400"/>
    <d v="2021-12-17T00:00:00"/>
    <x v="2"/>
    <x v="8"/>
  </r>
  <r>
    <x v="18"/>
    <n v="2500"/>
    <n v="5"/>
    <s v="Rua Quinze de Novembro, 8 - Loja 301a Loja 301b - Centro, Niterói - RJ, 24020-125"/>
    <x v="1"/>
    <s v="BRUNO SALOMÃO"/>
    <x v="0"/>
    <n v="53"/>
    <x v="1"/>
    <n v="12500"/>
    <d v="2021-11-20T00:00:00"/>
    <x v="2"/>
    <x v="10"/>
  </r>
  <r>
    <x v="1"/>
    <n v="1400"/>
    <n v="1"/>
    <s v="Shopping Barra - Av. Centenário, 2992 - Barra, Salvador - BA, 40155-150"/>
    <x v="5"/>
    <s v="MATHEUS GOMES"/>
    <x v="0"/>
    <n v="63"/>
    <x v="1"/>
    <n v="1400"/>
    <d v="2021-05-22T00:00:00"/>
    <x v="2"/>
    <x v="11"/>
  </r>
  <r>
    <x v="12"/>
    <n v="1500"/>
    <n v="2"/>
    <s v="R. Dr. Antônio Castro Prado, 422 - Vila Rossi e Borchi, Campinas - SP, 13076-130"/>
    <x v="0"/>
    <s v="BRENNO SANTOS"/>
    <x v="0"/>
    <n v="71"/>
    <x v="1"/>
    <n v="3000"/>
    <d v="2021-01-12T00:00:00"/>
    <x v="2"/>
    <x v="5"/>
  </r>
  <r>
    <x v="14"/>
    <n v="1500"/>
    <n v="4"/>
    <s v="Shopping Barra - Av. Centenário, 2992 - Barra, Salvador - BA, 40155-150"/>
    <x v="5"/>
    <s v="GUILHERME CASTILHO"/>
    <x v="0"/>
    <n v="55"/>
    <x v="1"/>
    <n v="6000"/>
    <d v="2021-01-23T00:00:00"/>
    <x v="2"/>
    <x v="5"/>
  </r>
  <r>
    <x v="10"/>
    <n v="750"/>
    <n v="5"/>
    <s v="Av. Goiás Norte, 3.592 - quadra 2.1 - St. Mal. Rondon, Goiânia - GO, 74063-010"/>
    <x v="4"/>
    <s v="WILLIAN ALBINO"/>
    <x v="0"/>
    <n v="27"/>
    <x v="2"/>
    <n v="3750"/>
    <d v="2021-10-26T00:00:00"/>
    <x v="2"/>
    <x v="6"/>
  </r>
  <r>
    <x v="19"/>
    <n v="1750"/>
    <n v="2"/>
    <s v="Rua Quinze de Novembro, 8 - Loja 301a Loja 301b - Centro, Niterói - RJ, 24020-125"/>
    <x v="1"/>
    <s v="ANA CAMPOS"/>
    <x v="1"/>
    <n v="30"/>
    <x v="0"/>
    <n v="3500"/>
    <d v="2021-08-02T00:00:00"/>
    <x v="2"/>
    <x v="7"/>
  </r>
  <r>
    <x v="11"/>
    <n v="2000"/>
    <n v="3"/>
    <s v="Av. Dom Luís, 500 - Aldeota, Fortaleza - CE, 60160-230"/>
    <x v="2"/>
    <s v="RAUL SILVEIRA"/>
    <x v="0"/>
    <n v="70"/>
    <x v="1"/>
    <n v="6000"/>
    <d v="2021-02-13T00:00:00"/>
    <x v="2"/>
    <x v="4"/>
  </r>
  <r>
    <x v="18"/>
    <n v="2500"/>
    <n v="1"/>
    <s v="Av. Mal. Floriano Peixoto, 2248-2258 - Centro, Nova Iguaçu - RJ, 26210-000"/>
    <x v="1"/>
    <s v="CARLOS BARBOSA"/>
    <x v="0"/>
    <n v="43"/>
    <x v="0"/>
    <n v="2500"/>
    <d v="2021-02-02T00:00:00"/>
    <x v="2"/>
    <x v="4"/>
  </r>
  <r>
    <x v="9"/>
    <n v="2000"/>
    <n v="2"/>
    <s v="Shopping Barra - Av. Centenário, 2992 - Barra, Salvador - BA, 40155-150"/>
    <x v="5"/>
    <s v="RAISSA SALES"/>
    <x v="1"/>
    <n v="46"/>
    <x v="0"/>
    <n v="4000"/>
    <d v="2021-08-04T00:00:00"/>
    <x v="2"/>
    <x v="7"/>
  </r>
  <r>
    <x v="8"/>
    <n v="1400"/>
    <n v="1"/>
    <s v="Rua Quinze de Novembro, 8 - Loja 301a Loja 301b - Centro, Niterói - RJ, 24020-125"/>
    <x v="1"/>
    <s v="CARLOS SOUZA"/>
    <x v="0"/>
    <n v="39"/>
    <x v="0"/>
    <n v="1400"/>
    <d v="2021-03-12T00:00:00"/>
    <x v="2"/>
    <x v="9"/>
  </r>
  <r>
    <x v="17"/>
    <n v="2300"/>
    <n v="3"/>
    <s v="Av. Dom Luís, 500 - Aldeota, Fortaleza - CE, 60160-230"/>
    <x v="2"/>
    <s v="PRISCILA CARVALHO"/>
    <x v="1"/>
    <n v="42"/>
    <x v="0"/>
    <n v="6900"/>
    <d v="2021-09-11T00:00:00"/>
    <x v="2"/>
    <x v="1"/>
  </r>
  <r>
    <x v="3"/>
    <n v="1500"/>
    <n v="4"/>
    <s v="R. Dr. Antônio Castro Prado, 422 - Vila Rossi e Borchi, Campinas - SP, 13076-130"/>
    <x v="0"/>
    <s v="ALON PESTANA"/>
    <x v="0"/>
    <n v="26"/>
    <x v="2"/>
    <n v="6000"/>
    <d v="2021-08-16T00:00:00"/>
    <x v="2"/>
    <x v="7"/>
  </r>
  <r>
    <x v="17"/>
    <n v="2300"/>
    <n v="4"/>
    <s v="Av. Barão Homem de Melo, 1389 - Nova Granada, Belo Horizonte - MG, 30431-425"/>
    <x v="7"/>
    <s v="GUILHERME VIANNA"/>
    <x v="0"/>
    <n v="35"/>
    <x v="0"/>
    <n v="9200"/>
    <d v="2021-07-11T00:00:00"/>
    <x v="2"/>
    <x v="0"/>
  </r>
  <r>
    <x v="4"/>
    <n v="700"/>
    <n v="1"/>
    <s v="Av. Goiás Norte, 3.592 - quadra 2.1 - St. Mal. Rondon, Goiânia - GO, 74063-010"/>
    <x v="4"/>
    <s v="BRENO GODOY"/>
    <x v="0"/>
    <n v="25"/>
    <x v="2"/>
    <n v="700"/>
    <d v="2021-07-19T00:00:00"/>
    <x v="2"/>
    <x v="0"/>
  </r>
  <r>
    <x v="1"/>
    <n v="1400"/>
    <n v="5"/>
    <s v="R. Luíz Faccini, 212 - Centro, Guarulhos - SP, 07110-000"/>
    <x v="0"/>
    <s v="MATHEUS MORAES"/>
    <x v="0"/>
    <n v="72"/>
    <x v="1"/>
    <n v="7000"/>
    <d v="2021-05-07T00:00:00"/>
    <x v="2"/>
    <x v="11"/>
  </r>
  <r>
    <x v="10"/>
    <n v="750"/>
    <n v="5"/>
    <s v="Av. Borges de Medeiros, 3120 - Praia de Belas, Porto Alegre - RS, 90110-150"/>
    <x v="8"/>
    <s v="KHAIO MESQUITA"/>
    <x v="0"/>
    <n v="58"/>
    <x v="1"/>
    <n v="3750"/>
    <d v="2021-10-30T00:00:00"/>
    <x v="2"/>
    <x v="6"/>
  </r>
  <r>
    <x v="5"/>
    <n v="1450"/>
    <n v="2"/>
    <s v="Av. Mal. Floriano Peixoto, 2248-2258 - Centro, Nova Iguaçu - RJ, 26210-000"/>
    <x v="1"/>
    <s v="ERICK SOARES"/>
    <x v="0"/>
    <n v="36"/>
    <x v="0"/>
    <n v="2900"/>
    <d v="2021-10-14T00:00:00"/>
    <x v="2"/>
    <x v="6"/>
  </r>
  <r>
    <x v="11"/>
    <n v="2000"/>
    <n v="3"/>
    <s v="Av. Dom Luís, 500 - Aldeota, Fortaleza - CE, 60160-230"/>
    <x v="2"/>
    <s v="LUCAS VILLANOVA"/>
    <x v="0"/>
    <n v="31"/>
    <x v="0"/>
    <n v="6000"/>
    <d v="2021-05-28T00:00:00"/>
    <x v="2"/>
    <x v="11"/>
  </r>
  <r>
    <x v="22"/>
    <n v="2400"/>
    <n v="5"/>
    <s v="Shopping Barra - Av. Centenário, 2992 - Barra, Salvador - BA, 40155-150"/>
    <x v="5"/>
    <s v="BRUNO TEMPORAL"/>
    <x v="0"/>
    <n v="60"/>
    <x v="1"/>
    <n v="12000"/>
    <d v="2021-12-23T00:00:00"/>
    <x v="2"/>
    <x v="8"/>
  </r>
  <r>
    <x v="10"/>
    <n v="750"/>
    <n v="5"/>
    <s v="Av. Goiás Norte, 3.592 - quadra 2.1 - St. Mal. Rondon, Goiânia - GO, 74063-010"/>
    <x v="4"/>
    <s v="EDUARDO SOARES"/>
    <x v="0"/>
    <n v="60"/>
    <x v="1"/>
    <n v="3750"/>
    <d v="2021-07-12T00:00:00"/>
    <x v="2"/>
    <x v="0"/>
  </r>
  <r>
    <x v="6"/>
    <n v="6500"/>
    <n v="5"/>
    <s v="R. Brasílio Itiberê, 3279 - Água Verde, Curitiba - PR, 80250-160"/>
    <x v="3"/>
    <s v="CATARINA TEIXEIRA"/>
    <x v="1"/>
    <n v="54"/>
    <x v="1"/>
    <n v="32500"/>
    <d v="2021-08-12T00:00:00"/>
    <x v="2"/>
    <x v="7"/>
  </r>
  <r>
    <x v="22"/>
    <n v="2400"/>
    <n v="3"/>
    <s v="Av. Borges de Medeiros, 3120 - Praia de Belas, Porto Alegre - RS, 90110-150"/>
    <x v="8"/>
    <s v="BRUNA SILVEIRA"/>
    <x v="1"/>
    <n v="70"/>
    <x v="1"/>
    <n v="7200"/>
    <d v="2021-08-12T00:00:00"/>
    <x v="2"/>
    <x v="7"/>
  </r>
  <r>
    <x v="21"/>
    <n v="5200"/>
    <n v="3"/>
    <s v="R. Luíz Faccini, 212 - Centro, Guarulhos - SP, 07110-000"/>
    <x v="0"/>
    <s v="ROBERTA PIMENTA"/>
    <x v="1"/>
    <n v="56"/>
    <x v="1"/>
    <n v="15600"/>
    <d v="2021-01-28T00:00:00"/>
    <x v="2"/>
    <x v="5"/>
  </r>
  <r>
    <x v="22"/>
    <n v="2400"/>
    <n v="3"/>
    <s v="R. Teodoro Sampaio, 954 - Pinheiros, São Paulo - SP, 05406-050"/>
    <x v="0"/>
    <s v="LUCAS MACHADO"/>
    <x v="0"/>
    <n v="49"/>
    <x v="0"/>
    <n v="7200"/>
    <d v="2021-09-13T00:00:00"/>
    <x v="2"/>
    <x v="1"/>
  </r>
  <r>
    <x v="3"/>
    <n v="1500"/>
    <n v="4"/>
    <s v="R. Visc. de Pirajá, 136 - Ipanema, Rio de Janeiro - RJ, 22410-000"/>
    <x v="1"/>
    <s v="JOAO SILVA"/>
    <x v="0"/>
    <n v="28"/>
    <x v="2"/>
    <n v="6000"/>
    <d v="2021-11-17T00:00:00"/>
    <x v="2"/>
    <x v="10"/>
  </r>
  <r>
    <x v="6"/>
    <n v="6500"/>
    <n v="4"/>
    <s v="Av. Mal. Floriano Peixoto, 2248-2258 - Centro, Nova Iguaçu - RJ, 26210-000"/>
    <x v="1"/>
    <s v="GABRIELA ALIANI"/>
    <x v="1"/>
    <n v="64"/>
    <x v="1"/>
    <n v="26000"/>
    <d v="2021-08-20T00:00:00"/>
    <x v="2"/>
    <x v="7"/>
  </r>
  <r>
    <x v="6"/>
    <n v="6500"/>
    <n v="2"/>
    <s v="Av. Mal. Floriano Peixoto, 2248-2258 - Centro, Nova Iguaçu - RJ, 26210-000"/>
    <x v="1"/>
    <s v="ANA MONTE"/>
    <x v="1"/>
    <n v="63"/>
    <x v="1"/>
    <n v="13000"/>
    <d v="2021-01-25T00:00:00"/>
    <x v="2"/>
    <x v="5"/>
  </r>
  <r>
    <x v="0"/>
    <n v="4500"/>
    <n v="4"/>
    <s v="Rua Quinze de Novembro, 8 - Loja 301a Loja 301b - Centro, Niterói - RJ, 24020-125"/>
    <x v="1"/>
    <s v="CLARISSA SANTOS"/>
    <x v="1"/>
    <n v="71"/>
    <x v="1"/>
    <n v="18000"/>
    <d v="2021-11-02T00:00:00"/>
    <x v="2"/>
    <x v="10"/>
  </r>
  <r>
    <x v="8"/>
    <n v="1400"/>
    <n v="1"/>
    <s v="R. Dr. Antônio Castro Prado, 422 - Vila Rossi e Borchi, Campinas - SP, 13076-130"/>
    <x v="0"/>
    <s v="CAROLINA CARNEIRO"/>
    <x v="1"/>
    <n v="37"/>
    <x v="0"/>
    <n v="1400"/>
    <d v="2021-12-31T00:00:00"/>
    <x v="2"/>
    <x v="8"/>
  </r>
  <r>
    <x v="19"/>
    <n v="1750"/>
    <n v="5"/>
    <s v="R. Luíz Faccini, 212 - Centro, Guarulhos - SP, 07110-000"/>
    <x v="0"/>
    <s v="FELIPE CAVALCANTI"/>
    <x v="0"/>
    <n v="30"/>
    <x v="0"/>
    <n v="8750"/>
    <d v="2021-07-22T00:00:00"/>
    <x v="2"/>
    <x v="0"/>
  </r>
  <r>
    <x v="6"/>
    <n v="6500"/>
    <n v="5"/>
    <s v="Av. Dom Luís, 500 - Aldeota, Fortaleza - CE, 60160-230"/>
    <x v="2"/>
    <s v="RAUL SILVEIRA"/>
    <x v="0"/>
    <n v="70"/>
    <x v="1"/>
    <n v="32500"/>
    <d v="2021-04-19T00:00:00"/>
    <x v="2"/>
    <x v="2"/>
  </r>
  <r>
    <x v="17"/>
    <n v="2300"/>
    <n v="3"/>
    <s v="R. Luíz Faccini, 212 - Centro, Guarulhos - SP, 07110-000"/>
    <x v="0"/>
    <s v="MICHELLE PEREIRA"/>
    <x v="1"/>
    <n v="55"/>
    <x v="1"/>
    <n v="6900"/>
    <d v="2021-05-02T00:00:00"/>
    <x v="2"/>
    <x v="11"/>
  </r>
  <r>
    <x v="0"/>
    <n v="4500"/>
    <n v="2"/>
    <s v="Rua Quinze de Novembro, 8 - Loja 301a Loja 301b - Centro, Niterói - RJ, 24020-125"/>
    <x v="1"/>
    <s v="VITOR ARRUDA"/>
    <x v="0"/>
    <n v="31"/>
    <x v="0"/>
    <n v="9000"/>
    <d v="2021-10-12T00:00:00"/>
    <x v="2"/>
    <x v="6"/>
  </r>
  <r>
    <x v="9"/>
    <n v="2000"/>
    <n v="2"/>
    <s v="Av. Goiás Norte, 3.592 - quadra 2.1 - St. Mal. Rondon, Goiânia - GO, 74063-010"/>
    <x v="4"/>
    <s v="YASMIM BITTENCOURT"/>
    <x v="1"/>
    <n v="55"/>
    <x v="1"/>
    <n v="4000"/>
    <d v="2021-09-08T00:00:00"/>
    <x v="2"/>
    <x v="1"/>
  </r>
  <r>
    <x v="20"/>
    <n v="5500"/>
    <n v="4"/>
    <s v="Av. Mal. Floriano Peixoto, 2248-2258 - Centro, Nova Iguaçu - RJ, 26210-000"/>
    <x v="1"/>
    <s v="NATALIA GUEDES"/>
    <x v="1"/>
    <n v="71"/>
    <x v="1"/>
    <n v="22000"/>
    <d v="2021-11-16T00:00:00"/>
    <x v="2"/>
    <x v="10"/>
  </r>
  <r>
    <x v="12"/>
    <n v="1500"/>
    <n v="3"/>
    <s v="R. Brasílio Itiberê, 3279 - Água Verde, Curitiba - PR, 80250-160"/>
    <x v="3"/>
    <s v="PATRÍCIA AMARAL"/>
    <x v="1"/>
    <n v="35"/>
    <x v="0"/>
    <n v="4500"/>
    <d v="2021-08-01T00:00:00"/>
    <x v="2"/>
    <x v="7"/>
  </r>
  <r>
    <x v="6"/>
    <n v="6500"/>
    <n v="4"/>
    <s v="R. Luíz Faccini, 212 - Centro, Guarulhos - SP, 07110-000"/>
    <x v="0"/>
    <s v="DAVID CAMPELO"/>
    <x v="0"/>
    <n v="29"/>
    <x v="2"/>
    <n v="26000"/>
    <d v="2021-12-24T00:00:00"/>
    <x v="2"/>
    <x v="8"/>
  </r>
  <r>
    <x v="10"/>
    <n v="750"/>
    <n v="5"/>
    <s v="R. Luíz Faccini, 212 - Centro, Guarulhos - SP, 07110-000"/>
    <x v="0"/>
    <s v="WENDELA MARIZ"/>
    <x v="1"/>
    <n v="54"/>
    <x v="1"/>
    <n v="3750"/>
    <d v="2021-11-05T00:00:00"/>
    <x v="2"/>
    <x v="10"/>
  </r>
  <r>
    <x v="22"/>
    <n v="2400"/>
    <n v="3"/>
    <s v="R. Dr. Antônio Castro Prado, 422 - Vila Rossi e Borchi, Campinas - SP, 13076-130"/>
    <x v="0"/>
    <s v="ALON PESTANA"/>
    <x v="0"/>
    <n v="26"/>
    <x v="2"/>
    <n v="7200"/>
    <d v="2021-12-08T00:00:00"/>
    <x v="2"/>
    <x v="8"/>
  </r>
  <r>
    <x v="9"/>
    <n v="2000"/>
    <n v="4"/>
    <s v="Rua Quinze de Novembro, 8 - Loja 301a Loja 301b - Centro, Niterói - RJ, 24020-125"/>
    <x v="1"/>
    <s v="VICTOR OLIVEIRA"/>
    <x v="0"/>
    <n v="73"/>
    <x v="1"/>
    <n v="8000"/>
    <d v="2021-11-26T00:00:00"/>
    <x v="2"/>
    <x v="10"/>
  </r>
  <r>
    <x v="10"/>
    <n v="750"/>
    <n v="3"/>
    <s v="Av. Mal. Floriano Peixoto, 2248-2258 - Centro, Nova Iguaçu - RJ, 26210-000"/>
    <x v="1"/>
    <s v="MANUELA MEREGE"/>
    <x v="1"/>
    <n v="25"/>
    <x v="2"/>
    <n v="2250"/>
    <d v="2021-03-18T00:00:00"/>
    <x v="2"/>
    <x v="9"/>
  </r>
  <r>
    <x v="11"/>
    <n v="2000"/>
    <n v="2"/>
    <s v="Shopping Barra - Av. Centenário, 2992 - Barra, Salvador - BA, 40155-150"/>
    <x v="5"/>
    <s v="CASSIO FARIA"/>
    <x v="0"/>
    <n v="62"/>
    <x v="1"/>
    <n v="4000"/>
    <d v="2021-08-03T00:00:00"/>
    <x v="2"/>
    <x v="7"/>
  </r>
  <r>
    <x v="1"/>
    <n v="1400"/>
    <n v="1"/>
    <s v="Av. Dom Luís, 500 - Aldeota, Fortaleza - CE, 60160-230"/>
    <x v="2"/>
    <s v="MARCELO GUADAGNINO"/>
    <x v="0"/>
    <n v="37"/>
    <x v="0"/>
    <n v="1400"/>
    <d v="2021-12-17T00:00:00"/>
    <x v="2"/>
    <x v="8"/>
  </r>
  <r>
    <x v="23"/>
    <n v="1100"/>
    <n v="2"/>
    <s v="Av. Borges de Medeiros, 3120 - Praia de Belas, Porto Alegre - RS, 90110-150"/>
    <x v="8"/>
    <s v="VITTORIO FREITAS"/>
    <x v="0"/>
    <n v="72"/>
    <x v="1"/>
    <n v="2200"/>
    <d v="2021-09-27T00:00:00"/>
    <x v="2"/>
    <x v="1"/>
  </r>
  <r>
    <x v="4"/>
    <n v="700"/>
    <n v="3"/>
    <s v="Av. Goiás Norte, 3.592 - quadra 2.1 - St. Mal. Rondon, Goiânia - GO, 74063-010"/>
    <x v="4"/>
    <s v="ARTHUR SOUZA"/>
    <x v="0"/>
    <n v="45"/>
    <x v="0"/>
    <n v="2100"/>
    <d v="2021-03-25T00:00:00"/>
    <x v="2"/>
    <x v="9"/>
  </r>
  <r>
    <x v="15"/>
    <n v="3000"/>
    <n v="2"/>
    <s v="Av. Goiás Norte, 3.592 - quadra 2.1 - St. Mal. Rondon, Goiânia - GO, 74063-010"/>
    <x v="4"/>
    <s v="BERNARDO BORGES"/>
    <x v="0"/>
    <n v="71"/>
    <x v="1"/>
    <n v="6000"/>
    <d v="2021-03-30T00:00:00"/>
    <x v="2"/>
    <x v="9"/>
  </r>
  <r>
    <x v="20"/>
    <n v="5500"/>
    <n v="1"/>
    <s v="R. Luíz Faccini, 212 - Centro, Guarulhos - SP, 07110-000"/>
    <x v="0"/>
    <s v="LUIZ LIMP"/>
    <x v="0"/>
    <n v="44"/>
    <x v="0"/>
    <n v="5500"/>
    <d v="2021-09-06T00:00:00"/>
    <x v="2"/>
    <x v="1"/>
  </r>
  <r>
    <x v="4"/>
    <n v="700"/>
    <n v="4"/>
    <s v="R. Brasílio Itiberê, 3279 - Água Verde, Curitiba - PR, 80250-160"/>
    <x v="3"/>
    <s v="DANIEL NAUENBERG"/>
    <x v="0"/>
    <n v="36"/>
    <x v="0"/>
    <n v="2800"/>
    <d v="2021-04-25T00:00:00"/>
    <x v="2"/>
    <x v="2"/>
  </r>
  <r>
    <x v="7"/>
    <n v="2600"/>
    <n v="2"/>
    <s v="R. Luíz Faccini, 212 - Centro, Guarulhos - SP, 07110-000"/>
    <x v="0"/>
    <s v="AMANDA BRAGA"/>
    <x v="1"/>
    <n v="71"/>
    <x v="1"/>
    <n v="5200"/>
    <d v="2021-10-14T00:00:00"/>
    <x v="2"/>
    <x v="6"/>
  </r>
  <r>
    <x v="18"/>
    <n v="2500"/>
    <n v="3"/>
    <s v="R. Teodoro Sampaio, 954 - Pinheiros, São Paulo - SP, 05406-050"/>
    <x v="0"/>
    <s v="LUCAS COSTA"/>
    <x v="0"/>
    <n v="75"/>
    <x v="1"/>
    <n v="7500"/>
    <d v="2021-10-15T00:00:00"/>
    <x v="2"/>
    <x v="6"/>
  </r>
  <r>
    <x v="15"/>
    <n v="3000"/>
    <n v="3"/>
    <s v="R. Brasílio Itiberê, 3279 - Água Verde, Curitiba - PR, 80250-160"/>
    <x v="3"/>
    <s v="ANA GOMES"/>
    <x v="1"/>
    <n v="64"/>
    <x v="1"/>
    <n v="9000"/>
    <d v="2021-01-30T00:00:00"/>
    <x v="2"/>
    <x v="5"/>
  </r>
  <r>
    <x v="20"/>
    <n v="5500"/>
    <n v="3"/>
    <s v="R. Brasílio Itiberê, 3279 - Água Verde, Curitiba - PR, 80250-160"/>
    <x v="3"/>
    <s v="FELIPE MENDONÇA"/>
    <x v="0"/>
    <n v="75"/>
    <x v="1"/>
    <n v="16500"/>
    <d v="2021-02-23T00:00:00"/>
    <x v="2"/>
    <x v="4"/>
  </r>
  <r>
    <x v="9"/>
    <n v="2000"/>
    <n v="3"/>
    <s v="R. Teodoro Sampaio, 954 - Pinheiros, São Paulo - SP, 05406-050"/>
    <x v="0"/>
    <s v="GUILHERME MARCHESI"/>
    <x v="0"/>
    <n v="39"/>
    <x v="0"/>
    <n v="6000"/>
    <d v="2021-06-08T00:00:00"/>
    <x v="2"/>
    <x v="3"/>
  </r>
  <r>
    <x v="9"/>
    <n v="2000"/>
    <n v="2"/>
    <s v="R. Teodoro Sampaio, 954 - Pinheiros, São Paulo - SP, 05406-050"/>
    <x v="0"/>
    <s v="MARINA MESQUITA"/>
    <x v="1"/>
    <n v="40"/>
    <x v="0"/>
    <n v="4000"/>
    <d v="2021-11-27T00:00:00"/>
    <x v="2"/>
    <x v="10"/>
  </r>
  <r>
    <x v="11"/>
    <n v="2000"/>
    <n v="3"/>
    <s v="Av. Borges de Medeiros, 3120 - Praia de Belas, Porto Alegre - RS, 90110-150"/>
    <x v="8"/>
    <s v="JOÃO MENEZES"/>
    <x v="0"/>
    <n v="52"/>
    <x v="1"/>
    <n v="6000"/>
    <d v="2021-07-04T00:00:00"/>
    <x v="2"/>
    <x v="0"/>
  </r>
  <r>
    <x v="8"/>
    <n v="1400"/>
    <n v="1"/>
    <s v="Shopping Barra - Av. Centenário, 2992 - Barra, Salvador - BA, 40155-150"/>
    <x v="5"/>
    <s v="RAISSA MAIA"/>
    <x v="1"/>
    <n v="38"/>
    <x v="0"/>
    <n v="1400"/>
    <d v="2021-02-13T00:00:00"/>
    <x v="2"/>
    <x v="4"/>
  </r>
  <r>
    <x v="13"/>
    <n v="1550"/>
    <n v="1"/>
    <s v="Rua Quinze de Novembro, 8 - Loja 301a Loja 301b - Centro, Niterói - RJ, 24020-125"/>
    <x v="1"/>
    <s v="CAMILLE SILVA"/>
    <x v="1"/>
    <n v="73"/>
    <x v="1"/>
    <n v="1550"/>
    <d v="2021-12-22T00:00:00"/>
    <x v="2"/>
    <x v="8"/>
  </r>
  <r>
    <x v="2"/>
    <n v="1900"/>
    <n v="1"/>
    <s v="Av. Mal. Floriano Peixoto, 2248-2258 - Centro, Nova Iguaçu - RJ, 26210-000"/>
    <x v="1"/>
    <s v="JÔNATAS SOARES"/>
    <x v="0"/>
    <n v="56"/>
    <x v="1"/>
    <n v="1900"/>
    <d v="2021-08-04T00:00:00"/>
    <x v="2"/>
    <x v="7"/>
  </r>
  <r>
    <x v="15"/>
    <n v="3000"/>
    <n v="1"/>
    <s v="Rua Antônio Lumack do Monte, 203 - 1 - Boa Viagem, Recife - PE, 51020-350"/>
    <x v="6"/>
    <s v="GABRIELLE FIGUEIREDO"/>
    <x v="1"/>
    <n v="49"/>
    <x v="0"/>
    <n v="3000"/>
    <d v="2021-01-01T00:00:00"/>
    <x v="2"/>
    <x v="5"/>
  </r>
  <r>
    <x v="16"/>
    <n v="1200"/>
    <n v="5"/>
    <s v="Av. Goiás Norte, 3.592 - quadra 2.1 - St. Mal. Rondon, Goiânia - GO, 74063-010"/>
    <x v="4"/>
    <s v="GIOVANNA SANTOS"/>
    <x v="1"/>
    <n v="28"/>
    <x v="2"/>
    <n v="6000"/>
    <d v="2021-01-15T00:00:00"/>
    <x v="2"/>
    <x v="5"/>
  </r>
  <r>
    <x v="6"/>
    <n v="6500"/>
    <n v="3"/>
    <s v="R. Luíz Faccini, 212 - Centro, Guarulhos - SP, 07110-000"/>
    <x v="0"/>
    <s v="MATHEUS TOSTES"/>
    <x v="0"/>
    <n v="49"/>
    <x v="0"/>
    <n v="19500"/>
    <d v="2021-01-31T00:00:00"/>
    <x v="2"/>
    <x v="5"/>
  </r>
  <r>
    <x v="1"/>
    <n v="1400"/>
    <n v="1"/>
    <s v="R. Dr. Antônio Castro Prado, 422 - Vila Rossi e Borchi, Campinas - SP, 13076-130"/>
    <x v="0"/>
    <s v="HELENA CHAFIN"/>
    <x v="1"/>
    <n v="45"/>
    <x v="0"/>
    <n v="1400"/>
    <d v="2021-04-26T00:00:00"/>
    <x v="2"/>
    <x v="2"/>
  </r>
  <r>
    <x v="5"/>
    <n v="1450"/>
    <n v="3"/>
    <s v="Rua Antônio Lumack do Monte, 203 - 1 - Boa Viagem, Recife - PE, 51020-350"/>
    <x v="6"/>
    <s v="FERNANDA SILVA"/>
    <x v="1"/>
    <n v="39"/>
    <x v="0"/>
    <n v="4350"/>
    <d v="2021-05-23T00:00:00"/>
    <x v="2"/>
    <x v="11"/>
  </r>
  <r>
    <x v="0"/>
    <n v="4500"/>
    <n v="4"/>
    <s v="Av. Borges de Medeiros, 3120 - Praia de Belas, Porto Alegre - RS, 90110-150"/>
    <x v="8"/>
    <s v="VICTOR SOARES"/>
    <x v="0"/>
    <n v="34"/>
    <x v="0"/>
    <n v="18000"/>
    <d v="2021-10-17T00:00:00"/>
    <x v="2"/>
    <x v="6"/>
  </r>
  <r>
    <x v="13"/>
    <n v="1550"/>
    <n v="4"/>
    <s v="Av. Goiás Norte, 3.592 - quadra 2.1 - St. Mal. Rondon, Goiânia - GO, 74063-010"/>
    <x v="4"/>
    <s v="ERIC JÚNIOR"/>
    <x v="0"/>
    <n v="37"/>
    <x v="0"/>
    <n v="6200"/>
    <d v="2021-01-19T00:00:00"/>
    <x v="2"/>
    <x v="5"/>
  </r>
  <r>
    <x v="5"/>
    <n v="1450"/>
    <n v="3"/>
    <s v="Rua Antônio Lumack do Monte, 203 - 1 - Boa Viagem, Recife - PE, 51020-350"/>
    <x v="6"/>
    <s v="RAÍSA RODRIGUES"/>
    <x v="1"/>
    <n v="68"/>
    <x v="1"/>
    <n v="4350"/>
    <d v="2021-06-29T00:00:00"/>
    <x v="2"/>
    <x v="3"/>
  </r>
  <r>
    <x v="11"/>
    <n v="2000"/>
    <n v="5"/>
    <s v="R. Luíz Faccini, 212 - Centro, Guarulhos - SP, 07110-000"/>
    <x v="0"/>
    <s v="BEATRIZ PERDOMO"/>
    <x v="1"/>
    <n v="50"/>
    <x v="0"/>
    <n v="10000"/>
    <d v="2021-09-29T00:00:00"/>
    <x v="2"/>
    <x v="1"/>
  </r>
  <r>
    <x v="4"/>
    <n v="700"/>
    <n v="5"/>
    <s v="Av. Mal. Floriano Peixoto, 2248-2258 - Centro, Nova Iguaçu - RJ, 26210-000"/>
    <x v="1"/>
    <s v="JOÃO TABET"/>
    <x v="0"/>
    <n v="44"/>
    <x v="0"/>
    <n v="3500"/>
    <d v="2021-06-28T00:00:00"/>
    <x v="2"/>
    <x v="3"/>
  </r>
  <r>
    <x v="20"/>
    <n v="5500"/>
    <n v="4"/>
    <s v="R. Luíz Faccini, 212 - Centro, Guarulhos - SP, 07110-000"/>
    <x v="0"/>
    <s v="RAPHAEL FERMAN"/>
    <x v="0"/>
    <n v="55"/>
    <x v="1"/>
    <n v="22000"/>
    <d v="2021-11-15T00:00:00"/>
    <x v="2"/>
    <x v="10"/>
  </r>
  <r>
    <x v="17"/>
    <n v="2300"/>
    <n v="2"/>
    <s v="Av. Barão Homem de Melo, 1389 - Nova Granada, Belo Horizonte - MG, 30431-425"/>
    <x v="7"/>
    <s v="PEDRO OLIVEIRA"/>
    <x v="0"/>
    <n v="32"/>
    <x v="0"/>
    <n v="4600"/>
    <d v="2021-04-28T00:00:00"/>
    <x v="2"/>
    <x v="2"/>
  </r>
  <r>
    <x v="12"/>
    <n v="1500"/>
    <n v="4"/>
    <s v="R. Luíz Faccini, 212 - Centro, Guarulhos - SP, 07110-000"/>
    <x v="0"/>
    <s v="LÍVIA TANAKA"/>
    <x v="1"/>
    <n v="48"/>
    <x v="0"/>
    <n v="6000"/>
    <d v="2021-10-03T00:00:00"/>
    <x v="2"/>
    <x v="6"/>
  </r>
  <r>
    <x v="14"/>
    <n v="1500"/>
    <n v="2"/>
    <s v="Av. Goiás Norte, 3.592 - quadra 2.1 - St. Mal. Rondon, Goiânia - GO, 74063-010"/>
    <x v="4"/>
    <s v="MAYARA SOARES"/>
    <x v="1"/>
    <n v="57"/>
    <x v="1"/>
    <n v="3000"/>
    <d v="2021-10-10T00:00:00"/>
    <x v="2"/>
    <x v="6"/>
  </r>
  <r>
    <x v="1"/>
    <n v="1400"/>
    <n v="2"/>
    <s v="R. Teodoro Sampaio, 954 - Pinheiros, São Paulo - SP, 05406-050"/>
    <x v="0"/>
    <s v="JOÃO ARAUJO"/>
    <x v="0"/>
    <n v="36"/>
    <x v="0"/>
    <n v="2800"/>
    <d v="2021-08-30T00:00:00"/>
    <x v="2"/>
    <x v="7"/>
  </r>
  <r>
    <x v="10"/>
    <n v="750"/>
    <n v="2"/>
    <s v="Av. Barão Homem de Melo, 1389 - Nova Granada, Belo Horizonte - MG, 30431-425"/>
    <x v="7"/>
    <s v="RUAN LOPES"/>
    <x v="0"/>
    <n v="26"/>
    <x v="2"/>
    <n v="1500"/>
    <d v="2021-11-23T00:00:00"/>
    <x v="2"/>
    <x v="10"/>
  </r>
  <r>
    <x v="15"/>
    <n v="3000"/>
    <n v="2"/>
    <s v="R. Teodoro Sampaio, 954 - Pinheiros, São Paulo - SP, 05406-050"/>
    <x v="0"/>
    <s v="LENON FERNANDES"/>
    <x v="0"/>
    <n v="50"/>
    <x v="0"/>
    <n v="6000"/>
    <d v="2021-10-28T00:00:00"/>
    <x v="2"/>
    <x v="6"/>
  </r>
  <r>
    <x v="3"/>
    <n v="1500"/>
    <n v="2"/>
    <s v="Rua Quinze de Novembro, 8 - Loja 301a Loja 301b - Centro, Niterói - RJ, 24020-125"/>
    <x v="1"/>
    <s v="SYLVIO BERNHARDT"/>
    <x v="0"/>
    <n v="47"/>
    <x v="0"/>
    <n v="3000"/>
    <d v="2021-05-10T00:00:00"/>
    <x v="2"/>
    <x v="11"/>
  </r>
  <r>
    <x v="15"/>
    <n v="3000"/>
    <n v="1"/>
    <s v="Av. Mal. Floriano Peixoto, 2248-2258 - Centro, Nova Iguaçu - RJ, 26210-000"/>
    <x v="1"/>
    <s v="BÁRBARA LIMA"/>
    <x v="0"/>
    <n v="64"/>
    <x v="1"/>
    <n v="3000"/>
    <d v="2021-04-09T00:00:00"/>
    <x v="2"/>
    <x v="2"/>
  </r>
  <r>
    <x v="19"/>
    <n v="1750"/>
    <n v="2"/>
    <s v="Av. Mal. Floriano Peixoto, 2248-2258 - Centro, Nova Iguaçu - RJ, 26210-000"/>
    <x v="1"/>
    <s v="HELVIO PEDROSA"/>
    <x v="0"/>
    <n v="59"/>
    <x v="1"/>
    <n v="3500"/>
    <d v="2021-06-27T00:00:00"/>
    <x v="2"/>
    <x v="3"/>
  </r>
  <r>
    <x v="16"/>
    <n v="1200"/>
    <n v="1"/>
    <s v="Rua Antônio Lumack do Monte, 203 - 1 - Boa Viagem, Recife - PE, 51020-350"/>
    <x v="6"/>
    <s v="MÔNICA ROTOLO"/>
    <x v="1"/>
    <n v="44"/>
    <x v="0"/>
    <n v="1200"/>
    <d v="2021-11-28T00:00:00"/>
    <x v="2"/>
    <x v="10"/>
  </r>
  <r>
    <x v="6"/>
    <n v="6500"/>
    <n v="4"/>
    <s v="Shopping Barra - Av. Centenário, 2992 - Barra, Salvador - BA, 40155-150"/>
    <x v="5"/>
    <s v="MARIA CARDOSO"/>
    <x v="1"/>
    <n v="56"/>
    <x v="1"/>
    <n v="26000"/>
    <d v="2021-07-05T00:00:00"/>
    <x v="2"/>
    <x v="0"/>
  </r>
  <r>
    <x v="14"/>
    <n v="1500"/>
    <n v="4"/>
    <s v="Av. Borges de Medeiros, 3120 - Praia de Belas, Porto Alegre - RS, 90110-150"/>
    <x v="8"/>
    <s v="RAÍSSA NIMER"/>
    <x v="1"/>
    <n v="44"/>
    <x v="0"/>
    <n v="6000"/>
    <d v="2021-02-22T00:00:00"/>
    <x v="2"/>
    <x v="4"/>
  </r>
  <r>
    <x v="22"/>
    <n v="2400"/>
    <n v="5"/>
    <s v="Shopping Barra - Av. Centenário, 2992 - Barra, Salvador - BA, 40155-150"/>
    <x v="5"/>
    <s v="PHILIPE MORETE"/>
    <x v="0"/>
    <n v="60"/>
    <x v="1"/>
    <n v="12000"/>
    <d v="2021-02-26T00:00:00"/>
    <x v="2"/>
    <x v="4"/>
  </r>
  <r>
    <x v="8"/>
    <n v="1400"/>
    <n v="1"/>
    <s v="Av. Goiás Norte, 3.592 - quadra 2.1 - St. Mal. Rondon, Goiânia - GO, 74063-010"/>
    <x v="4"/>
    <s v="BRUNO VELUCCI"/>
    <x v="0"/>
    <n v="52"/>
    <x v="1"/>
    <n v="1400"/>
    <d v="2021-01-01T00:00:00"/>
    <x v="2"/>
    <x v="5"/>
  </r>
  <r>
    <x v="7"/>
    <n v="2600"/>
    <n v="1"/>
    <s v="Rua Antônio Lumack do Monte, 203 - 1 - Boa Viagem, Recife - PE, 51020-350"/>
    <x v="6"/>
    <s v="RENAN CUNHA"/>
    <x v="0"/>
    <n v="35"/>
    <x v="0"/>
    <n v="2600"/>
    <d v="2021-09-29T00:00:00"/>
    <x v="2"/>
    <x v="1"/>
  </r>
  <r>
    <x v="19"/>
    <n v="1750"/>
    <n v="2"/>
    <s v="R. Visc. de Pirajá, 136 - Ipanema, Rio de Janeiro - RJ, 22410-000"/>
    <x v="1"/>
    <s v="CAIO FERNANDES"/>
    <x v="0"/>
    <n v="32"/>
    <x v="0"/>
    <n v="3500"/>
    <d v="2021-03-30T00:00:00"/>
    <x v="2"/>
    <x v="9"/>
  </r>
  <r>
    <x v="13"/>
    <n v="1550"/>
    <n v="2"/>
    <s v="R. Dr. Antônio Castro Prado, 422 - Vila Rossi e Borchi, Campinas - SP, 13076-130"/>
    <x v="0"/>
    <s v="PEDRO DALFORNE"/>
    <x v="0"/>
    <n v="41"/>
    <x v="0"/>
    <n v="3100"/>
    <d v="2021-10-05T00:00:00"/>
    <x v="2"/>
    <x v="6"/>
  </r>
  <r>
    <x v="9"/>
    <n v="2000"/>
    <n v="5"/>
    <s v="Av. Goiás Norte, 3.592 - quadra 2.1 - St. Mal. Rondon, Goiânia - GO, 74063-010"/>
    <x v="4"/>
    <s v="JOÃO GUADAGNINO"/>
    <x v="0"/>
    <n v="75"/>
    <x v="1"/>
    <n v="10000"/>
    <d v="2021-02-02T00:00:00"/>
    <x v="2"/>
    <x v="4"/>
  </r>
  <r>
    <x v="15"/>
    <n v="3000"/>
    <n v="1"/>
    <s v="R. Luíz Faccini, 212 - Centro, Guarulhos - SP, 07110-000"/>
    <x v="0"/>
    <s v="JEFERSON SONE"/>
    <x v="0"/>
    <n v="46"/>
    <x v="0"/>
    <n v="3000"/>
    <d v="2021-10-05T00:00:00"/>
    <x v="2"/>
    <x v="6"/>
  </r>
  <r>
    <x v="0"/>
    <n v="4500"/>
    <n v="2"/>
    <s v="Av. Goiás Norte, 3.592 - quadra 2.1 - St. Mal. Rondon, Goiânia - GO, 74063-010"/>
    <x v="4"/>
    <s v="ISABELLA SCALABRIN"/>
    <x v="1"/>
    <n v="62"/>
    <x v="1"/>
    <n v="9000"/>
    <d v="2021-12-06T00:00:00"/>
    <x v="2"/>
    <x v="8"/>
  </r>
  <r>
    <x v="22"/>
    <n v="2400"/>
    <n v="2"/>
    <s v="Av. Barão Homem de Melo, 1389 - Nova Granada, Belo Horizonte - MG, 30431-425"/>
    <x v="7"/>
    <s v="PEDRO OLIVEIRA"/>
    <x v="0"/>
    <n v="32"/>
    <x v="0"/>
    <n v="4800"/>
    <d v="2021-08-12T00:00:00"/>
    <x v="2"/>
    <x v="7"/>
  </r>
  <r>
    <x v="15"/>
    <n v="3000"/>
    <n v="4"/>
    <s v="Av. Goiás Norte, 3.592 - quadra 2.1 - St. Mal. Rondon, Goiânia - GO, 74063-010"/>
    <x v="4"/>
    <s v="RODRIGO SILVA"/>
    <x v="0"/>
    <n v="31"/>
    <x v="0"/>
    <n v="12000"/>
    <d v="2021-04-10T00:00:00"/>
    <x v="2"/>
    <x v="2"/>
  </r>
  <r>
    <x v="3"/>
    <n v="1500"/>
    <n v="5"/>
    <s v="Av. Barão Homem de Melo, 1389 - Nova Granada, Belo Horizonte - MG, 30431-425"/>
    <x v="7"/>
    <s v="ROJANE LIMA"/>
    <x v="1"/>
    <n v="39"/>
    <x v="0"/>
    <n v="7500"/>
    <d v="2021-12-29T00:00:00"/>
    <x v="2"/>
    <x v="8"/>
  </r>
  <r>
    <x v="4"/>
    <n v="700"/>
    <n v="4"/>
    <s v="R. Visc. de Pirajá, 136 - Ipanema, Rio de Janeiro - RJ, 22410-000"/>
    <x v="1"/>
    <s v="RENAN NASCIMENTO"/>
    <x v="0"/>
    <n v="37"/>
    <x v="0"/>
    <n v="2800"/>
    <d v="2021-06-06T00:00:00"/>
    <x v="2"/>
    <x v="3"/>
  </r>
  <r>
    <x v="2"/>
    <n v="1900"/>
    <n v="3"/>
    <s v="Av. Goiás Norte, 3.592 - quadra 2.1 - St. Mal. Rondon, Goiânia - GO, 74063-010"/>
    <x v="4"/>
    <s v="GIOVANNA SANTOS"/>
    <x v="1"/>
    <n v="28"/>
    <x v="2"/>
    <n v="5700"/>
    <d v="2021-06-27T00:00:00"/>
    <x v="2"/>
    <x v="3"/>
  </r>
  <r>
    <x v="6"/>
    <n v="6500"/>
    <n v="5"/>
    <s v="Rua Antônio Lumack do Monte, 203 - 1 - Boa Viagem, Recife - PE, 51020-350"/>
    <x v="6"/>
    <s v="HÉRCULES JÚNIOR"/>
    <x v="0"/>
    <n v="56"/>
    <x v="1"/>
    <n v="32500"/>
    <d v="2021-08-09T00:00:00"/>
    <x v="2"/>
    <x v="7"/>
  </r>
  <r>
    <x v="20"/>
    <n v="5500"/>
    <n v="2"/>
    <s v="R. Brasílio Itiberê, 3279 - Água Verde, Curitiba - PR, 80250-160"/>
    <x v="3"/>
    <s v="JONATAS ESSABER"/>
    <x v="0"/>
    <n v="67"/>
    <x v="1"/>
    <n v="11000"/>
    <d v="2021-02-24T00:00:00"/>
    <x v="2"/>
    <x v="4"/>
  </r>
  <r>
    <x v="19"/>
    <n v="1750"/>
    <n v="1"/>
    <s v="R. Luíz Faccini, 212 - Centro, Guarulhos - SP, 07110-000"/>
    <x v="0"/>
    <s v="STHEFESON KOHN"/>
    <x v="0"/>
    <n v="35"/>
    <x v="0"/>
    <n v="1750"/>
    <d v="2021-01-23T00:00:00"/>
    <x v="2"/>
    <x v="5"/>
  </r>
  <r>
    <x v="0"/>
    <n v="4500"/>
    <n v="2"/>
    <s v="Av. Goiás Norte, 3.592 - quadra 2.1 - St. Mal. Rondon, Goiânia - GO, 74063-010"/>
    <x v="4"/>
    <s v="PEDRO PEREIRA"/>
    <x v="0"/>
    <n v="38"/>
    <x v="0"/>
    <n v="9000"/>
    <d v="2021-11-21T00:00:00"/>
    <x v="2"/>
    <x v="10"/>
  </r>
  <r>
    <x v="1"/>
    <n v="1400"/>
    <n v="2"/>
    <s v="R. Luíz Faccini, 212 - Centro, Guarulhos - SP, 07110-000"/>
    <x v="0"/>
    <s v="DANIEL VALENTE"/>
    <x v="0"/>
    <n v="41"/>
    <x v="0"/>
    <n v="2800"/>
    <d v="2021-09-03T00:00:00"/>
    <x v="2"/>
    <x v="1"/>
  </r>
  <r>
    <x v="11"/>
    <n v="2000"/>
    <n v="4"/>
    <s v="R. Teodoro Sampaio, 954 - Pinheiros, São Paulo - SP, 05406-050"/>
    <x v="0"/>
    <s v="JÔNATAS CASTRO"/>
    <x v="0"/>
    <n v="56"/>
    <x v="1"/>
    <n v="8000"/>
    <d v="2021-11-16T00:00:00"/>
    <x v="2"/>
    <x v="10"/>
  </r>
  <r>
    <x v="3"/>
    <n v="1500"/>
    <n v="4"/>
    <s v="Av. Mal. Floriano Peixoto, 2248-2258 - Centro, Nova Iguaçu - RJ, 26210-000"/>
    <x v="1"/>
    <s v="ANA LEITE"/>
    <x v="1"/>
    <n v="67"/>
    <x v="1"/>
    <n v="6000"/>
    <d v="2021-08-17T00:00:00"/>
    <x v="2"/>
    <x v="7"/>
  </r>
  <r>
    <x v="20"/>
    <n v="5500"/>
    <n v="2"/>
    <s v="Av. Goiás Norte, 3.592 - quadra 2.1 - St. Mal. Rondon, Goiânia - GO, 74063-010"/>
    <x v="4"/>
    <s v="BRENO GODOY"/>
    <x v="0"/>
    <n v="25"/>
    <x v="2"/>
    <n v="11000"/>
    <d v="2021-01-04T00:00:00"/>
    <x v="2"/>
    <x v="5"/>
  </r>
  <r>
    <x v="5"/>
    <n v="1450"/>
    <n v="5"/>
    <s v="R. Brasílio Itiberê, 3279 - Água Verde, Curitiba - PR, 80250-160"/>
    <x v="3"/>
    <s v="BRENO CAPUTO"/>
    <x v="0"/>
    <n v="64"/>
    <x v="1"/>
    <n v="7250"/>
    <d v="2021-03-18T00:00:00"/>
    <x v="2"/>
    <x v="9"/>
  </r>
  <r>
    <x v="10"/>
    <n v="750"/>
    <n v="2"/>
    <s v="Av. Barão Homem de Melo, 1389 - Nova Granada, Belo Horizonte - MG, 30431-425"/>
    <x v="7"/>
    <s v="GABRIEL PUNTEL"/>
    <x v="0"/>
    <n v="26"/>
    <x v="2"/>
    <n v="1500"/>
    <d v="2021-06-19T00:00:00"/>
    <x v="2"/>
    <x v="3"/>
  </r>
  <r>
    <x v="12"/>
    <n v="1500"/>
    <n v="2"/>
    <s v="R. Brasílio Itiberê, 3279 - Água Verde, Curitiba - PR, 80250-160"/>
    <x v="3"/>
    <s v="ROGER ROSA"/>
    <x v="0"/>
    <n v="72"/>
    <x v="1"/>
    <n v="3000"/>
    <d v="2021-03-09T00:00:00"/>
    <x v="2"/>
    <x v="9"/>
  </r>
  <r>
    <x v="20"/>
    <n v="5500"/>
    <n v="4"/>
    <s v="R. Teodoro Sampaio, 954 - Pinheiros, São Paulo - SP, 05406-050"/>
    <x v="0"/>
    <s v="ANNA FIGUEIREDO"/>
    <x v="1"/>
    <n v="37"/>
    <x v="0"/>
    <n v="22000"/>
    <d v="2021-01-11T00:00:00"/>
    <x v="2"/>
    <x v="5"/>
  </r>
  <r>
    <x v="18"/>
    <n v="2500"/>
    <n v="5"/>
    <s v="Av. Borges de Medeiros, 3120 - Praia de Belas, Porto Alegre - RS, 90110-150"/>
    <x v="8"/>
    <s v="GUSTAVO THOME"/>
    <x v="0"/>
    <n v="38"/>
    <x v="0"/>
    <n v="12500"/>
    <d v="2021-09-28T00:00:00"/>
    <x v="2"/>
    <x v="1"/>
  </r>
  <r>
    <x v="22"/>
    <n v="2400"/>
    <n v="2"/>
    <s v="Av. Mal. Floriano Peixoto, 2248-2258 - Centro, Nova Iguaçu - RJ, 26210-000"/>
    <x v="1"/>
    <s v="JOÃO RIBEIRO"/>
    <x v="0"/>
    <n v="48"/>
    <x v="0"/>
    <n v="4800"/>
    <d v="2021-02-21T00:00:00"/>
    <x v="2"/>
    <x v="4"/>
  </r>
  <r>
    <x v="2"/>
    <n v="1900"/>
    <n v="2"/>
    <s v="Av. Barão Homem de Melo, 1389 - Nova Granada, Belo Horizonte - MG, 30431-425"/>
    <x v="7"/>
    <s v="PRISCILA GARCIA"/>
    <x v="1"/>
    <n v="33"/>
    <x v="0"/>
    <n v="3800"/>
    <d v="2021-03-04T00:00:00"/>
    <x v="2"/>
    <x v="9"/>
  </r>
  <r>
    <x v="18"/>
    <n v="2500"/>
    <n v="3"/>
    <s v="Rua Quinze de Novembro, 8 - Loja 301a Loja 301b - Centro, Niterói - RJ, 24020-125"/>
    <x v="1"/>
    <s v="VICTOR OLIVEIRA"/>
    <x v="0"/>
    <n v="73"/>
    <x v="1"/>
    <n v="7500"/>
    <d v="2021-03-16T00:00:00"/>
    <x v="2"/>
    <x v="9"/>
  </r>
  <r>
    <x v="13"/>
    <n v="1550"/>
    <n v="2"/>
    <s v="R. Visc. de Pirajá, 136 - Ipanema, Rio de Janeiro - RJ, 22410-000"/>
    <x v="1"/>
    <s v="MARIANA SOUSA"/>
    <x v="1"/>
    <n v="56"/>
    <x v="1"/>
    <n v="3100"/>
    <d v="2021-12-08T00:00:00"/>
    <x v="2"/>
    <x v="8"/>
  </r>
  <r>
    <x v="18"/>
    <n v="2500"/>
    <n v="2"/>
    <s v="R. Teodoro Sampaio, 954 - Pinheiros, São Paulo - SP, 05406-050"/>
    <x v="0"/>
    <s v="MARINA PERDOMO"/>
    <x v="1"/>
    <n v="32"/>
    <x v="0"/>
    <n v="5000"/>
    <d v="2021-09-01T00:00:00"/>
    <x v="2"/>
    <x v="1"/>
  </r>
  <r>
    <x v="8"/>
    <n v="1400"/>
    <n v="5"/>
    <s v="Rua Antônio Lumack do Monte, 203 - 1 - Boa Viagem, Recife - PE, 51020-350"/>
    <x v="6"/>
    <s v="JORGE CARVALHO"/>
    <x v="0"/>
    <n v="60"/>
    <x v="1"/>
    <n v="7000"/>
    <d v="2021-10-29T00:00:00"/>
    <x v="2"/>
    <x v="6"/>
  </r>
  <r>
    <x v="6"/>
    <n v="6500"/>
    <n v="5"/>
    <s v="Rua Antônio Lumack do Monte, 203 - 1 - Boa Viagem, Recife - PE, 51020-350"/>
    <x v="6"/>
    <s v="GABRIELLE COSTA"/>
    <x v="1"/>
    <n v="36"/>
    <x v="0"/>
    <n v="32500"/>
    <d v="2021-02-03T00:00:00"/>
    <x v="2"/>
    <x v="4"/>
  </r>
  <r>
    <x v="1"/>
    <n v="1400"/>
    <n v="1"/>
    <s v="Av. Mal. Floriano Peixoto, 2248-2258 - Centro, Nova Iguaçu - RJ, 26210-000"/>
    <x v="1"/>
    <s v="PRISCILA SUZANO"/>
    <x v="1"/>
    <n v="50"/>
    <x v="0"/>
    <n v="1400"/>
    <d v="2021-01-07T00:00:00"/>
    <x v="2"/>
    <x v="5"/>
  </r>
  <r>
    <x v="0"/>
    <n v="4500"/>
    <n v="4"/>
    <s v="Av. Borges de Medeiros, 3120 - Praia de Belas, Porto Alegre - RS, 90110-150"/>
    <x v="8"/>
    <s v="TAINAH NOGUEIRA"/>
    <x v="1"/>
    <n v="43"/>
    <x v="0"/>
    <n v="18000"/>
    <d v="2021-01-11T00:00:00"/>
    <x v="2"/>
    <x v="5"/>
  </r>
  <r>
    <x v="6"/>
    <n v="6500"/>
    <n v="2"/>
    <s v="R. Dr. Antônio Castro Prado, 422 - Vila Rossi e Borchi, Campinas - SP, 13076-130"/>
    <x v="0"/>
    <s v="LUÍZA MELO"/>
    <x v="1"/>
    <n v="66"/>
    <x v="1"/>
    <n v="13000"/>
    <d v="2021-10-29T00:00:00"/>
    <x v="2"/>
    <x v="6"/>
  </r>
  <r>
    <x v="17"/>
    <n v="2300"/>
    <n v="4"/>
    <s v="Av. Dom Luís, 500 - Aldeota, Fortaleza - CE, 60160-230"/>
    <x v="2"/>
    <s v="RAFAELA RODRIGUES"/>
    <x v="1"/>
    <n v="34"/>
    <x v="0"/>
    <n v="9200"/>
    <d v="2021-01-12T00:00:00"/>
    <x v="2"/>
    <x v="5"/>
  </r>
  <r>
    <x v="15"/>
    <n v="3000"/>
    <n v="2"/>
    <s v="R. Luíz Faccini, 212 - Centro, Guarulhos - SP, 07110-000"/>
    <x v="0"/>
    <s v="THALES PORTILLO"/>
    <x v="0"/>
    <n v="71"/>
    <x v="1"/>
    <n v="6000"/>
    <d v="2021-02-13T00:00:00"/>
    <x v="2"/>
    <x v="4"/>
  </r>
  <r>
    <x v="3"/>
    <n v="1500"/>
    <n v="2"/>
    <s v="Shopping Barra - Av. Centenário, 2992 - Barra, Salvador - BA, 40155-150"/>
    <x v="5"/>
    <s v="ULISSES FILHO"/>
    <x v="0"/>
    <n v="70"/>
    <x v="1"/>
    <n v="3000"/>
    <d v="2021-01-14T00:00:00"/>
    <x v="2"/>
    <x v="5"/>
  </r>
  <r>
    <x v="14"/>
    <n v="1500"/>
    <n v="5"/>
    <s v="Rua Quinze de Novembro, 8 - Loja 301a Loja 301b - Centro, Niterói - RJ, 24020-125"/>
    <x v="1"/>
    <s v="FABIO BOCCALETTI"/>
    <x v="0"/>
    <n v="64"/>
    <x v="1"/>
    <n v="7500"/>
    <d v="2021-05-13T00:00:00"/>
    <x v="2"/>
    <x v="11"/>
  </r>
  <r>
    <x v="9"/>
    <n v="2000"/>
    <n v="4"/>
    <s v="R. Visc. de Pirajá, 136 - Ipanema, Rio de Janeiro - RJ, 22410-000"/>
    <x v="1"/>
    <s v="GABRIEL ROCHA"/>
    <x v="0"/>
    <n v="66"/>
    <x v="1"/>
    <n v="8000"/>
    <d v="2021-01-17T00:00:00"/>
    <x v="2"/>
    <x v="5"/>
  </r>
  <r>
    <x v="13"/>
    <n v="1550"/>
    <n v="1"/>
    <s v="Av. Mal. Floriano Peixoto, 2248-2258 - Centro, Nova Iguaçu - RJ, 26210-000"/>
    <x v="1"/>
    <s v="HELVIO PEDROSA"/>
    <x v="0"/>
    <n v="59"/>
    <x v="1"/>
    <n v="1550"/>
    <d v="2021-10-07T00:00:00"/>
    <x v="2"/>
    <x v="6"/>
  </r>
  <r>
    <x v="22"/>
    <n v="2400"/>
    <n v="3"/>
    <s v="Rua Antônio Lumack do Monte, 203 - 1 - Boa Viagem, Recife - PE, 51020-350"/>
    <x v="6"/>
    <s v="VICTOR FRANCO"/>
    <x v="0"/>
    <n v="35"/>
    <x v="0"/>
    <n v="7200"/>
    <d v="2021-12-05T00:00:00"/>
    <x v="2"/>
    <x v="8"/>
  </r>
  <r>
    <x v="12"/>
    <n v="1500"/>
    <n v="3"/>
    <s v="Rua Antônio Lumack do Monte, 203 - 1 - Boa Viagem, Recife - PE, 51020-350"/>
    <x v="6"/>
    <s v="ISABELLA SANTOS"/>
    <x v="1"/>
    <n v="47"/>
    <x v="0"/>
    <n v="4500"/>
    <d v="2021-10-16T00:00:00"/>
    <x v="2"/>
    <x v="6"/>
  </r>
  <r>
    <x v="6"/>
    <n v="6500"/>
    <n v="5"/>
    <s v="Av. Mal. Floriano Peixoto, 2248-2258 - Centro, Nova Iguaçu - RJ, 26210-000"/>
    <x v="1"/>
    <s v="ROBERTA NOGUEIRA"/>
    <x v="1"/>
    <n v="44"/>
    <x v="0"/>
    <n v="32500"/>
    <d v="2021-03-31T00:00:00"/>
    <x v="2"/>
    <x v="9"/>
  </r>
  <r>
    <x v="17"/>
    <n v="2300"/>
    <n v="4"/>
    <s v="R. Visc. de Pirajá, 136 - Ipanema, Rio de Janeiro - RJ, 22410-000"/>
    <x v="1"/>
    <s v="MARIA MOITA"/>
    <x v="1"/>
    <n v="68"/>
    <x v="1"/>
    <n v="9200"/>
    <d v="2021-07-04T00:00:00"/>
    <x v="2"/>
    <x v="0"/>
  </r>
  <r>
    <x v="2"/>
    <n v="1900"/>
    <n v="2"/>
    <s v="R. Luíz Faccini, 212 - Centro, Guarulhos - SP, 07110-000"/>
    <x v="0"/>
    <s v="THAYNA MARTINS"/>
    <x v="1"/>
    <n v="27"/>
    <x v="2"/>
    <n v="3800"/>
    <d v="2021-03-29T00:00:00"/>
    <x v="2"/>
    <x v="9"/>
  </r>
  <r>
    <x v="22"/>
    <n v="2400"/>
    <n v="3"/>
    <s v="R. Dr. Antônio Castro Prado, 422 - Vila Rossi e Borchi, Campinas - SP, 13076-130"/>
    <x v="0"/>
    <s v="BÁRBARA CAVALCANTE"/>
    <x v="0"/>
    <n v="31"/>
    <x v="0"/>
    <n v="7200"/>
    <d v="2021-12-29T00:00:00"/>
    <x v="2"/>
    <x v="8"/>
  </r>
  <r>
    <x v="14"/>
    <n v="1500"/>
    <n v="2"/>
    <s v="Av. Barão Homem de Melo, 1389 - Nova Granada, Belo Horizonte - MG, 30431-425"/>
    <x v="7"/>
    <s v="ANA FIORETTI"/>
    <x v="1"/>
    <n v="59"/>
    <x v="1"/>
    <n v="3000"/>
    <d v="2021-05-14T00:00:00"/>
    <x v="2"/>
    <x v="11"/>
  </r>
  <r>
    <x v="21"/>
    <n v="5200"/>
    <n v="5"/>
    <s v="Av. Barão Homem de Melo, 1389 - Nova Granada, Belo Horizonte - MG, 30431-425"/>
    <x v="7"/>
    <s v="MICHELLE FIGUEIREDO"/>
    <x v="1"/>
    <n v="47"/>
    <x v="0"/>
    <n v="26000"/>
    <d v="2021-10-20T00:00:00"/>
    <x v="2"/>
    <x v="6"/>
  </r>
  <r>
    <x v="23"/>
    <n v="1100"/>
    <n v="1"/>
    <s v="Rua Quinze de Novembro, 8 - Loja 301a Loja 301b - Centro, Niterói - RJ, 24020-125"/>
    <x v="1"/>
    <s v="LUIZA PROCACI"/>
    <x v="1"/>
    <n v="33"/>
    <x v="0"/>
    <n v="1100"/>
    <d v="2021-07-09T00:00:00"/>
    <x v="2"/>
    <x v="0"/>
  </r>
  <r>
    <x v="11"/>
    <n v="2000"/>
    <n v="4"/>
    <s v="R. Teodoro Sampaio, 954 - Pinheiros, São Paulo - SP, 05406-050"/>
    <x v="0"/>
    <s v="THALES FANARA"/>
    <x v="0"/>
    <n v="49"/>
    <x v="0"/>
    <n v="8000"/>
    <d v="2021-01-19T00:00:00"/>
    <x v="2"/>
    <x v="5"/>
  </r>
  <r>
    <x v="0"/>
    <n v="4500"/>
    <n v="2"/>
    <s v="R. Visc. de Pirajá, 136 - Ipanema, Rio de Janeiro - RJ, 22410-000"/>
    <x v="1"/>
    <s v="JOAO SILVA"/>
    <x v="0"/>
    <n v="28"/>
    <x v="2"/>
    <n v="9000"/>
    <d v="2021-10-14T00:00:00"/>
    <x v="2"/>
    <x v="6"/>
  </r>
  <r>
    <x v="17"/>
    <n v="2300"/>
    <n v="3"/>
    <s v="R. Brasílio Itiberê, 3279 - Água Verde, Curitiba - PR, 80250-160"/>
    <x v="3"/>
    <s v="RAFAELA GONÇALVES"/>
    <x v="1"/>
    <n v="67"/>
    <x v="1"/>
    <n v="6900"/>
    <d v="2021-01-17T00:00:00"/>
    <x v="2"/>
    <x v="5"/>
  </r>
  <r>
    <x v="4"/>
    <n v="700"/>
    <n v="5"/>
    <s v="Shopping Barra - Av. Centenário, 2992 - Barra, Salvador - BA, 40155-150"/>
    <x v="5"/>
    <s v="LUCAS DESTRI"/>
    <x v="0"/>
    <n v="38"/>
    <x v="0"/>
    <n v="3500"/>
    <d v="2021-04-27T00:00:00"/>
    <x v="2"/>
    <x v="2"/>
  </r>
  <r>
    <x v="16"/>
    <n v="1200"/>
    <n v="3"/>
    <s v="Rua Quinze de Novembro, 8 - Loja 301a Loja 301b - Centro, Niterói - RJ, 24020-125"/>
    <x v="1"/>
    <s v="GABRIEL AZEVEDO"/>
    <x v="0"/>
    <n v="42"/>
    <x v="0"/>
    <n v="3600"/>
    <d v="2021-10-22T00:00:00"/>
    <x v="2"/>
    <x v="6"/>
  </r>
  <r>
    <x v="18"/>
    <n v="2500"/>
    <n v="5"/>
    <s v="Shopping Barra - Av. Centenário, 2992 - Barra, Salvador - BA, 40155-150"/>
    <x v="5"/>
    <s v="MATHEUS GOMES"/>
    <x v="0"/>
    <n v="63"/>
    <x v="1"/>
    <n v="12500"/>
    <d v="2021-01-27T00:00:00"/>
    <x v="2"/>
    <x v="5"/>
  </r>
  <r>
    <x v="23"/>
    <n v="1100"/>
    <n v="2"/>
    <s v="Av. Barão Homem de Melo, 1389 - Nova Granada, Belo Horizonte - MG, 30431-425"/>
    <x v="7"/>
    <s v="CAIO CARDOSO"/>
    <x v="0"/>
    <n v="40"/>
    <x v="0"/>
    <n v="2200"/>
    <d v="2021-12-06T00:00:00"/>
    <x v="2"/>
    <x v="8"/>
  </r>
  <r>
    <x v="20"/>
    <n v="5500"/>
    <n v="5"/>
    <s v="Rua Quinze de Novembro, 8 - Loja 301a Loja 301b - Centro, Niterói - RJ, 24020-125"/>
    <x v="1"/>
    <s v="MARIA JUNIOR"/>
    <x v="1"/>
    <n v="67"/>
    <x v="1"/>
    <n v="27500"/>
    <d v="2021-03-21T00:00:00"/>
    <x v="2"/>
    <x v="9"/>
  </r>
  <r>
    <x v="7"/>
    <n v="2600"/>
    <n v="5"/>
    <s v="R. Luíz Faccini, 212 - Centro, Guarulhos - SP, 07110-000"/>
    <x v="0"/>
    <s v="CAMILLA VIEIRA"/>
    <x v="1"/>
    <n v="69"/>
    <x v="1"/>
    <n v="13000"/>
    <d v="2021-10-06T00:00:00"/>
    <x v="2"/>
    <x v="6"/>
  </r>
  <r>
    <x v="10"/>
    <n v="750"/>
    <n v="4"/>
    <s v="Shopping Barra - Av. Centenário, 2992 - Barra, Salvador - BA, 40155-150"/>
    <x v="5"/>
    <s v="GUSTAVO JUNIOR"/>
    <x v="0"/>
    <n v="69"/>
    <x v="1"/>
    <n v="3000"/>
    <d v="2021-03-14T00:00:00"/>
    <x v="2"/>
    <x v="9"/>
  </r>
  <r>
    <x v="17"/>
    <n v="2300"/>
    <n v="2"/>
    <s v="R. Brasílio Itiberê, 3279 - Água Verde, Curitiba - PR, 80250-160"/>
    <x v="3"/>
    <s v="YLANA TERAOKA"/>
    <x v="1"/>
    <n v="43"/>
    <x v="0"/>
    <n v="4600"/>
    <d v="2021-09-23T00:00:00"/>
    <x v="2"/>
    <x v="1"/>
  </r>
  <r>
    <x v="14"/>
    <n v="1500"/>
    <n v="3"/>
    <s v="Av. Dom Luís, 500 - Aldeota, Fortaleza - CE, 60160-230"/>
    <x v="2"/>
    <s v="BRUNO MOTA"/>
    <x v="0"/>
    <n v="37"/>
    <x v="0"/>
    <n v="4500"/>
    <d v="2021-02-08T00:00:00"/>
    <x v="2"/>
    <x v="4"/>
  </r>
  <r>
    <x v="0"/>
    <n v="4500"/>
    <n v="3"/>
    <s v="R. Dr. Antônio Castro Prado, 422 - Vila Rossi e Borchi, Campinas - SP, 13076-130"/>
    <x v="0"/>
    <s v="ANTÔNIO OLIVEIRA"/>
    <x v="0"/>
    <n v="53"/>
    <x v="1"/>
    <n v="13500"/>
    <d v="2021-05-15T00:00:00"/>
    <x v="2"/>
    <x v="11"/>
  </r>
  <r>
    <x v="14"/>
    <n v="1500"/>
    <n v="3"/>
    <s v="R. Luíz Faccini, 212 - Centro, Guarulhos - SP, 07110-000"/>
    <x v="0"/>
    <s v="MARIANA MIRANDA"/>
    <x v="1"/>
    <n v="57"/>
    <x v="1"/>
    <n v="4500"/>
    <d v="2021-08-12T00:00:00"/>
    <x v="2"/>
    <x v="7"/>
  </r>
  <r>
    <x v="19"/>
    <n v="1750"/>
    <n v="1"/>
    <s v="Rua Quinze de Novembro, 8 - Loja 301a Loja 301b - Centro, Niterói - RJ, 24020-125"/>
    <x v="1"/>
    <s v="ADRIELLE FORTE"/>
    <x v="1"/>
    <n v="59"/>
    <x v="1"/>
    <n v="1750"/>
    <d v="2021-08-02T00:00:00"/>
    <x v="2"/>
    <x v="7"/>
  </r>
  <r>
    <x v="12"/>
    <n v="1500"/>
    <n v="3"/>
    <s v="Av. Goiás Norte, 3.592 - quadra 2.1 - St. Mal. Rondon, Goiânia - GO, 74063-010"/>
    <x v="4"/>
    <s v="ISABELLA SCALABRIN"/>
    <x v="1"/>
    <n v="62"/>
    <x v="1"/>
    <n v="4500"/>
    <d v="2021-10-02T00:00:00"/>
    <x v="2"/>
    <x v="6"/>
  </r>
  <r>
    <x v="14"/>
    <n v="1500"/>
    <n v="3"/>
    <s v="R. Brasílio Itiberê, 3279 - Água Verde, Curitiba - PR, 80250-160"/>
    <x v="3"/>
    <s v="ROGER ROSA"/>
    <x v="0"/>
    <n v="72"/>
    <x v="1"/>
    <n v="4500"/>
    <d v="2021-05-29T00:00:00"/>
    <x v="2"/>
    <x v="11"/>
  </r>
  <r>
    <x v="13"/>
    <n v="1550"/>
    <n v="5"/>
    <s v="Av. Barão Homem de Melo, 1389 - Nova Granada, Belo Horizonte - MG, 30431-425"/>
    <x v="7"/>
    <s v="PEDRO CARDOSO"/>
    <x v="0"/>
    <n v="62"/>
    <x v="1"/>
    <n v="7750"/>
    <d v="2021-01-09T00:00:00"/>
    <x v="2"/>
    <x v="5"/>
  </r>
  <r>
    <x v="13"/>
    <n v="1550"/>
    <n v="2"/>
    <s v="Av. Mal. Floriano Peixoto, 2248-2258 - Centro, Nova Iguaçu - RJ, 26210-000"/>
    <x v="1"/>
    <s v="MANUELA MEREGE"/>
    <x v="1"/>
    <n v="25"/>
    <x v="2"/>
    <n v="3100"/>
    <d v="2021-11-25T00:00:00"/>
    <x v="2"/>
    <x v="10"/>
  </r>
  <r>
    <x v="12"/>
    <n v="1500"/>
    <n v="3"/>
    <s v="R. Luíz Faccini, 212 - Centro, Guarulhos - SP, 07110-000"/>
    <x v="0"/>
    <s v="JULIANA BARREIRA"/>
    <x v="1"/>
    <n v="53"/>
    <x v="1"/>
    <n v="4500"/>
    <d v="2021-05-23T00:00:00"/>
    <x v="2"/>
    <x v="11"/>
  </r>
  <r>
    <x v="18"/>
    <n v="2500"/>
    <n v="3"/>
    <s v="Rua Quinze de Novembro, 8 - Loja 301a Loja 301b - Centro, Niterói - RJ, 24020-125"/>
    <x v="1"/>
    <s v="GABRIELLA LOPES"/>
    <x v="1"/>
    <n v="45"/>
    <x v="0"/>
    <n v="7500"/>
    <d v="2021-08-25T00:00:00"/>
    <x v="2"/>
    <x v="7"/>
  </r>
  <r>
    <x v="16"/>
    <n v="1200"/>
    <n v="5"/>
    <s v="Av. Dom Luís, 500 - Aldeota, Fortaleza - CE, 60160-230"/>
    <x v="2"/>
    <s v="ANNA SILVA"/>
    <x v="1"/>
    <n v="42"/>
    <x v="0"/>
    <n v="6000"/>
    <d v="2021-04-27T00:00:00"/>
    <x v="2"/>
    <x v="2"/>
  </r>
  <r>
    <x v="15"/>
    <n v="3000"/>
    <n v="4"/>
    <s v="R. Luíz Faccini, 212 - Centro, Guarulhos - SP, 07110-000"/>
    <x v="0"/>
    <s v="DOUGLAS RODRIGUES"/>
    <x v="0"/>
    <n v="33"/>
    <x v="0"/>
    <n v="12000"/>
    <d v="2021-10-08T00:00:00"/>
    <x v="2"/>
    <x v="6"/>
  </r>
  <r>
    <x v="23"/>
    <n v="1100"/>
    <n v="3"/>
    <s v="Av. Barão Homem de Melo, 1389 - Nova Granada, Belo Horizonte - MG, 30431-425"/>
    <x v="7"/>
    <s v="VICTOR GOMES"/>
    <x v="0"/>
    <n v="71"/>
    <x v="1"/>
    <n v="3300"/>
    <d v="2021-06-09T00:00:00"/>
    <x v="2"/>
    <x v="3"/>
  </r>
  <r>
    <x v="8"/>
    <n v="1400"/>
    <n v="3"/>
    <s v="Av. Mal. Floriano Peixoto, 2248-2258 - Centro, Nova Iguaçu - RJ, 26210-000"/>
    <x v="1"/>
    <s v="FERNANDA COUTINHO"/>
    <x v="1"/>
    <n v="63"/>
    <x v="1"/>
    <n v="4200"/>
    <d v="2021-01-05T00:00:00"/>
    <x v="2"/>
    <x v="5"/>
  </r>
  <r>
    <x v="4"/>
    <n v="700"/>
    <n v="1"/>
    <s v="Av. Barão Homem de Melo, 1389 - Nova Granada, Belo Horizonte - MG, 30431-425"/>
    <x v="7"/>
    <s v="RAFAEL WAJNSZTOK"/>
    <x v="0"/>
    <n v="33"/>
    <x v="0"/>
    <n v="700"/>
    <d v="2021-09-25T00:00:00"/>
    <x v="2"/>
    <x v="1"/>
  </r>
  <r>
    <x v="20"/>
    <n v="5500"/>
    <n v="4"/>
    <s v="Av. Dom Luís, 500 - Aldeota, Fortaleza - CE, 60160-230"/>
    <x v="2"/>
    <s v="THALES SANTOS"/>
    <x v="0"/>
    <n v="28"/>
    <x v="2"/>
    <n v="22000"/>
    <d v="2021-10-01T00:00:00"/>
    <x v="2"/>
    <x v="6"/>
  </r>
  <r>
    <x v="10"/>
    <n v="750"/>
    <n v="2"/>
    <s v="Av. Goiás Norte, 3.592 - quadra 2.1 - St. Mal. Rondon, Goiânia - GO, 74063-010"/>
    <x v="4"/>
    <s v="MAYARA SOARES"/>
    <x v="1"/>
    <n v="57"/>
    <x v="1"/>
    <n v="1500"/>
    <d v="2021-11-06T00:00:00"/>
    <x v="2"/>
    <x v="10"/>
  </r>
  <r>
    <x v="17"/>
    <n v="2300"/>
    <n v="2"/>
    <s v="R. Luíz Faccini, 212 - Centro, Guarulhos - SP, 07110-000"/>
    <x v="0"/>
    <s v="CAIO SILVA"/>
    <x v="0"/>
    <n v="52"/>
    <x v="1"/>
    <n v="4600"/>
    <d v="2021-02-09T00:00:00"/>
    <x v="2"/>
    <x v="4"/>
  </r>
  <r>
    <x v="16"/>
    <n v="1200"/>
    <n v="5"/>
    <s v="R. Brasílio Itiberê, 3279 - Água Verde, Curitiba - PR, 80250-160"/>
    <x v="3"/>
    <s v="IZABEL MIURA"/>
    <x v="1"/>
    <n v="72"/>
    <x v="1"/>
    <n v="6000"/>
    <d v="2021-11-06T00:00:00"/>
    <x v="2"/>
    <x v="10"/>
  </r>
  <r>
    <x v="9"/>
    <n v="2000"/>
    <n v="4"/>
    <s v="R. Luíz Faccini, 212 - Centro, Guarulhos - SP, 07110-000"/>
    <x v="0"/>
    <s v="VICTOR LIRA"/>
    <x v="0"/>
    <n v="38"/>
    <x v="0"/>
    <n v="8000"/>
    <d v="2021-12-01T00:00:00"/>
    <x v="2"/>
    <x v="8"/>
  </r>
  <r>
    <x v="1"/>
    <n v="1400"/>
    <n v="5"/>
    <s v="R. Brasílio Itiberê, 3279 - Água Verde, Curitiba - PR, 80250-160"/>
    <x v="3"/>
    <s v="PEDRO MARTINS"/>
    <x v="0"/>
    <n v="45"/>
    <x v="0"/>
    <n v="7000"/>
    <d v="2021-07-19T00:00:00"/>
    <x v="2"/>
    <x v="0"/>
  </r>
  <r>
    <x v="15"/>
    <n v="3000"/>
    <n v="3"/>
    <s v="R. Teodoro Sampaio, 954 - Pinheiros, São Paulo - SP, 05406-050"/>
    <x v="0"/>
    <s v="DANIEL ARAUJO"/>
    <x v="0"/>
    <n v="31"/>
    <x v="0"/>
    <n v="9000"/>
    <d v="2021-11-10T00:00:00"/>
    <x v="2"/>
    <x v="10"/>
  </r>
  <r>
    <x v="19"/>
    <n v="1750"/>
    <n v="4"/>
    <s v="Rua Antônio Lumack do Monte, 203 - 1 - Boa Viagem, Recife - PE, 51020-350"/>
    <x v="6"/>
    <s v="RAFAELA GOMES"/>
    <x v="1"/>
    <n v="35"/>
    <x v="0"/>
    <n v="7000"/>
    <d v="2021-06-25T00:00:00"/>
    <x v="2"/>
    <x v="3"/>
  </r>
  <r>
    <x v="1"/>
    <n v="1400"/>
    <n v="3"/>
    <s v="Av. Dom Luís, 500 - Aldeota, Fortaleza - CE, 60160-230"/>
    <x v="2"/>
    <s v="FABIO SEPÚLVEDA"/>
    <x v="0"/>
    <n v="57"/>
    <x v="1"/>
    <n v="4200"/>
    <d v="2021-08-27T00:00:00"/>
    <x v="2"/>
    <x v="7"/>
  </r>
  <r>
    <x v="5"/>
    <n v="1450"/>
    <n v="3"/>
    <s v="R. Visc. de Pirajá, 136 - Ipanema, Rio de Janeiro - RJ, 22410-000"/>
    <x v="1"/>
    <s v="LUCAS ROCHA"/>
    <x v="0"/>
    <n v="52"/>
    <x v="1"/>
    <n v="4350"/>
    <d v="2021-08-19T00:00:00"/>
    <x v="2"/>
    <x v="7"/>
  </r>
  <r>
    <x v="14"/>
    <n v="1500"/>
    <n v="3"/>
    <s v="Av. Dom Luís, 500 - Aldeota, Fortaleza - CE, 60160-230"/>
    <x v="2"/>
    <s v="IZABEL LOPES"/>
    <x v="1"/>
    <n v="27"/>
    <x v="2"/>
    <n v="4500"/>
    <d v="2021-02-15T00:00:00"/>
    <x v="2"/>
    <x v="4"/>
  </r>
  <r>
    <x v="1"/>
    <n v="1400"/>
    <n v="1"/>
    <s v="Shopping Barra - Av. Centenário, 2992 - Barra, Salvador - BA, 40155-150"/>
    <x v="5"/>
    <s v="MATHEUS GOMES"/>
    <x v="0"/>
    <n v="63"/>
    <x v="1"/>
    <n v="1400"/>
    <d v="2021-07-12T00:00:00"/>
    <x v="2"/>
    <x v="0"/>
  </r>
  <r>
    <x v="13"/>
    <n v="1550"/>
    <n v="1"/>
    <s v="R. Teodoro Sampaio, 954 - Pinheiros, São Paulo - SP, 05406-050"/>
    <x v="0"/>
    <s v="LETÍCIA LEAL"/>
    <x v="1"/>
    <n v="45"/>
    <x v="0"/>
    <n v="1550"/>
    <d v="2021-09-13T00:00:00"/>
    <x v="2"/>
    <x v="1"/>
  </r>
  <r>
    <x v="23"/>
    <n v="1100"/>
    <n v="2"/>
    <s v="Av. Goiás Norte, 3.592 - quadra 2.1 - St. Mal. Rondon, Goiânia - GO, 74063-010"/>
    <x v="4"/>
    <s v="JÔNATAS TANAKA"/>
    <x v="0"/>
    <n v="31"/>
    <x v="0"/>
    <n v="2200"/>
    <d v="2021-08-05T00:00:00"/>
    <x v="2"/>
    <x v="7"/>
  </r>
  <r>
    <x v="14"/>
    <n v="1500"/>
    <n v="2"/>
    <s v="R. Brasílio Itiberê, 3279 - Água Verde, Curitiba - PR, 80250-160"/>
    <x v="3"/>
    <s v="MATHEUS DELGADO"/>
    <x v="0"/>
    <n v="44"/>
    <x v="0"/>
    <n v="3000"/>
    <d v="2021-05-04T00:00:00"/>
    <x v="2"/>
    <x v="11"/>
  </r>
  <r>
    <x v="11"/>
    <n v="2000"/>
    <n v="1"/>
    <s v="R. Teodoro Sampaio, 954 - Pinheiros, São Paulo - SP, 05406-050"/>
    <x v="0"/>
    <s v="PEDRO RONFINI"/>
    <x v="0"/>
    <n v="42"/>
    <x v="0"/>
    <n v="2000"/>
    <d v="2021-11-23T00:00:00"/>
    <x v="2"/>
    <x v="10"/>
  </r>
  <r>
    <x v="3"/>
    <n v="1500"/>
    <n v="2"/>
    <s v="R. Luíz Faccini, 212 - Centro, Guarulhos - SP, 07110-000"/>
    <x v="0"/>
    <s v="EDUARDO NUNES"/>
    <x v="0"/>
    <n v="30"/>
    <x v="0"/>
    <n v="3000"/>
    <d v="2021-08-01T00:00:00"/>
    <x v="2"/>
    <x v="7"/>
  </r>
  <r>
    <x v="8"/>
    <n v="1400"/>
    <n v="2"/>
    <s v="Av. Goiás Norte, 3.592 - quadra 2.1 - St. Mal. Rondon, Goiânia - GO, 74063-010"/>
    <x v="4"/>
    <s v="GIOVANNA SANTOS"/>
    <x v="1"/>
    <n v="28"/>
    <x v="2"/>
    <n v="2800"/>
    <d v="2021-04-24T00:00:00"/>
    <x v="2"/>
    <x v="2"/>
  </r>
  <r>
    <x v="0"/>
    <n v="4500"/>
    <n v="1"/>
    <s v="Av. Barão Homem de Melo, 1389 - Nova Granada, Belo Horizonte - MG, 30431-425"/>
    <x v="7"/>
    <s v="VIVIANNE RODRIGUES"/>
    <x v="1"/>
    <n v="49"/>
    <x v="0"/>
    <n v="4500"/>
    <d v="2021-06-20T00:00:00"/>
    <x v="2"/>
    <x v="3"/>
  </r>
  <r>
    <x v="18"/>
    <n v="2500"/>
    <n v="5"/>
    <s v="Av. Mal. Floriano Peixoto, 2248-2258 - Centro, Nova Iguaçu - RJ, 26210-000"/>
    <x v="1"/>
    <s v="RODRIGO ALVES"/>
    <x v="0"/>
    <n v="40"/>
    <x v="0"/>
    <n v="12500"/>
    <d v="2021-04-21T00:00:00"/>
    <x v="2"/>
    <x v="2"/>
  </r>
  <r>
    <x v="17"/>
    <n v="2300"/>
    <n v="3"/>
    <s v="Shopping Barra - Av. Centenário, 2992 - Barra, Salvador - BA, 40155-150"/>
    <x v="5"/>
    <s v="MARINA MIRANDA"/>
    <x v="1"/>
    <n v="69"/>
    <x v="1"/>
    <n v="6900"/>
    <d v="2021-02-12T00:00:00"/>
    <x v="2"/>
    <x v="4"/>
  </r>
  <r>
    <x v="1"/>
    <n v="1400"/>
    <n v="5"/>
    <s v="R. Luíz Faccini, 212 - Centro, Guarulhos - SP, 07110-000"/>
    <x v="0"/>
    <s v="ISABELLE GONÇALVES"/>
    <x v="1"/>
    <n v="64"/>
    <x v="1"/>
    <n v="7000"/>
    <d v="2021-09-19T00:00:00"/>
    <x v="2"/>
    <x v="1"/>
  </r>
  <r>
    <x v="16"/>
    <n v="1200"/>
    <n v="1"/>
    <s v="Av. Mal. Floriano Peixoto, 2248-2258 - Centro, Nova Iguaçu - RJ, 26210-000"/>
    <x v="1"/>
    <s v="MARIA GASPERI"/>
    <x v="1"/>
    <n v="70"/>
    <x v="1"/>
    <n v="1200"/>
    <d v="2021-05-16T00:00:00"/>
    <x v="2"/>
    <x v="11"/>
  </r>
  <r>
    <x v="5"/>
    <n v="1450"/>
    <n v="5"/>
    <s v="Av. Barão Homem de Melo, 1389 - Nova Granada, Belo Horizonte - MG, 30431-425"/>
    <x v="7"/>
    <s v="ANTÔNIO SOARES"/>
    <x v="0"/>
    <n v="48"/>
    <x v="0"/>
    <n v="7250"/>
    <d v="2021-10-03T00:00:00"/>
    <x v="2"/>
    <x v="6"/>
  </r>
  <r>
    <x v="18"/>
    <n v="2500"/>
    <n v="4"/>
    <s v="R. Teodoro Sampaio, 954 - Pinheiros, São Paulo - SP, 05406-050"/>
    <x v="0"/>
    <s v="THALES FANARA"/>
    <x v="0"/>
    <n v="49"/>
    <x v="0"/>
    <n v="10000"/>
    <d v="2021-05-29T00:00:00"/>
    <x v="2"/>
    <x v="11"/>
  </r>
  <r>
    <x v="8"/>
    <n v="1400"/>
    <n v="4"/>
    <s v="R. Luíz Faccini, 212 - Centro, Guarulhos - SP, 07110-000"/>
    <x v="0"/>
    <s v="ANDRESSA CHOU"/>
    <x v="1"/>
    <n v="28"/>
    <x v="2"/>
    <n v="5600"/>
    <d v="2021-07-20T00:00:00"/>
    <x v="2"/>
    <x v="0"/>
  </r>
  <r>
    <x v="2"/>
    <n v="1900"/>
    <n v="4"/>
    <s v="Av. Dom Luís, 500 - Aldeota, Fortaleza - CE, 60160-230"/>
    <x v="2"/>
    <s v="WEN BRAGA"/>
    <x v="1"/>
    <n v="67"/>
    <x v="1"/>
    <n v="7600"/>
    <d v="2021-12-05T00:00:00"/>
    <x v="2"/>
    <x v="8"/>
  </r>
  <r>
    <x v="14"/>
    <n v="1500"/>
    <n v="5"/>
    <s v="Rua Antônio Lumack do Monte, 203 - 1 - Boa Viagem, Recife - PE, 51020-350"/>
    <x v="6"/>
    <s v="PEDRO SANTOS"/>
    <x v="0"/>
    <n v="59"/>
    <x v="1"/>
    <n v="7500"/>
    <d v="2021-02-20T00:00:00"/>
    <x v="2"/>
    <x v="4"/>
  </r>
  <r>
    <x v="11"/>
    <n v="2000"/>
    <n v="1"/>
    <s v="R. Luíz Faccini, 212 - Centro, Guarulhos - SP, 07110-000"/>
    <x v="0"/>
    <s v="THIAGO VELOSO"/>
    <x v="0"/>
    <n v="44"/>
    <x v="0"/>
    <n v="2000"/>
    <d v="2021-09-25T00:00:00"/>
    <x v="2"/>
    <x v="1"/>
  </r>
  <r>
    <x v="5"/>
    <n v="1450"/>
    <n v="3"/>
    <s v="R. Visc. de Pirajá, 136 - Ipanema, Rio de Janeiro - RJ, 22410-000"/>
    <x v="1"/>
    <s v="RAISSA NEGRELLI"/>
    <x v="1"/>
    <n v="40"/>
    <x v="0"/>
    <n v="4350"/>
    <d v="2021-02-10T00:00:00"/>
    <x v="2"/>
    <x v="4"/>
  </r>
  <r>
    <x v="1"/>
    <n v="1400"/>
    <n v="5"/>
    <s v="Rua Antônio Lumack do Monte, 203 - 1 - Boa Viagem, Recife - PE, 51020-350"/>
    <x v="6"/>
    <s v="KATHARINA BARROS"/>
    <x v="1"/>
    <n v="65"/>
    <x v="1"/>
    <n v="7000"/>
    <d v="2021-11-08T00:00:00"/>
    <x v="2"/>
    <x v="10"/>
  </r>
  <r>
    <x v="1"/>
    <n v="1400"/>
    <n v="5"/>
    <s v="Shopping Barra - Av. Centenário, 2992 - Barra, Salvador - BA, 40155-150"/>
    <x v="5"/>
    <s v="GIUSEPPE BHERING"/>
    <x v="0"/>
    <n v="53"/>
    <x v="1"/>
    <n v="7000"/>
    <d v="2021-08-04T00:00:00"/>
    <x v="2"/>
    <x v="7"/>
  </r>
  <r>
    <x v="6"/>
    <n v="6500"/>
    <n v="4"/>
    <s v="R. Dr. Antônio Castro Prado, 422 - Vila Rossi e Borchi, Campinas - SP, 13076-130"/>
    <x v="0"/>
    <s v="ALON PESTANA"/>
    <x v="0"/>
    <n v="26"/>
    <x v="2"/>
    <n v="26000"/>
    <d v="2021-11-12T00:00:00"/>
    <x v="2"/>
    <x v="10"/>
  </r>
  <r>
    <x v="8"/>
    <n v="1400"/>
    <n v="2"/>
    <s v="R. Brasílio Itiberê, 3279 - Água Verde, Curitiba - PR, 80250-160"/>
    <x v="3"/>
    <s v="ISABEL LACERDA"/>
    <x v="1"/>
    <n v="35"/>
    <x v="0"/>
    <n v="2800"/>
    <d v="2021-02-22T00:00:00"/>
    <x v="2"/>
    <x v="4"/>
  </r>
  <r>
    <x v="8"/>
    <n v="1400"/>
    <n v="4"/>
    <s v="Av. Mal. Floriano Peixoto, 2248-2258 - Centro, Nova Iguaçu - RJ, 26210-000"/>
    <x v="1"/>
    <s v="GUIDO MONTEIRO"/>
    <x v="0"/>
    <n v="66"/>
    <x v="1"/>
    <n v="5600"/>
    <d v="2021-11-15T00:00:00"/>
    <x v="2"/>
    <x v="10"/>
  </r>
  <r>
    <x v="21"/>
    <n v="5200"/>
    <n v="5"/>
    <s v="Rua Antônio Lumack do Monte, 203 - 1 - Boa Viagem, Recife - PE, 51020-350"/>
    <x v="6"/>
    <s v="CARLOS GALVÃO"/>
    <x v="0"/>
    <n v="33"/>
    <x v="0"/>
    <n v="26000"/>
    <d v="2021-09-07T00:00:00"/>
    <x v="2"/>
    <x v="1"/>
  </r>
  <r>
    <x v="19"/>
    <n v="1750"/>
    <n v="3"/>
    <s v="Av. Goiás Norte, 3.592 - quadra 2.1 - St. Mal. Rondon, Goiânia - GO, 74063-010"/>
    <x v="4"/>
    <s v="ANA JÚNIOR"/>
    <x v="1"/>
    <n v="58"/>
    <x v="1"/>
    <n v="5250"/>
    <d v="2021-12-22T00:00:00"/>
    <x v="2"/>
    <x v="8"/>
  </r>
  <r>
    <x v="2"/>
    <n v="1900"/>
    <n v="3"/>
    <s v="Av. Dom Luís, 500 - Aldeota, Fortaleza - CE, 60160-230"/>
    <x v="2"/>
    <s v="ANNA MAIA"/>
    <x v="1"/>
    <n v="54"/>
    <x v="1"/>
    <n v="5700"/>
    <d v="2021-06-13T00:00:00"/>
    <x v="2"/>
    <x v="3"/>
  </r>
  <r>
    <x v="0"/>
    <n v="4500"/>
    <n v="2"/>
    <s v="R. Brasílio Itiberê, 3279 - Água Verde, Curitiba - PR, 80250-160"/>
    <x v="3"/>
    <s v="RAFAELA GONÇALVES"/>
    <x v="1"/>
    <n v="67"/>
    <x v="1"/>
    <n v="9000"/>
    <d v="2021-10-05T00:00:00"/>
    <x v="2"/>
    <x v="6"/>
  </r>
  <r>
    <x v="3"/>
    <n v="1500"/>
    <n v="2"/>
    <s v="Av. Barão Homem de Melo, 1389 - Nova Granada, Belo Horizonte - MG, 30431-425"/>
    <x v="7"/>
    <s v="PEDRO OLIVEIRA"/>
    <x v="0"/>
    <n v="32"/>
    <x v="0"/>
    <n v="3000"/>
    <d v="2021-12-30T00:00:00"/>
    <x v="2"/>
    <x v="8"/>
  </r>
  <r>
    <x v="18"/>
    <n v="2500"/>
    <n v="3"/>
    <s v="Shopping Barra - Av. Centenário, 2992 - Barra, Salvador - BA, 40155-150"/>
    <x v="5"/>
    <s v="JULIANA SILVA"/>
    <x v="1"/>
    <n v="41"/>
    <x v="0"/>
    <n v="7500"/>
    <d v="2021-05-29T00:00:00"/>
    <x v="2"/>
    <x v="11"/>
  </r>
  <r>
    <x v="11"/>
    <n v="2000"/>
    <n v="3"/>
    <s v="Av. Dom Luís, 500 - Aldeota, Fortaleza - CE, 60160-230"/>
    <x v="2"/>
    <s v="LUCAS VILLANOVA"/>
    <x v="0"/>
    <n v="31"/>
    <x v="0"/>
    <n v="6000"/>
    <d v="2021-10-23T00:00:00"/>
    <x v="2"/>
    <x v="6"/>
  </r>
  <r>
    <x v="22"/>
    <n v="2400"/>
    <n v="2"/>
    <s v="Av. Barão Homem de Melo, 1389 - Nova Granada, Belo Horizonte - MG, 30431-425"/>
    <x v="7"/>
    <s v="LUÍSA FONSECA"/>
    <x v="0"/>
    <n v="41"/>
    <x v="0"/>
    <n v="4800"/>
    <d v="2021-12-06T00:00:00"/>
    <x v="2"/>
    <x v="8"/>
  </r>
  <r>
    <x v="12"/>
    <n v="1500"/>
    <n v="3"/>
    <s v="R. Teodoro Sampaio, 954 - Pinheiros, São Paulo - SP, 05406-050"/>
    <x v="0"/>
    <s v="LUIZ CONCEIÇÃO"/>
    <x v="0"/>
    <n v="34"/>
    <x v="0"/>
    <n v="4500"/>
    <d v="2021-05-30T00:00:00"/>
    <x v="2"/>
    <x v="11"/>
  </r>
  <r>
    <x v="13"/>
    <n v="1550"/>
    <n v="5"/>
    <s v="R. Luíz Faccini, 212 - Centro, Guarulhos - SP, 07110-000"/>
    <x v="0"/>
    <s v="LUÍZA GOULART"/>
    <x v="1"/>
    <n v="70"/>
    <x v="1"/>
    <n v="7750"/>
    <d v="2021-06-23T00:00:00"/>
    <x v="2"/>
    <x v="3"/>
  </r>
  <r>
    <x v="13"/>
    <n v="1550"/>
    <n v="3"/>
    <s v="Av. Barão Homem de Melo, 1389 - Nova Granada, Belo Horizonte - MG, 30431-425"/>
    <x v="7"/>
    <s v="PEDRO CARDOSO"/>
    <x v="0"/>
    <n v="62"/>
    <x v="1"/>
    <n v="4650"/>
    <d v="2021-12-24T00:00:00"/>
    <x v="2"/>
    <x v="8"/>
  </r>
  <r>
    <x v="23"/>
    <n v="1100"/>
    <n v="3"/>
    <s v="R. Brasílio Itiberê, 3279 - Água Verde, Curitiba - PR, 80250-160"/>
    <x v="3"/>
    <s v="MILENA PEREIRA"/>
    <x v="1"/>
    <n v="67"/>
    <x v="1"/>
    <n v="3300"/>
    <d v="2021-10-05T00:00:00"/>
    <x v="2"/>
    <x v="6"/>
  </r>
  <r>
    <x v="14"/>
    <n v="1500"/>
    <n v="3"/>
    <s v="R. Luíz Faccini, 212 - Centro, Guarulhos - SP, 07110-000"/>
    <x v="0"/>
    <s v="CARLOS PORTELA"/>
    <x v="0"/>
    <n v="63"/>
    <x v="1"/>
    <n v="4500"/>
    <d v="2021-08-02T00:00:00"/>
    <x v="2"/>
    <x v="7"/>
  </r>
  <r>
    <x v="5"/>
    <n v="1450"/>
    <n v="2"/>
    <s v="Av. Barão Homem de Melo, 1389 - Nova Granada, Belo Horizonte - MG, 30431-425"/>
    <x v="7"/>
    <s v="THIAGO VEIGA"/>
    <x v="0"/>
    <n v="39"/>
    <x v="0"/>
    <n v="2900"/>
    <d v="2021-06-27T00:00:00"/>
    <x v="2"/>
    <x v="3"/>
  </r>
  <r>
    <x v="3"/>
    <n v="1500"/>
    <n v="3"/>
    <s v="R. Dr. Antônio Castro Prado, 422 - Vila Rossi e Borchi, Campinas - SP, 13076-130"/>
    <x v="0"/>
    <s v="CAROLINA CARNEIRO"/>
    <x v="1"/>
    <n v="37"/>
    <x v="0"/>
    <n v="4500"/>
    <d v="2021-05-02T00:00:00"/>
    <x v="2"/>
    <x v="11"/>
  </r>
  <r>
    <x v="20"/>
    <n v="5500"/>
    <n v="4"/>
    <s v="R. Dr. Antônio Castro Prado, 422 - Vila Rossi e Borchi, Campinas - SP, 13076-130"/>
    <x v="0"/>
    <s v="MORGANA CORREA"/>
    <x v="1"/>
    <n v="42"/>
    <x v="0"/>
    <n v="22000"/>
    <d v="2021-08-23T00:00:00"/>
    <x v="2"/>
    <x v="7"/>
  </r>
  <r>
    <x v="23"/>
    <n v="1100"/>
    <n v="3"/>
    <s v="R. Visc. de Pirajá, 136 - Ipanema, Rio de Janeiro - RJ, 22410-000"/>
    <x v="1"/>
    <s v="GABRIEL ROCHA"/>
    <x v="0"/>
    <n v="66"/>
    <x v="1"/>
    <n v="3300"/>
    <d v="2021-02-27T00:00:00"/>
    <x v="2"/>
    <x v="4"/>
  </r>
  <r>
    <x v="17"/>
    <n v="2300"/>
    <n v="5"/>
    <s v="Av. Barão Homem de Melo, 1389 - Nova Granada, Belo Horizonte - MG, 30431-425"/>
    <x v="7"/>
    <s v="LUIZ ALMEIDA"/>
    <x v="0"/>
    <n v="71"/>
    <x v="1"/>
    <n v="11500"/>
    <d v="2021-07-28T00:00:00"/>
    <x v="2"/>
    <x v="0"/>
  </r>
  <r>
    <x v="16"/>
    <n v="1200"/>
    <n v="5"/>
    <s v="Av. Borges de Medeiros, 3120 - Praia de Belas, Porto Alegre - RS, 90110-150"/>
    <x v="8"/>
    <s v="LUIZA RIBEIRO"/>
    <x v="1"/>
    <n v="31"/>
    <x v="0"/>
    <n v="6000"/>
    <d v="2021-04-15T00:00:00"/>
    <x v="2"/>
    <x v="2"/>
  </r>
  <r>
    <x v="7"/>
    <n v="2600"/>
    <n v="4"/>
    <s v="Av. Goiás Norte, 3.592 - quadra 2.1 - St. Mal. Rondon, Goiânia - GO, 74063-010"/>
    <x v="4"/>
    <s v="EDUARDO SOARES"/>
    <x v="0"/>
    <n v="60"/>
    <x v="1"/>
    <n v="10400"/>
    <d v="2021-03-19T00:00:00"/>
    <x v="2"/>
    <x v="9"/>
  </r>
  <r>
    <x v="0"/>
    <n v="4500"/>
    <n v="2"/>
    <s v="R. Luíz Faccini, 212 - Centro, Guarulhos - SP, 07110-000"/>
    <x v="0"/>
    <s v="DIEGO MARCHESI"/>
    <x v="0"/>
    <n v="27"/>
    <x v="2"/>
    <n v="9000"/>
    <d v="2021-03-06T00:00:00"/>
    <x v="2"/>
    <x v="9"/>
  </r>
  <r>
    <x v="8"/>
    <n v="1400"/>
    <n v="5"/>
    <s v="Rua Quinze de Novembro, 8 - Loja 301a Loja 301b - Centro, Niterói - RJ, 24020-125"/>
    <x v="1"/>
    <s v="VICTOR OLIVEIRA"/>
    <x v="0"/>
    <n v="73"/>
    <x v="1"/>
    <n v="7000"/>
    <d v="2021-10-16T00:00:00"/>
    <x v="2"/>
    <x v="6"/>
  </r>
  <r>
    <x v="9"/>
    <n v="2000"/>
    <n v="5"/>
    <s v="Shopping Barra - Av. Centenário, 2992 - Barra, Salvador - BA, 40155-150"/>
    <x v="5"/>
    <s v="PHILIPE MORETE"/>
    <x v="0"/>
    <n v="60"/>
    <x v="1"/>
    <n v="10000"/>
    <d v="2021-01-28T00:00:00"/>
    <x v="2"/>
    <x v="5"/>
  </r>
  <r>
    <x v="20"/>
    <n v="5500"/>
    <n v="3"/>
    <s v="R. Luíz Faccini, 212 - Centro, Guarulhos - SP, 07110-000"/>
    <x v="0"/>
    <s v="CAROLINE CAVALCANTI"/>
    <x v="1"/>
    <n v="37"/>
    <x v="0"/>
    <n v="16500"/>
    <d v="2021-09-02T00:00:00"/>
    <x v="2"/>
    <x v="1"/>
  </r>
  <r>
    <x v="13"/>
    <n v="1550"/>
    <n v="3"/>
    <s v="R. Teodoro Sampaio, 954 - Pinheiros, São Paulo - SP, 05406-050"/>
    <x v="0"/>
    <s v="MARIANA BARROZO"/>
    <x v="1"/>
    <n v="59"/>
    <x v="1"/>
    <n v="4650"/>
    <d v="2021-03-17T00:00:00"/>
    <x v="2"/>
    <x v="9"/>
  </r>
  <r>
    <x v="17"/>
    <n v="2300"/>
    <n v="5"/>
    <s v="Av. Goiás Norte, 3.592 - quadra 2.1 - St. Mal. Rondon, Goiânia - GO, 74063-010"/>
    <x v="4"/>
    <s v="ANA JÚNIOR"/>
    <x v="1"/>
    <n v="58"/>
    <x v="1"/>
    <n v="11500"/>
    <d v="2021-11-20T00:00:00"/>
    <x v="2"/>
    <x v="10"/>
  </r>
  <r>
    <x v="2"/>
    <n v="1900"/>
    <n v="5"/>
    <s v="R. Brasílio Itiberê, 3279 - Água Verde, Curitiba - PR, 80250-160"/>
    <x v="3"/>
    <s v="DANIEL NAUENBERG"/>
    <x v="0"/>
    <n v="36"/>
    <x v="0"/>
    <n v="9500"/>
    <d v="2021-10-26T00:00:00"/>
    <x v="2"/>
    <x v="6"/>
  </r>
  <r>
    <x v="1"/>
    <n v="1400"/>
    <n v="1"/>
    <s v="R. Teodoro Sampaio, 954 - Pinheiros, São Paulo - SP, 05406-050"/>
    <x v="0"/>
    <s v="CAIO MORAES"/>
    <x v="0"/>
    <n v="69"/>
    <x v="1"/>
    <n v="1400"/>
    <d v="2021-08-03T00:00:00"/>
    <x v="2"/>
    <x v="7"/>
  </r>
  <r>
    <x v="22"/>
    <n v="2400"/>
    <n v="1"/>
    <s v="Rua Quinze de Novembro, 8 - Loja 301a Loja 301b - Centro, Niterói - RJ, 24020-125"/>
    <x v="1"/>
    <s v="MARIA MOTTA"/>
    <x v="1"/>
    <n v="27"/>
    <x v="2"/>
    <n v="2400"/>
    <d v="2021-05-08T00:00:00"/>
    <x v="2"/>
    <x v="11"/>
  </r>
  <r>
    <x v="4"/>
    <n v="700"/>
    <n v="1"/>
    <s v="R. Visc. de Pirajá, 136 - Ipanema, Rio de Janeiro - RJ, 22410-000"/>
    <x v="1"/>
    <s v="SILVIO PROVENZANO"/>
    <x v="0"/>
    <n v="37"/>
    <x v="0"/>
    <n v="700"/>
    <d v="2021-12-03T00:00:00"/>
    <x v="2"/>
    <x v="8"/>
  </r>
  <r>
    <x v="6"/>
    <n v="6500"/>
    <n v="3"/>
    <s v="Av. Barão Homem de Melo, 1389 - Nova Granada, Belo Horizonte - MG, 30431-425"/>
    <x v="7"/>
    <s v="MICHELLE FIGUEIREDO"/>
    <x v="1"/>
    <n v="47"/>
    <x v="0"/>
    <n v="19500"/>
    <d v="2021-05-20T00:00:00"/>
    <x v="2"/>
    <x v="11"/>
  </r>
  <r>
    <x v="11"/>
    <n v="2000"/>
    <n v="1"/>
    <s v="R. Brasílio Itiberê, 3279 - Água Verde, Curitiba - PR, 80250-160"/>
    <x v="3"/>
    <s v="RAFAELA GONÇALVES"/>
    <x v="1"/>
    <n v="67"/>
    <x v="1"/>
    <n v="2000"/>
    <d v="2021-07-18T00:00:00"/>
    <x v="2"/>
    <x v="0"/>
  </r>
  <r>
    <x v="3"/>
    <n v="1500"/>
    <n v="5"/>
    <s v="Av. Dom Luís, 500 - Aldeota, Fortaleza - CE, 60160-230"/>
    <x v="2"/>
    <s v="DAVID VASCONCELOS"/>
    <x v="0"/>
    <n v="47"/>
    <x v="0"/>
    <n v="7500"/>
    <d v="2021-04-18T00:00:00"/>
    <x v="2"/>
    <x v="2"/>
  </r>
  <r>
    <x v="10"/>
    <n v="750"/>
    <n v="3"/>
    <s v="Av. Borges de Medeiros, 3120 - Praia de Belas, Porto Alegre - RS, 90110-150"/>
    <x v="8"/>
    <s v="LUIZA JOHNSON"/>
    <x v="1"/>
    <n v="72"/>
    <x v="1"/>
    <n v="2250"/>
    <d v="2021-02-10T00:00:00"/>
    <x v="2"/>
    <x v="4"/>
  </r>
  <r>
    <x v="12"/>
    <n v="1500"/>
    <n v="3"/>
    <s v="R. Teodoro Sampaio, 954 - Pinheiros, São Paulo - SP, 05406-050"/>
    <x v="0"/>
    <s v="CAIO MORAES"/>
    <x v="0"/>
    <n v="69"/>
    <x v="1"/>
    <n v="4500"/>
    <d v="2021-06-29T00:00:00"/>
    <x v="2"/>
    <x v="3"/>
  </r>
  <r>
    <x v="9"/>
    <n v="2000"/>
    <n v="1"/>
    <s v="Av. Borges de Medeiros, 3120 - Praia de Belas, Porto Alegre - RS, 90110-150"/>
    <x v="8"/>
    <s v="MARIANA ROTAVA"/>
    <x v="1"/>
    <n v="59"/>
    <x v="1"/>
    <n v="2000"/>
    <d v="2021-11-02T00:00:00"/>
    <x v="2"/>
    <x v="10"/>
  </r>
  <r>
    <x v="12"/>
    <n v="1500"/>
    <n v="1"/>
    <s v="Av. Goiás Norte, 3.592 - quadra 2.1 - St. Mal. Rondon, Goiânia - GO, 74063-010"/>
    <x v="4"/>
    <s v="DANDARA REIS"/>
    <x v="1"/>
    <n v="42"/>
    <x v="0"/>
    <n v="1500"/>
    <d v="2021-08-15T00:00:00"/>
    <x v="2"/>
    <x v="7"/>
  </r>
  <r>
    <x v="11"/>
    <n v="2000"/>
    <n v="1"/>
    <s v="Av. Mal. Floriano Peixoto, 2248-2258 - Centro, Nova Iguaçu - RJ, 26210-000"/>
    <x v="1"/>
    <s v="GUILHERME SANTOS"/>
    <x v="0"/>
    <n v="44"/>
    <x v="0"/>
    <n v="2000"/>
    <d v="2021-11-27T00:00:00"/>
    <x v="2"/>
    <x v="10"/>
  </r>
  <r>
    <x v="4"/>
    <n v="700"/>
    <n v="5"/>
    <s v="R. Luíz Faccini, 212 - Centro, Guarulhos - SP, 07110-000"/>
    <x v="0"/>
    <s v="MARIANE FERREIRA"/>
    <x v="1"/>
    <n v="54"/>
    <x v="1"/>
    <n v="3500"/>
    <d v="2021-02-04T00:00:00"/>
    <x v="2"/>
    <x v="4"/>
  </r>
  <r>
    <x v="19"/>
    <n v="1750"/>
    <n v="5"/>
    <s v="R. Dr. Antônio Castro Prado, 422 - Vila Rossi e Borchi, Campinas - SP, 13076-130"/>
    <x v="0"/>
    <s v="CARLOS ARAUJO"/>
    <x v="0"/>
    <n v="61"/>
    <x v="1"/>
    <n v="8750"/>
    <d v="2021-09-16T00:00:00"/>
    <x v="2"/>
    <x v="1"/>
  </r>
  <r>
    <x v="9"/>
    <n v="2000"/>
    <n v="1"/>
    <s v="Av. Borges de Medeiros, 3120 - Praia de Belas, Porto Alegre - RS, 90110-150"/>
    <x v="8"/>
    <s v="TAINAH NOGUEIRA"/>
    <x v="1"/>
    <n v="43"/>
    <x v="0"/>
    <n v="2000"/>
    <d v="2021-11-03T00:00:00"/>
    <x v="2"/>
    <x v="10"/>
  </r>
  <r>
    <x v="11"/>
    <n v="2000"/>
    <n v="4"/>
    <s v="Rua Antônio Lumack do Monte, 203 - 1 - Boa Viagem, Recife - PE, 51020-350"/>
    <x v="6"/>
    <s v="CAIO VIANNA"/>
    <x v="0"/>
    <n v="33"/>
    <x v="0"/>
    <n v="8000"/>
    <d v="2021-06-15T00:00:00"/>
    <x v="2"/>
    <x v="3"/>
  </r>
  <r>
    <x v="1"/>
    <n v="1400"/>
    <n v="3"/>
    <s v="Rua Antônio Lumack do Monte, 203 - 1 - Boa Viagem, Recife - PE, 51020-350"/>
    <x v="6"/>
    <s v="DEYSIANE MEDRONHO"/>
    <x v="1"/>
    <n v="47"/>
    <x v="0"/>
    <n v="4200"/>
    <d v="2021-11-06T00:00:00"/>
    <x v="2"/>
    <x v="10"/>
  </r>
  <r>
    <x v="17"/>
    <n v="2300"/>
    <n v="1"/>
    <s v="R. Brasílio Itiberê, 3279 - Água Verde, Curitiba - PR, 80250-160"/>
    <x v="3"/>
    <s v="ANA GOMES"/>
    <x v="1"/>
    <n v="64"/>
    <x v="1"/>
    <n v="2300"/>
    <d v="2021-07-01T00:00:00"/>
    <x v="2"/>
    <x v="0"/>
  </r>
  <r>
    <x v="2"/>
    <n v="1900"/>
    <n v="5"/>
    <s v="R. Teodoro Sampaio, 954 - Pinheiros, São Paulo - SP, 05406-050"/>
    <x v="0"/>
    <s v="JOÃO ABRAÇADO"/>
    <x v="0"/>
    <n v="42"/>
    <x v="0"/>
    <n v="9500"/>
    <d v="2021-07-18T00:00:00"/>
    <x v="2"/>
    <x v="0"/>
  </r>
  <r>
    <x v="19"/>
    <n v="1750"/>
    <n v="5"/>
    <s v="Shopping Barra - Av. Centenário, 2992 - Barra, Salvador - BA, 40155-150"/>
    <x v="5"/>
    <s v="JOÃO LUZ"/>
    <x v="0"/>
    <n v="25"/>
    <x v="2"/>
    <n v="8750"/>
    <d v="2021-07-05T00:00:00"/>
    <x v="2"/>
    <x v="0"/>
  </r>
  <r>
    <x v="17"/>
    <n v="2300"/>
    <n v="1"/>
    <s v="Av. Goiás Norte, 3.592 - quadra 2.1 - St. Mal. Rondon, Goiânia - GO, 74063-010"/>
    <x v="4"/>
    <s v="MATHEUS RAMOS"/>
    <x v="0"/>
    <n v="56"/>
    <x v="1"/>
    <n v="2300"/>
    <d v="2021-03-31T00:00:00"/>
    <x v="2"/>
    <x v="9"/>
  </r>
  <r>
    <x v="13"/>
    <n v="1550"/>
    <n v="4"/>
    <s v="R. Visc. de Pirajá, 136 - Ipanema, Rio de Janeiro - RJ, 22410-000"/>
    <x v="1"/>
    <s v="BIANCA ALLEVATO"/>
    <x v="1"/>
    <n v="42"/>
    <x v="0"/>
    <n v="6200"/>
    <d v="2021-11-10T00:00:00"/>
    <x v="2"/>
    <x v="10"/>
  </r>
  <r>
    <x v="10"/>
    <n v="750"/>
    <n v="3"/>
    <s v="Rua Antônio Lumack do Monte, 203 - 1 - Boa Viagem, Recife - PE, 51020-350"/>
    <x v="6"/>
    <s v="ISABELA RESENDE"/>
    <x v="1"/>
    <n v="74"/>
    <x v="1"/>
    <n v="2250"/>
    <d v="2021-09-25T00:00:00"/>
    <x v="2"/>
    <x v="1"/>
  </r>
  <r>
    <x v="15"/>
    <n v="3000"/>
    <n v="1"/>
    <s v="Av. Goiás Norte, 3.592 - quadra 2.1 - St. Mal. Rondon, Goiânia - GO, 74063-010"/>
    <x v="4"/>
    <s v="JÔNATAS TANAKA"/>
    <x v="0"/>
    <n v="31"/>
    <x v="0"/>
    <n v="3000"/>
    <d v="2021-04-25T00:00:00"/>
    <x v="2"/>
    <x v="2"/>
  </r>
  <r>
    <x v="18"/>
    <n v="2500"/>
    <n v="5"/>
    <s v="R. Visc. de Pirajá, 136 - Ipanema, Rio de Janeiro - RJ, 22410-000"/>
    <x v="1"/>
    <s v="CÉZAR SANTOS"/>
    <x v="0"/>
    <n v="68"/>
    <x v="1"/>
    <n v="12500"/>
    <d v="2021-06-30T00:00:00"/>
    <x v="2"/>
    <x v="3"/>
  </r>
  <r>
    <x v="13"/>
    <n v="1550"/>
    <n v="2"/>
    <s v="Av. Borges de Medeiros, 3120 - Praia de Belas, Porto Alegre - RS, 90110-150"/>
    <x v="8"/>
    <s v="BERNARDO SOARES"/>
    <x v="0"/>
    <n v="41"/>
    <x v="0"/>
    <n v="3100"/>
    <d v="2021-02-03T00:00:00"/>
    <x v="2"/>
    <x v="4"/>
  </r>
  <r>
    <x v="9"/>
    <n v="2000"/>
    <n v="4"/>
    <s v="Rua Antônio Lumack do Monte, 203 - 1 - Boa Viagem, Recife - PE, 51020-350"/>
    <x v="6"/>
    <s v="ISABELA RESENDE"/>
    <x v="1"/>
    <n v="74"/>
    <x v="1"/>
    <n v="8000"/>
    <d v="2021-11-09T00:00:00"/>
    <x v="2"/>
    <x v="10"/>
  </r>
  <r>
    <x v="2"/>
    <n v="1900"/>
    <n v="1"/>
    <s v="Rua Antônio Lumack do Monte, 203 - 1 - Boa Viagem, Recife - PE, 51020-350"/>
    <x v="6"/>
    <s v="ITAI PUNTEL"/>
    <x v="0"/>
    <n v="69"/>
    <x v="1"/>
    <n v="1900"/>
    <d v="2021-10-15T00:00:00"/>
    <x v="2"/>
    <x v="6"/>
  </r>
  <r>
    <x v="18"/>
    <n v="2500"/>
    <n v="1"/>
    <s v="R. Brasílio Itiberê, 3279 - Água Verde, Curitiba - PR, 80250-160"/>
    <x v="3"/>
    <s v="MARCELA GASPERI"/>
    <x v="1"/>
    <n v="59"/>
    <x v="1"/>
    <n v="2500"/>
    <d v="2021-01-25T00:00:00"/>
    <x v="2"/>
    <x v="5"/>
  </r>
  <r>
    <x v="22"/>
    <n v="2400"/>
    <n v="2"/>
    <s v="Av. Borges de Medeiros, 3120 - Praia de Belas, Porto Alegre - RS, 90110-150"/>
    <x v="8"/>
    <s v="DANIEL SOUSA"/>
    <x v="0"/>
    <n v="25"/>
    <x v="2"/>
    <n v="4800"/>
    <d v="2021-09-15T00:00:00"/>
    <x v="2"/>
    <x v="1"/>
  </r>
  <r>
    <x v="6"/>
    <n v="6500"/>
    <n v="3"/>
    <s v="R. Teodoro Sampaio, 954 - Pinheiros, São Paulo - SP, 05406-050"/>
    <x v="0"/>
    <s v="THALES FANARA"/>
    <x v="0"/>
    <n v="49"/>
    <x v="0"/>
    <n v="19500"/>
    <d v="2021-02-05T00:00:00"/>
    <x v="2"/>
    <x v="4"/>
  </r>
  <r>
    <x v="10"/>
    <n v="750"/>
    <n v="2"/>
    <s v="R. Teodoro Sampaio, 954 - Pinheiros, São Paulo - SP, 05406-050"/>
    <x v="0"/>
    <s v="TAYLA LIMA"/>
    <x v="1"/>
    <n v="31"/>
    <x v="0"/>
    <n v="1500"/>
    <d v="2021-11-20T00:00:00"/>
    <x v="2"/>
    <x v="10"/>
  </r>
  <r>
    <x v="21"/>
    <n v="5200"/>
    <n v="5"/>
    <s v="Av. Borges de Medeiros, 3120 - Praia de Belas, Porto Alegre - RS, 90110-150"/>
    <x v="8"/>
    <s v="DANIEL SOUSA"/>
    <x v="0"/>
    <n v="25"/>
    <x v="2"/>
    <n v="26000"/>
    <d v="2021-12-24T00:00:00"/>
    <x v="2"/>
    <x v="8"/>
  </r>
  <r>
    <x v="14"/>
    <n v="1500"/>
    <n v="3"/>
    <s v="Av. Goiás Norte, 3.592 - quadra 2.1 - St. Mal. Rondon, Goiânia - GO, 74063-010"/>
    <x v="4"/>
    <s v="MATHEUS RAMOS"/>
    <x v="0"/>
    <n v="56"/>
    <x v="1"/>
    <n v="4500"/>
    <d v="2021-01-04T00:00:00"/>
    <x v="2"/>
    <x v="5"/>
  </r>
  <r>
    <x v="8"/>
    <n v="1400"/>
    <n v="1"/>
    <s v="R. Brasílio Itiberê, 3279 - Água Verde, Curitiba - PR, 80250-160"/>
    <x v="3"/>
    <s v="CARLOS AZEVEDO"/>
    <x v="0"/>
    <n v="34"/>
    <x v="0"/>
    <n v="1400"/>
    <d v="2021-05-23T00:00:00"/>
    <x v="2"/>
    <x v="11"/>
  </r>
  <r>
    <x v="19"/>
    <n v="1750"/>
    <n v="3"/>
    <s v="R. Luíz Faccini, 212 - Centro, Guarulhos - SP, 07110-000"/>
    <x v="0"/>
    <s v="MARINA GAMA"/>
    <x v="1"/>
    <n v="68"/>
    <x v="1"/>
    <n v="5250"/>
    <d v="2021-02-09T00:00:00"/>
    <x v="2"/>
    <x v="4"/>
  </r>
  <r>
    <x v="21"/>
    <n v="5200"/>
    <n v="5"/>
    <s v="Av. Barão Homem de Melo, 1389 - Nova Granada, Belo Horizonte - MG, 30431-425"/>
    <x v="7"/>
    <s v="CAROLINE PINTO"/>
    <x v="1"/>
    <n v="66"/>
    <x v="1"/>
    <n v="26000"/>
    <d v="2021-01-03T00:00:00"/>
    <x v="2"/>
    <x v="5"/>
  </r>
  <r>
    <x v="11"/>
    <n v="2000"/>
    <n v="2"/>
    <s v="R. Brasílio Itiberê, 3279 - Água Verde, Curitiba - PR, 80250-160"/>
    <x v="3"/>
    <s v="MATHEUS DELGADO"/>
    <x v="0"/>
    <n v="44"/>
    <x v="0"/>
    <n v="4000"/>
    <d v="2021-04-08T00:00:00"/>
    <x v="2"/>
    <x v="2"/>
  </r>
  <r>
    <x v="10"/>
    <n v="750"/>
    <n v="5"/>
    <s v="Shopping Barra - Av. Centenário, 2992 - Barra, Salvador - BA, 40155-150"/>
    <x v="5"/>
    <s v="JEFERSON COSTA"/>
    <x v="0"/>
    <n v="41"/>
    <x v="0"/>
    <n v="3750"/>
    <d v="2021-08-31T00:00:00"/>
    <x v="2"/>
    <x v="7"/>
  </r>
  <r>
    <x v="1"/>
    <n v="1400"/>
    <n v="1"/>
    <s v="Rua Quinze de Novembro, 8 - Loja 301a Loja 301b - Centro, Niterói - RJ, 24020-125"/>
    <x v="1"/>
    <s v="FERNANDA BHERING"/>
    <x v="1"/>
    <n v="41"/>
    <x v="0"/>
    <n v="1400"/>
    <d v="2021-08-25T00:00:00"/>
    <x v="2"/>
    <x v="7"/>
  </r>
  <r>
    <x v="3"/>
    <n v="1500"/>
    <n v="1"/>
    <s v="R. Brasílio Itiberê, 3279 - Água Verde, Curitiba - PR, 80250-160"/>
    <x v="3"/>
    <s v="GIULIA LOPES"/>
    <x v="1"/>
    <n v="59"/>
    <x v="1"/>
    <n v="1500"/>
    <d v="2021-06-02T00:00:00"/>
    <x v="2"/>
    <x v="3"/>
  </r>
  <r>
    <x v="7"/>
    <n v="2600"/>
    <n v="3"/>
    <s v="R. Dr. Antônio Castro Prado, 422 - Vila Rossi e Borchi, Campinas - SP, 13076-130"/>
    <x v="0"/>
    <s v="HELENA CHAFIN"/>
    <x v="1"/>
    <n v="45"/>
    <x v="0"/>
    <n v="7800"/>
    <d v="2021-12-08T00:00:00"/>
    <x v="2"/>
    <x v="8"/>
  </r>
  <r>
    <x v="18"/>
    <n v="2500"/>
    <n v="4"/>
    <s v="Av. Mal. Floriano Peixoto, 2248-2258 - Centro, Nova Iguaçu - RJ, 26210-000"/>
    <x v="1"/>
    <s v="CHAN SANTOS"/>
    <x v="1"/>
    <n v="37"/>
    <x v="0"/>
    <n v="10000"/>
    <d v="2021-03-03T00:00:00"/>
    <x v="2"/>
    <x v="9"/>
  </r>
  <r>
    <x v="1"/>
    <n v="1400"/>
    <n v="2"/>
    <s v="R. Visc. de Pirajá, 136 - Ipanema, Rio de Janeiro - RJ, 22410-000"/>
    <x v="1"/>
    <s v="RAPHAEL MACHADO"/>
    <x v="0"/>
    <n v="66"/>
    <x v="1"/>
    <n v="2800"/>
    <d v="2021-04-17T00:00:00"/>
    <x v="2"/>
    <x v="2"/>
  </r>
  <r>
    <x v="23"/>
    <n v="1100"/>
    <n v="3"/>
    <s v="R. Dr. Antônio Castro Prado, 422 - Vila Rossi e Borchi, Campinas - SP, 13076-130"/>
    <x v="0"/>
    <s v="RAPHAEL GUEDES"/>
    <x v="0"/>
    <n v="25"/>
    <x v="2"/>
    <n v="3300"/>
    <d v="2021-05-30T00:00:00"/>
    <x v="2"/>
    <x v="11"/>
  </r>
  <r>
    <x v="19"/>
    <n v="1750"/>
    <n v="3"/>
    <s v="R. Luíz Faccini, 212 - Centro, Guarulhos - SP, 07110-000"/>
    <x v="0"/>
    <s v="SANDY FIGUEIREDO"/>
    <x v="1"/>
    <n v="35"/>
    <x v="0"/>
    <n v="5250"/>
    <d v="2021-01-10T00:00:00"/>
    <x v="2"/>
    <x v="5"/>
  </r>
  <r>
    <x v="20"/>
    <n v="5500"/>
    <n v="4"/>
    <s v="Rua Antônio Lumack do Monte, 203 - 1 - Boa Viagem, Recife - PE, 51020-350"/>
    <x v="6"/>
    <s v="CAROLINA BRUM"/>
    <x v="1"/>
    <n v="68"/>
    <x v="1"/>
    <n v="22000"/>
    <d v="2021-08-07T00:00:00"/>
    <x v="2"/>
    <x v="7"/>
  </r>
  <r>
    <x v="18"/>
    <n v="2500"/>
    <n v="2"/>
    <s v="Rua Antônio Lumack do Monte, 203 - 1 - Boa Viagem, Recife - PE, 51020-350"/>
    <x v="6"/>
    <s v="CARLOS GALVÃO"/>
    <x v="0"/>
    <n v="33"/>
    <x v="0"/>
    <n v="5000"/>
    <d v="2021-04-03T00:00:00"/>
    <x v="2"/>
    <x v="2"/>
  </r>
  <r>
    <x v="21"/>
    <n v="5200"/>
    <n v="2"/>
    <s v="Av. Goiás Norte, 3.592 - quadra 2.1 - St. Mal. Rondon, Goiânia - GO, 74063-010"/>
    <x v="4"/>
    <s v="JOÃO GUADAGNINO"/>
    <x v="0"/>
    <n v="75"/>
    <x v="1"/>
    <n v="10400"/>
    <d v="2021-09-26T00:00:00"/>
    <x v="2"/>
    <x v="1"/>
  </r>
  <r>
    <x v="20"/>
    <n v="5500"/>
    <n v="4"/>
    <s v="R. Luíz Faccini, 212 - Centro, Guarulhos - SP, 07110-000"/>
    <x v="0"/>
    <s v="JOÃO FONSECA"/>
    <x v="0"/>
    <n v="34"/>
    <x v="0"/>
    <n v="22000"/>
    <d v="2021-10-18T00:00:00"/>
    <x v="2"/>
    <x v="6"/>
  </r>
  <r>
    <x v="14"/>
    <n v="1500"/>
    <n v="5"/>
    <s v="Shopping Barra - Av. Centenário, 2992 - Barra, Salvador - BA, 40155-150"/>
    <x v="5"/>
    <s v="CAIO CALDAS"/>
    <x v="0"/>
    <n v="33"/>
    <x v="0"/>
    <n v="7500"/>
    <d v="2021-10-30T00:00:00"/>
    <x v="2"/>
    <x v="6"/>
  </r>
  <r>
    <x v="2"/>
    <n v="1900"/>
    <n v="5"/>
    <s v="R. Luíz Faccini, 212 - Centro, Guarulhos - SP, 07110-000"/>
    <x v="0"/>
    <s v="ISABEL LEITE"/>
    <x v="1"/>
    <n v="31"/>
    <x v="0"/>
    <n v="9500"/>
    <d v="2021-06-02T00:00:00"/>
    <x v="2"/>
    <x v="3"/>
  </r>
  <r>
    <x v="13"/>
    <n v="1550"/>
    <n v="5"/>
    <s v="Rua Quinze de Novembro, 8 - Loja 301a Loja 301b - Centro, Niterói - RJ, 24020-125"/>
    <x v="1"/>
    <s v="MICHELLE MIURA"/>
    <x v="1"/>
    <n v="59"/>
    <x v="1"/>
    <n v="7750"/>
    <d v="2021-03-23T00:00:00"/>
    <x v="2"/>
    <x v="9"/>
  </r>
  <r>
    <x v="0"/>
    <n v="4500"/>
    <n v="4"/>
    <s v="Av. Goiás Norte, 3.592 - quadra 2.1 - St. Mal. Rondon, Goiânia - GO, 74063-010"/>
    <x v="4"/>
    <s v="ANA JÚNIOR"/>
    <x v="1"/>
    <n v="58"/>
    <x v="1"/>
    <n v="18000"/>
    <d v="2021-06-27T00:00:00"/>
    <x v="2"/>
    <x v="3"/>
  </r>
  <r>
    <x v="7"/>
    <n v="2600"/>
    <n v="4"/>
    <s v="R. Luíz Faccini, 212 - Centro, Guarulhos - SP, 07110-000"/>
    <x v="0"/>
    <s v="LUIZ LIMP"/>
    <x v="0"/>
    <n v="44"/>
    <x v="0"/>
    <n v="10400"/>
    <d v="2021-03-25T00:00:00"/>
    <x v="2"/>
    <x v="9"/>
  </r>
  <r>
    <x v="16"/>
    <n v="1200"/>
    <n v="5"/>
    <s v="Av. Mal. Floriano Peixoto, 2248-2258 - Centro, Nova Iguaçu - RJ, 26210-000"/>
    <x v="1"/>
    <s v="ERIC CARVALHO"/>
    <x v="0"/>
    <n v="70"/>
    <x v="1"/>
    <n v="6000"/>
    <d v="2021-02-28T00:00:00"/>
    <x v="2"/>
    <x v="4"/>
  </r>
  <r>
    <x v="17"/>
    <n v="2300"/>
    <n v="1"/>
    <s v="Av. Dom Luís, 500 - Aldeota, Fortaleza - CE, 60160-230"/>
    <x v="2"/>
    <s v="BEATRIZ BIASE"/>
    <x v="1"/>
    <n v="62"/>
    <x v="1"/>
    <n v="2300"/>
    <d v="2021-04-30T00:00:00"/>
    <x v="2"/>
    <x v="2"/>
  </r>
  <r>
    <x v="17"/>
    <n v="2300"/>
    <n v="2"/>
    <s v="Shopping Barra - Av. Centenário, 2992 - Barra, Salvador - BA, 40155-150"/>
    <x v="5"/>
    <s v="GUILHERME CASTILHO"/>
    <x v="0"/>
    <n v="55"/>
    <x v="1"/>
    <n v="4600"/>
    <d v="2021-05-01T00:00:00"/>
    <x v="2"/>
    <x v="11"/>
  </r>
  <r>
    <x v="19"/>
    <n v="1750"/>
    <n v="4"/>
    <s v="Shopping Barra - Av. Centenário, 2992 - Barra, Salvador - BA, 40155-150"/>
    <x v="5"/>
    <s v="VICTORIA MAZZA"/>
    <x v="1"/>
    <n v="59"/>
    <x v="1"/>
    <n v="7000"/>
    <d v="2021-06-01T00:00:00"/>
    <x v="2"/>
    <x v="3"/>
  </r>
  <r>
    <x v="5"/>
    <n v="1450"/>
    <n v="4"/>
    <s v="R. Luíz Faccini, 212 - Centro, Guarulhos - SP, 07110-000"/>
    <x v="0"/>
    <s v="EDUARDO PACHECO"/>
    <x v="0"/>
    <n v="33"/>
    <x v="0"/>
    <n v="5800"/>
    <d v="2021-09-04T00:00:00"/>
    <x v="2"/>
    <x v="1"/>
  </r>
  <r>
    <x v="6"/>
    <n v="6500"/>
    <n v="5"/>
    <s v="Av. Borges de Medeiros, 3120 - Praia de Belas, Porto Alegre - RS, 90110-150"/>
    <x v="8"/>
    <s v="JÚLIO FRAGA"/>
    <x v="0"/>
    <n v="53"/>
    <x v="1"/>
    <n v="32500"/>
    <d v="2021-11-26T00:00:00"/>
    <x v="2"/>
    <x v="10"/>
  </r>
  <r>
    <x v="10"/>
    <n v="750"/>
    <n v="4"/>
    <s v="Shopping Barra - Av. Centenário, 2992 - Barra, Salvador - BA, 40155-150"/>
    <x v="5"/>
    <s v="GABRIELLE VIRÍSSIMO"/>
    <x v="1"/>
    <n v="26"/>
    <x v="2"/>
    <n v="3000"/>
    <d v="2021-04-08T00:00:00"/>
    <x v="2"/>
    <x v="2"/>
  </r>
  <r>
    <x v="12"/>
    <n v="1500"/>
    <n v="3"/>
    <s v="R. Luíz Faccini, 212 - Centro, Guarulhos - SP, 07110-000"/>
    <x v="0"/>
    <s v="VICTOR LIRA"/>
    <x v="0"/>
    <n v="38"/>
    <x v="0"/>
    <n v="4500"/>
    <d v="2021-11-29T00:00:00"/>
    <x v="2"/>
    <x v="10"/>
  </r>
  <r>
    <x v="21"/>
    <n v="5200"/>
    <n v="2"/>
    <s v="Av. Borges de Medeiros, 3120 - Praia de Belas, Porto Alegre - RS, 90110-150"/>
    <x v="8"/>
    <s v="GUSTAVO GUIMARÃES"/>
    <x v="0"/>
    <n v="47"/>
    <x v="0"/>
    <n v="10400"/>
    <d v="2021-10-25T00:00:00"/>
    <x v="2"/>
    <x v="6"/>
  </r>
  <r>
    <x v="19"/>
    <n v="1750"/>
    <n v="4"/>
    <s v="Av. Borges de Medeiros, 3120 - Praia de Belas, Porto Alegre - RS, 90110-150"/>
    <x v="8"/>
    <s v="GUSTAVO GUIMARÃES"/>
    <x v="0"/>
    <n v="47"/>
    <x v="0"/>
    <n v="7000"/>
    <d v="2021-05-06T00:00:00"/>
    <x v="2"/>
    <x v="11"/>
  </r>
  <r>
    <x v="2"/>
    <n v="1900"/>
    <n v="5"/>
    <s v="Shopping Barra - Av. Centenário, 2992 - Barra, Salvador - BA, 40155-150"/>
    <x v="5"/>
    <s v="LUANA SANTANA"/>
    <x v="1"/>
    <n v="25"/>
    <x v="2"/>
    <n v="9500"/>
    <d v="2021-08-28T00:00:00"/>
    <x v="2"/>
    <x v="7"/>
  </r>
  <r>
    <x v="5"/>
    <n v="1450"/>
    <n v="4"/>
    <s v="Shopping Barra - Av. Centenário, 2992 - Barra, Salvador - BA, 40155-150"/>
    <x v="5"/>
    <s v="GABRIELA MELLO"/>
    <x v="1"/>
    <n v="58"/>
    <x v="1"/>
    <n v="5800"/>
    <d v="2021-09-16T00:00:00"/>
    <x v="2"/>
    <x v="1"/>
  </r>
  <r>
    <x v="5"/>
    <n v="1450"/>
    <n v="5"/>
    <s v="Rua Antônio Lumack do Monte, 203 - 1 - Boa Viagem, Recife - PE, 51020-350"/>
    <x v="6"/>
    <s v="VICTOR FRANCO"/>
    <x v="0"/>
    <n v="35"/>
    <x v="0"/>
    <n v="7250"/>
    <d v="2021-06-06T00:00:00"/>
    <x v="2"/>
    <x v="3"/>
  </r>
  <r>
    <x v="19"/>
    <n v="1750"/>
    <n v="4"/>
    <s v="Rua Antônio Lumack do Monte, 203 - 1 - Boa Viagem, Recife - PE, 51020-350"/>
    <x v="6"/>
    <s v="KATHARINA BARROS"/>
    <x v="1"/>
    <n v="65"/>
    <x v="1"/>
    <n v="7000"/>
    <d v="2021-04-03T00:00:00"/>
    <x v="2"/>
    <x v="2"/>
  </r>
  <r>
    <x v="16"/>
    <n v="1200"/>
    <n v="4"/>
    <s v="Av. Barão Homem de Melo, 1389 - Nova Granada, Belo Horizonte - MG, 30431-425"/>
    <x v="7"/>
    <s v="PEDRO CARDOSO"/>
    <x v="0"/>
    <n v="62"/>
    <x v="1"/>
    <n v="4800"/>
    <d v="2021-10-09T00:00:00"/>
    <x v="2"/>
    <x v="6"/>
  </r>
  <r>
    <x v="7"/>
    <n v="2600"/>
    <n v="1"/>
    <s v="R. Brasílio Itiberê, 3279 - Água Verde, Curitiba - PR, 80250-160"/>
    <x v="3"/>
    <s v="CLARA BRUNO"/>
    <x v="1"/>
    <n v="57"/>
    <x v="1"/>
    <n v="2600"/>
    <d v="2021-11-25T00:00:00"/>
    <x v="2"/>
    <x v="10"/>
  </r>
  <r>
    <x v="15"/>
    <n v="3000"/>
    <n v="1"/>
    <s v="Rua Antônio Lumack do Monte, 203 - 1 - Boa Viagem, Recife - PE, 51020-350"/>
    <x v="6"/>
    <s v="GABRIELLE FIGUEIREDO"/>
    <x v="1"/>
    <n v="49"/>
    <x v="0"/>
    <n v="3000"/>
    <d v="2021-11-07T00:00:00"/>
    <x v="2"/>
    <x v="10"/>
  </r>
  <r>
    <x v="15"/>
    <n v="3000"/>
    <n v="2"/>
    <s v="R. Dr. Antônio Castro Prado, 422 - Vila Rossi e Borchi, Campinas - SP, 13076-130"/>
    <x v="0"/>
    <s v="RAPHAEL MATTOS"/>
    <x v="0"/>
    <n v="40"/>
    <x v="0"/>
    <n v="6000"/>
    <d v="2021-06-15T00:00:00"/>
    <x v="2"/>
    <x v="3"/>
  </r>
  <r>
    <x v="0"/>
    <n v="4500"/>
    <n v="4"/>
    <s v="R. Luíz Faccini, 212 - Centro, Guarulhos - SP, 07110-000"/>
    <x v="0"/>
    <s v="MICHELLE PEREIRA"/>
    <x v="1"/>
    <n v="55"/>
    <x v="1"/>
    <n v="18000"/>
    <d v="2021-12-15T00:00:00"/>
    <x v="2"/>
    <x v="8"/>
  </r>
  <r>
    <x v="23"/>
    <n v="1100"/>
    <n v="2"/>
    <s v="Rua Quinze de Novembro, 8 - Loja 301a Loja 301b - Centro, Niterói - RJ, 24020-125"/>
    <x v="1"/>
    <s v="SYLVIO BERNHARDT"/>
    <x v="0"/>
    <n v="47"/>
    <x v="0"/>
    <n v="2200"/>
    <d v="2021-07-26T00:00:00"/>
    <x v="2"/>
    <x v="0"/>
  </r>
  <r>
    <x v="10"/>
    <n v="750"/>
    <n v="4"/>
    <s v="Av. Goiás Norte, 3.592 - quadra 2.1 - St. Mal. Rondon, Goiânia - GO, 74063-010"/>
    <x v="4"/>
    <s v="BRUNO VELUCCI"/>
    <x v="0"/>
    <n v="52"/>
    <x v="1"/>
    <n v="3000"/>
    <d v="2021-06-29T00:00:00"/>
    <x v="2"/>
    <x v="3"/>
  </r>
  <r>
    <x v="13"/>
    <n v="1550"/>
    <n v="2"/>
    <s v="Av. Borges de Medeiros, 3120 - Praia de Belas, Porto Alegre - RS, 90110-150"/>
    <x v="8"/>
    <s v="MARIANE RACY"/>
    <x v="1"/>
    <n v="42"/>
    <x v="0"/>
    <n v="3100"/>
    <d v="2021-07-05T00:00:00"/>
    <x v="2"/>
    <x v="0"/>
  </r>
  <r>
    <x v="7"/>
    <n v="2600"/>
    <n v="3"/>
    <s v="R. Luíz Faccini, 212 - Centro, Guarulhos - SP, 07110-000"/>
    <x v="0"/>
    <s v="JEFERSON SONE"/>
    <x v="0"/>
    <n v="46"/>
    <x v="0"/>
    <n v="7800"/>
    <d v="2021-03-02T00:00:00"/>
    <x v="2"/>
    <x v="9"/>
  </r>
  <r>
    <x v="8"/>
    <n v="1400"/>
    <n v="3"/>
    <s v="R. Visc. de Pirajá, 136 - Ipanema, Rio de Janeiro - RJ, 22410-000"/>
    <x v="1"/>
    <s v="EDUARDO VEIGA"/>
    <x v="0"/>
    <n v="30"/>
    <x v="0"/>
    <n v="4200"/>
    <d v="2021-10-21T00:00:00"/>
    <x v="2"/>
    <x v="6"/>
  </r>
  <r>
    <x v="19"/>
    <n v="1750"/>
    <n v="3"/>
    <s v="Shopping Barra - Av. Centenário, 2992 - Barra, Salvador - BA, 40155-150"/>
    <x v="5"/>
    <s v="CÍCERO RAMOS"/>
    <x v="0"/>
    <n v="62"/>
    <x v="1"/>
    <n v="5250"/>
    <d v="2021-05-24T00:00:00"/>
    <x v="2"/>
    <x v="11"/>
  </r>
  <r>
    <x v="20"/>
    <n v="5500"/>
    <n v="2"/>
    <s v="Rua Antônio Lumack do Monte, 203 - 1 - Boa Viagem, Recife - PE, 51020-350"/>
    <x v="6"/>
    <s v="LUCAS JUNIOR"/>
    <x v="0"/>
    <n v="35"/>
    <x v="0"/>
    <n v="11000"/>
    <d v="2021-12-05T00:00:00"/>
    <x v="2"/>
    <x v="8"/>
  </r>
  <r>
    <x v="14"/>
    <n v="1500"/>
    <n v="5"/>
    <s v="Shopping Barra - Av. Centenário, 2992 - Barra, Salvador - BA, 40155-150"/>
    <x v="5"/>
    <s v="MILENA ALCOFORADO"/>
    <x v="1"/>
    <n v="68"/>
    <x v="1"/>
    <n v="7500"/>
    <d v="2021-04-27T00:00:00"/>
    <x v="2"/>
    <x v="2"/>
  </r>
  <r>
    <x v="17"/>
    <n v="2300"/>
    <n v="4"/>
    <s v="R. Visc. de Pirajá, 136 - Ipanema, Rio de Janeiro - RJ, 22410-000"/>
    <x v="1"/>
    <s v="BIANCA FEREZIN"/>
    <x v="1"/>
    <n v="39"/>
    <x v="0"/>
    <n v="9200"/>
    <d v="2021-11-26T00:00:00"/>
    <x v="2"/>
    <x v="10"/>
  </r>
  <r>
    <x v="21"/>
    <n v="5200"/>
    <n v="1"/>
    <s v="Rua Quinze de Novembro, 8 - Loja 301a Loja 301b - Centro, Niterói - RJ, 24020-125"/>
    <x v="1"/>
    <s v="WILLIAM MENDONÇA"/>
    <x v="0"/>
    <n v="28"/>
    <x v="2"/>
    <n v="5200"/>
    <d v="2021-07-06T00:00:00"/>
    <x v="2"/>
    <x v="0"/>
  </r>
  <r>
    <x v="23"/>
    <n v="1100"/>
    <n v="4"/>
    <s v="R. Brasílio Itiberê, 3279 - Água Verde, Curitiba - PR, 80250-160"/>
    <x v="3"/>
    <s v="GIULIA LOPES"/>
    <x v="1"/>
    <n v="59"/>
    <x v="1"/>
    <n v="4400"/>
    <d v="2021-02-16T00:00:00"/>
    <x v="2"/>
    <x v="4"/>
  </r>
  <r>
    <x v="21"/>
    <n v="5200"/>
    <n v="4"/>
    <s v="Av. Barão Homem de Melo, 1389 - Nova Granada, Belo Horizonte - MG, 30431-425"/>
    <x v="7"/>
    <s v="LUÍSA FONSECA"/>
    <x v="0"/>
    <n v="41"/>
    <x v="0"/>
    <n v="20800"/>
    <d v="2021-08-26T00:00:00"/>
    <x v="2"/>
    <x v="7"/>
  </r>
  <r>
    <x v="20"/>
    <n v="5500"/>
    <n v="2"/>
    <s v="Shopping Barra - Av. Centenário, 2992 - Barra, Salvador - BA, 40155-150"/>
    <x v="5"/>
    <s v="RAPHAEL REZENDE"/>
    <x v="0"/>
    <n v="56"/>
    <x v="1"/>
    <n v="11000"/>
    <d v="2021-11-27T00:00:00"/>
    <x v="2"/>
    <x v="10"/>
  </r>
  <r>
    <x v="22"/>
    <n v="2400"/>
    <n v="4"/>
    <s v="R. Luíz Faccini, 212 - Centro, Guarulhos - SP, 07110-000"/>
    <x v="0"/>
    <s v="DIEGO MARCHESI"/>
    <x v="0"/>
    <n v="27"/>
    <x v="2"/>
    <n v="9600"/>
    <d v="2021-04-01T00:00:00"/>
    <x v="2"/>
    <x v="2"/>
  </r>
  <r>
    <x v="2"/>
    <n v="1900"/>
    <n v="4"/>
    <s v="R. Brasílio Itiberê, 3279 - Água Verde, Curitiba - PR, 80250-160"/>
    <x v="3"/>
    <s v="FELIPE MENDONÇA"/>
    <x v="0"/>
    <n v="75"/>
    <x v="1"/>
    <n v="7600"/>
    <d v="2021-04-08T00:00:00"/>
    <x v="2"/>
    <x v="2"/>
  </r>
  <r>
    <x v="15"/>
    <n v="3000"/>
    <n v="1"/>
    <s v="R. Brasílio Itiberê, 3279 - Água Verde, Curitiba - PR, 80250-160"/>
    <x v="3"/>
    <s v="YLANA TERAOKA"/>
    <x v="1"/>
    <n v="43"/>
    <x v="0"/>
    <n v="3000"/>
    <d v="2021-12-25T00:00:00"/>
    <x v="2"/>
    <x v="8"/>
  </r>
  <r>
    <x v="22"/>
    <n v="2400"/>
    <n v="1"/>
    <s v="Rua Quinze de Novembro, 8 - Loja 301a Loja 301b - Centro, Niterói - RJ, 24020-125"/>
    <x v="1"/>
    <s v="ULISSES QUINTO"/>
    <x v="0"/>
    <n v="69"/>
    <x v="1"/>
    <n v="2400"/>
    <d v="2021-09-24T00:00:00"/>
    <x v="2"/>
    <x v="1"/>
  </r>
  <r>
    <x v="11"/>
    <n v="2000"/>
    <n v="3"/>
    <s v="R. Brasílio Itiberê, 3279 - Água Verde, Curitiba - PR, 80250-160"/>
    <x v="3"/>
    <s v="MARCELA GASPERI"/>
    <x v="1"/>
    <n v="59"/>
    <x v="1"/>
    <n v="6000"/>
    <d v="2021-02-16T00:00:00"/>
    <x v="2"/>
    <x v="4"/>
  </r>
  <r>
    <x v="20"/>
    <n v="5500"/>
    <n v="2"/>
    <s v="R. Luíz Faccini, 212 - Centro, Guarulhos - SP, 07110-000"/>
    <x v="0"/>
    <s v="SANDY FIGUEIREDO"/>
    <x v="1"/>
    <n v="35"/>
    <x v="0"/>
    <n v="11000"/>
    <d v="2021-06-19T00:00:00"/>
    <x v="2"/>
    <x v="3"/>
  </r>
  <r>
    <x v="3"/>
    <n v="1500"/>
    <n v="2"/>
    <s v="Av. Goiás Norte, 3.592 - quadra 2.1 - St. Mal. Rondon, Goiânia - GO, 74063-010"/>
    <x v="4"/>
    <s v="BRENO VARELLA"/>
    <x v="0"/>
    <n v="41"/>
    <x v="0"/>
    <n v="3000"/>
    <d v="2021-11-26T00:00:00"/>
    <x v="2"/>
    <x v="10"/>
  </r>
  <r>
    <x v="16"/>
    <n v="1200"/>
    <n v="5"/>
    <s v="R. Visc. de Pirajá, 136 - Ipanema, Rio de Janeiro - RJ, 22410-000"/>
    <x v="1"/>
    <s v="RENAN NASCIMENTO"/>
    <x v="0"/>
    <n v="37"/>
    <x v="0"/>
    <n v="6000"/>
    <d v="2021-06-13T00:00:00"/>
    <x v="2"/>
    <x v="3"/>
  </r>
  <r>
    <x v="11"/>
    <n v="2000"/>
    <n v="5"/>
    <s v="Av. Dom Luís, 500 - Aldeota, Fortaleza - CE, 60160-230"/>
    <x v="2"/>
    <s v="CARLA ZAKHM"/>
    <x v="1"/>
    <n v="35"/>
    <x v="0"/>
    <n v="10000"/>
    <d v="2021-06-14T00:00:00"/>
    <x v="2"/>
    <x v="3"/>
  </r>
  <r>
    <x v="12"/>
    <n v="1500"/>
    <n v="2"/>
    <s v="Av. Borges de Medeiros, 3120 - Praia de Belas, Porto Alegre - RS, 90110-150"/>
    <x v="8"/>
    <s v="DAVID ASSUMPÇÃO"/>
    <x v="0"/>
    <n v="30"/>
    <x v="0"/>
    <n v="3000"/>
    <d v="2021-02-01T00:00:00"/>
    <x v="2"/>
    <x v="4"/>
  </r>
  <r>
    <x v="19"/>
    <n v="1750"/>
    <n v="1"/>
    <s v="Av. Dom Luís, 500 - Aldeota, Fortaleza - CE, 60160-230"/>
    <x v="2"/>
    <s v="LUÃ SÁ"/>
    <x v="0"/>
    <n v="50"/>
    <x v="0"/>
    <n v="1750"/>
    <d v="2021-09-27T00:00:00"/>
    <x v="2"/>
    <x v="1"/>
  </r>
  <r>
    <x v="3"/>
    <n v="1500"/>
    <n v="4"/>
    <s v="Av. Mal. Floriano Peixoto, 2248-2258 - Centro, Nova Iguaçu - RJ, 26210-000"/>
    <x v="1"/>
    <s v="LUCAS CAVALCANTI"/>
    <x v="0"/>
    <n v="34"/>
    <x v="0"/>
    <n v="6000"/>
    <d v="2021-01-01T00:00:00"/>
    <x v="2"/>
    <x v="5"/>
  </r>
  <r>
    <x v="23"/>
    <n v="1100"/>
    <n v="3"/>
    <s v="Rua Quinze de Novembro, 8 - Loja 301a Loja 301b - Centro, Niterói - RJ, 24020-125"/>
    <x v="1"/>
    <s v="CAROLINA SIQUEIRA"/>
    <x v="1"/>
    <n v="45"/>
    <x v="0"/>
    <n v="3300"/>
    <d v="2021-05-20T00:00:00"/>
    <x v="2"/>
    <x v="11"/>
  </r>
  <r>
    <x v="13"/>
    <n v="1550"/>
    <n v="4"/>
    <s v="Av. Borges de Medeiros, 3120 - Praia de Belas, Porto Alegre - RS, 90110-150"/>
    <x v="8"/>
    <s v="GUSTAVO ARAGÃO"/>
    <x v="0"/>
    <n v="46"/>
    <x v="0"/>
    <n v="6200"/>
    <d v="2021-07-24T00:00:00"/>
    <x v="2"/>
    <x v="0"/>
  </r>
  <r>
    <x v="7"/>
    <n v="2600"/>
    <n v="1"/>
    <s v="Shopping Barra - Av. Centenário, 2992 - Barra, Salvador - BA, 40155-150"/>
    <x v="5"/>
    <s v="GIUSEPPE BHERING"/>
    <x v="0"/>
    <n v="53"/>
    <x v="1"/>
    <n v="2600"/>
    <d v="2021-10-29T00:00:00"/>
    <x v="2"/>
    <x v="6"/>
  </r>
  <r>
    <x v="13"/>
    <n v="1550"/>
    <n v="2"/>
    <s v="R. Teodoro Sampaio, 954 - Pinheiros, São Paulo - SP, 05406-050"/>
    <x v="0"/>
    <s v="VANESSA RODRIGUES"/>
    <x v="1"/>
    <n v="31"/>
    <x v="0"/>
    <n v="3100"/>
    <d v="2021-05-04T00:00:00"/>
    <x v="2"/>
    <x v="11"/>
  </r>
  <r>
    <x v="6"/>
    <n v="6500"/>
    <n v="1"/>
    <s v="R. Teodoro Sampaio, 954 - Pinheiros, São Paulo - SP, 05406-050"/>
    <x v="0"/>
    <s v="NATÁLIA APPEL"/>
    <x v="1"/>
    <n v="51"/>
    <x v="1"/>
    <n v="6500"/>
    <d v="2021-03-22T00:00:00"/>
    <x v="2"/>
    <x v="9"/>
  </r>
  <r>
    <x v="10"/>
    <n v="750"/>
    <n v="2"/>
    <s v="Rua Quinze de Novembro, 8 - Loja 301a Loja 301b - Centro, Niterói - RJ, 24020-125"/>
    <x v="1"/>
    <s v="MARIA JUNIOR"/>
    <x v="1"/>
    <n v="67"/>
    <x v="1"/>
    <n v="1500"/>
    <d v="2021-07-18T00:00:00"/>
    <x v="2"/>
    <x v="0"/>
  </r>
  <r>
    <x v="11"/>
    <n v="2000"/>
    <n v="4"/>
    <s v="Av. Borges de Medeiros, 3120 - Praia de Belas, Porto Alegre - RS, 90110-150"/>
    <x v="8"/>
    <s v="MATHEUS SAPIR"/>
    <x v="0"/>
    <n v="70"/>
    <x v="1"/>
    <n v="8000"/>
    <d v="2021-07-23T00:00:00"/>
    <x v="2"/>
    <x v="0"/>
  </r>
  <r>
    <x v="4"/>
    <n v="700"/>
    <n v="1"/>
    <s v="R. Visc. de Pirajá, 136 - Ipanema, Rio de Janeiro - RJ, 22410-000"/>
    <x v="1"/>
    <s v="BERNARDO NAUENBERG"/>
    <x v="0"/>
    <n v="32"/>
    <x v="0"/>
    <n v="700"/>
    <d v="2021-10-09T00:00:00"/>
    <x v="2"/>
    <x v="6"/>
  </r>
  <r>
    <x v="8"/>
    <n v="1400"/>
    <n v="3"/>
    <s v="Shopping Barra - Av. Centenário, 2992 - Barra, Salvador - BA, 40155-150"/>
    <x v="5"/>
    <s v="VICTORIA MAZZA"/>
    <x v="1"/>
    <n v="59"/>
    <x v="1"/>
    <n v="4200"/>
    <d v="2021-03-03T00:00:00"/>
    <x v="2"/>
    <x v="9"/>
  </r>
  <r>
    <x v="16"/>
    <n v="1200"/>
    <n v="2"/>
    <s v="R. Luíz Faccini, 212 - Centro, Guarulhos - SP, 07110-000"/>
    <x v="0"/>
    <s v="BRENO QUINTO"/>
    <x v="0"/>
    <n v="49"/>
    <x v="0"/>
    <n v="2400"/>
    <d v="2021-10-15T00:00:00"/>
    <x v="2"/>
    <x v="6"/>
  </r>
  <r>
    <x v="21"/>
    <n v="5200"/>
    <n v="1"/>
    <s v="Rua Quinze de Novembro, 8 - Loja 301a Loja 301b - Centro, Niterói - RJ, 24020-125"/>
    <x v="1"/>
    <s v="THAÍS PEREIRA"/>
    <x v="1"/>
    <n v="56"/>
    <x v="1"/>
    <n v="5200"/>
    <d v="2021-03-16T00:00:00"/>
    <x v="2"/>
    <x v="9"/>
  </r>
  <r>
    <x v="2"/>
    <n v="1900"/>
    <n v="2"/>
    <s v="R. Brasílio Itiberê, 3279 - Água Verde, Curitiba - PR, 80250-160"/>
    <x v="3"/>
    <s v="PEDRO MARTINS"/>
    <x v="0"/>
    <n v="45"/>
    <x v="0"/>
    <n v="3800"/>
    <d v="2021-08-07T00:00:00"/>
    <x v="2"/>
    <x v="7"/>
  </r>
  <r>
    <x v="1"/>
    <n v="1400"/>
    <n v="2"/>
    <s v="Av. Goiás Norte, 3.592 - quadra 2.1 - St. Mal. Rondon, Goiânia - GO, 74063-010"/>
    <x v="4"/>
    <s v="LUIS SILVA"/>
    <x v="1"/>
    <n v="27"/>
    <x v="2"/>
    <n v="2800"/>
    <d v="2021-05-10T00:00:00"/>
    <x v="2"/>
    <x v="11"/>
  </r>
  <r>
    <x v="11"/>
    <n v="2000"/>
    <n v="2"/>
    <s v="Av. Mal. Floriano Peixoto, 2248-2258 - Centro, Nova Iguaçu - RJ, 26210-000"/>
    <x v="1"/>
    <s v="NATALI RANGEL"/>
    <x v="1"/>
    <n v="26"/>
    <x v="2"/>
    <n v="4000"/>
    <d v="2021-09-13T00:00:00"/>
    <x v="2"/>
    <x v="1"/>
  </r>
  <r>
    <x v="17"/>
    <n v="2300"/>
    <n v="4"/>
    <s v="R. Luíz Faccini, 212 - Centro, Guarulhos - SP, 07110-000"/>
    <x v="0"/>
    <s v="JULIA FIGUEIREDO"/>
    <x v="1"/>
    <n v="30"/>
    <x v="0"/>
    <n v="9200"/>
    <d v="2021-02-14T00:00:00"/>
    <x v="2"/>
    <x v="4"/>
  </r>
  <r>
    <x v="9"/>
    <n v="2000"/>
    <n v="3"/>
    <s v="Av. Goiás Norte, 3.592 - quadra 2.1 - St. Mal. Rondon, Goiânia - GO, 74063-010"/>
    <x v="4"/>
    <s v="ALBERTO SILVEIRA"/>
    <x v="0"/>
    <n v="36"/>
    <x v="0"/>
    <n v="6000"/>
    <d v="2021-03-10T00:00:00"/>
    <x v="2"/>
    <x v="9"/>
  </r>
  <r>
    <x v="1"/>
    <n v="1400"/>
    <n v="5"/>
    <s v="R. Dr. Antônio Castro Prado, 422 - Vila Rossi e Borchi, Campinas - SP, 13076-130"/>
    <x v="0"/>
    <s v="ANTONIO MANHÃES"/>
    <x v="0"/>
    <n v="43"/>
    <x v="0"/>
    <n v="7000"/>
    <d v="2021-06-29T00:00:00"/>
    <x v="2"/>
    <x v="3"/>
  </r>
  <r>
    <x v="11"/>
    <n v="2000"/>
    <n v="5"/>
    <s v="Rua Antônio Lumack do Monte, 203 - 1 - Boa Viagem, Recife - PE, 51020-350"/>
    <x v="6"/>
    <s v="BRUNA LONDERO"/>
    <x v="1"/>
    <n v="64"/>
    <x v="1"/>
    <n v="10000"/>
    <d v="2021-06-16T00:00:00"/>
    <x v="2"/>
    <x v="3"/>
  </r>
  <r>
    <x v="15"/>
    <n v="3000"/>
    <n v="3"/>
    <s v="Av. Goiás Norte, 3.592 - quadra 2.1 - St. Mal. Rondon, Goiânia - GO, 74063-010"/>
    <x v="4"/>
    <s v="RODRIGO SILVA"/>
    <x v="0"/>
    <n v="31"/>
    <x v="0"/>
    <n v="9000"/>
    <d v="2021-06-23T00:00:00"/>
    <x v="2"/>
    <x v="3"/>
  </r>
  <r>
    <x v="14"/>
    <n v="1500"/>
    <n v="1"/>
    <s v="Rua Quinze de Novembro, 8 - Loja 301a Loja 301b - Centro, Niterói - RJ, 24020-125"/>
    <x v="1"/>
    <s v="CAMILLE SILVA"/>
    <x v="1"/>
    <n v="73"/>
    <x v="1"/>
    <n v="1500"/>
    <d v="2021-08-20T00:00:00"/>
    <x v="2"/>
    <x v="7"/>
  </r>
  <r>
    <x v="13"/>
    <n v="1550"/>
    <n v="3"/>
    <s v="R. Brasílio Itiberê, 3279 - Água Verde, Curitiba - PR, 80250-160"/>
    <x v="3"/>
    <s v="CATARINA TEIXEIRA"/>
    <x v="1"/>
    <n v="54"/>
    <x v="1"/>
    <n v="4650"/>
    <d v="2021-05-13T00:00:00"/>
    <x v="2"/>
    <x v="11"/>
  </r>
  <r>
    <x v="3"/>
    <n v="1500"/>
    <n v="3"/>
    <s v="Av. Borges de Medeiros, 3120 - Praia de Belas, Porto Alegre - RS, 90110-150"/>
    <x v="8"/>
    <s v="JUAN BARBOSA"/>
    <x v="0"/>
    <n v="61"/>
    <x v="1"/>
    <n v="4500"/>
    <d v="2021-12-24T00:00:00"/>
    <x v="2"/>
    <x v="8"/>
  </r>
  <r>
    <x v="11"/>
    <n v="2000"/>
    <n v="5"/>
    <s v="Av. Goiás Norte, 3.592 - quadra 2.1 - St. Mal. Rondon, Goiânia - GO, 74063-010"/>
    <x v="4"/>
    <s v="LUIS SILVA"/>
    <x v="1"/>
    <n v="27"/>
    <x v="2"/>
    <n v="10000"/>
    <d v="2021-09-01T00:00:00"/>
    <x v="2"/>
    <x v="1"/>
  </r>
  <r>
    <x v="23"/>
    <n v="1100"/>
    <n v="5"/>
    <s v="R. Brasílio Itiberê, 3279 - Água Verde, Curitiba - PR, 80250-160"/>
    <x v="3"/>
    <s v="GISELIA THIELE"/>
    <x v="1"/>
    <n v="55"/>
    <x v="1"/>
    <n v="5500"/>
    <d v="2021-11-10T00:00:00"/>
    <x v="2"/>
    <x v="10"/>
  </r>
  <r>
    <x v="10"/>
    <n v="750"/>
    <n v="3"/>
    <s v="Av. Mal. Floriano Peixoto, 2248-2258 - Centro, Nova Iguaçu - RJ, 26210-000"/>
    <x v="1"/>
    <s v="VICTORIA TAVARES"/>
    <x v="1"/>
    <n v="44"/>
    <x v="0"/>
    <n v="2250"/>
    <d v="2021-12-20T00:00:00"/>
    <x v="2"/>
    <x v="8"/>
  </r>
  <r>
    <x v="21"/>
    <n v="5200"/>
    <n v="4"/>
    <s v="Av. Goiás Norte, 3.592 - quadra 2.1 - St. Mal. Rondon, Goiânia - GO, 74063-010"/>
    <x v="4"/>
    <s v="DANIEL ORTIZ"/>
    <x v="0"/>
    <n v="58"/>
    <x v="1"/>
    <n v="20800"/>
    <d v="2021-03-06T00:00:00"/>
    <x v="2"/>
    <x v="9"/>
  </r>
  <r>
    <x v="19"/>
    <n v="1750"/>
    <n v="2"/>
    <s v="R. Luíz Faccini, 212 - Centro, Guarulhos - SP, 07110-000"/>
    <x v="0"/>
    <s v="PEDRO RODRIGUES"/>
    <x v="0"/>
    <n v="41"/>
    <x v="0"/>
    <n v="3500"/>
    <d v="2021-01-13T00:00:00"/>
    <x v="2"/>
    <x v="5"/>
  </r>
  <r>
    <x v="22"/>
    <n v="2400"/>
    <n v="1"/>
    <s v="Av. Goiás Norte, 3.592 - quadra 2.1 - St. Mal. Rondon, Goiânia - GO, 74063-010"/>
    <x v="4"/>
    <s v="JOÃO GUADAGNINO"/>
    <x v="0"/>
    <n v="75"/>
    <x v="1"/>
    <n v="2400"/>
    <d v="2021-10-01T00:00:00"/>
    <x v="2"/>
    <x v="6"/>
  </r>
  <r>
    <x v="7"/>
    <n v="2600"/>
    <n v="4"/>
    <s v="Rua Antônio Lumack do Monte, 203 - 1 - Boa Viagem, Recife - PE, 51020-350"/>
    <x v="6"/>
    <s v="CAIO VIANNA"/>
    <x v="0"/>
    <n v="33"/>
    <x v="0"/>
    <n v="10400"/>
    <d v="2021-06-18T00:00:00"/>
    <x v="2"/>
    <x v="3"/>
  </r>
  <r>
    <x v="10"/>
    <n v="750"/>
    <n v="3"/>
    <s v="R. Brasílio Itiberê, 3279 - Água Verde, Curitiba - PR, 80250-160"/>
    <x v="3"/>
    <s v="RAFAELA GONÇALVES"/>
    <x v="1"/>
    <n v="67"/>
    <x v="1"/>
    <n v="2250"/>
    <d v="2021-07-25T00:00:00"/>
    <x v="2"/>
    <x v="0"/>
  </r>
  <r>
    <x v="22"/>
    <n v="2400"/>
    <n v="5"/>
    <s v="Rua Quinze de Novembro, 8 - Loja 301a Loja 301b - Centro, Niterói - RJ, 24020-125"/>
    <x v="1"/>
    <s v="FABIO BOCCALETTI"/>
    <x v="0"/>
    <n v="64"/>
    <x v="1"/>
    <n v="12000"/>
    <d v="2021-03-05T00:00:00"/>
    <x v="2"/>
    <x v="9"/>
  </r>
  <r>
    <x v="6"/>
    <n v="6500"/>
    <n v="3"/>
    <s v="Av. Dom Luís, 500 - Aldeota, Fortaleza - CE, 60160-230"/>
    <x v="2"/>
    <s v="BEATRIZ ROCHA"/>
    <x v="1"/>
    <n v="40"/>
    <x v="0"/>
    <n v="19500"/>
    <d v="2021-09-12T00:00:00"/>
    <x v="2"/>
    <x v="1"/>
  </r>
  <r>
    <x v="8"/>
    <n v="1400"/>
    <n v="2"/>
    <s v="Av. Goiás Norte, 3.592 - quadra 2.1 - St. Mal. Rondon, Goiânia - GO, 74063-010"/>
    <x v="4"/>
    <s v="DANIEL ORTIZ"/>
    <x v="0"/>
    <n v="58"/>
    <x v="1"/>
    <n v="2800"/>
    <d v="2021-06-10T00:00:00"/>
    <x v="2"/>
    <x v="3"/>
  </r>
  <r>
    <x v="10"/>
    <n v="750"/>
    <n v="3"/>
    <s v="Av. Goiás Norte, 3.592 - quadra 2.1 - St. Mal. Rondon, Goiânia - GO, 74063-010"/>
    <x v="4"/>
    <s v="DANIEL ORTIZ"/>
    <x v="0"/>
    <n v="58"/>
    <x v="1"/>
    <n v="2250"/>
    <d v="2021-06-27T00:00:00"/>
    <x v="2"/>
    <x v="3"/>
  </r>
  <r>
    <x v="19"/>
    <n v="1750"/>
    <n v="1"/>
    <s v="Rua Quinze de Novembro, 8 - Loja 301a Loja 301b - Centro, Niterói - RJ, 24020-125"/>
    <x v="1"/>
    <s v="JOÃO MATHEUS"/>
    <x v="0"/>
    <n v="29"/>
    <x v="2"/>
    <n v="1750"/>
    <d v="2021-05-05T00:00:00"/>
    <x v="2"/>
    <x v="11"/>
  </r>
  <r>
    <x v="21"/>
    <n v="5200"/>
    <n v="4"/>
    <s v="Rua Quinze de Novembro, 8 - Loja 301a Loja 301b - Centro, Niterói - RJ, 24020-125"/>
    <x v="1"/>
    <s v="DYKSON SILVA"/>
    <x v="0"/>
    <n v="38"/>
    <x v="0"/>
    <n v="20800"/>
    <d v="2021-02-19T00:00:00"/>
    <x v="2"/>
    <x v="4"/>
  </r>
  <r>
    <x v="14"/>
    <n v="1500"/>
    <n v="4"/>
    <s v="R. Visc. de Pirajá, 136 - Ipanema, Rio de Janeiro - RJ, 22410-000"/>
    <x v="1"/>
    <s v="NATALIA ANDRADE"/>
    <x v="1"/>
    <n v="73"/>
    <x v="1"/>
    <n v="6000"/>
    <d v="2021-05-13T00:00:00"/>
    <x v="2"/>
    <x v="11"/>
  </r>
  <r>
    <x v="23"/>
    <n v="1100"/>
    <n v="2"/>
    <s v="Rua Quinze de Novembro, 8 - Loja 301a Loja 301b - Centro, Niterói - RJ, 24020-125"/>
    <x v="1"/>
    <s v="BEATRIZ CAVALCANTI"/>
    <x v="1"/>
    <n v="38"/>
    <x v="0"/>
    <n v="2200"/>
    <d v="2021-11-12T00:00:00"/>
    <x v="2"/>
    <x v="10"/>
  </r>
  <r>
    <x v="17"/>
    <n v="2300"/>
    <n v="4"/>
    <s v="R. Teodoro Sampaio, 954 - Pinheiros, São Paulo - SP, 05406-050"/>
    <x v="0"/>
    <s v="ANDRE SAMPAIO"/>
    <x v="0"/>
    <n v="29"/>
    <x v="2"/>
    <n v="9200"/>
    <d v="2021-02-25T00:00:00"/>
    <x v="2"/>
    <x v="4"/>
  </r>
  <r>
    <x v="3"/>
    <n v="1500"/>
    <n v="1"/>
    <s v="Av. Barão Homem de Melo, 1389 - Nova Granada, Belo Horizonte - MG, 30431-425"/>
    <x v="7"/>
    <s v="PEDRO CARDOSO"/>
    <x v="0"/>
    <n v="62"/>
    <x v="1"/>
    <n v="1500"/>
    <d v="2021-01-11T00:00:00"/>
    <x v="2"/>
    <x v="5"/>
  </r>
  <r>
    <x v="0"/>
    <n v="4500"/>
    <n v="4"/>
    <s v="Av. Goiás Norte, 3.592 - quadra 2.1 - St. Mal. Rondon, Goiânia - GO, 74063-010"/>
    <x v="4"/>
    <s v="LEANDRO FERREIRA"/>
    <x v="0"/>
    <n v="38"/>
    <x v="0"/>
    <n v="18000"/>
    <d v="2021-04-25T00:00:00"/>
    <x v="2"/>
    <x v="2"/>
  </r>
  <r>
    <x v="11"/>
    <n v="2000"/>
    <n v="3"/>
    <s v="Av. Goiás Norte, 3.592 - quadra 2.1 - St. Mal. Rondon, Goiânia - GO, 74063-010"/>
    <x v="4"/>
    <s v="BRENO GODOY"/>
    <x v="0"/>
    <n v="25"/>
    <x v="2"/>
    <n v="6000"/>
    <d v="2021-10-10T00:00:00"/>
    <x v="2"/>
    <x v="6"/>
  </r>
  <r>
    <x v="21"/>
    <n v="5200"/>
    <n v="3"/>
    <s v="R. Luíz Faccini, 212 - Centro, Guarulhos - SP, 07110-000"/>
    <x v="0"/>
    <s v="ISABEL LEITE"/>
    <x v="1"/>
    <n v="31"/>
    <x v="0"/>
    <n v="15600"/>
    <d v="2021-12-03T00:00:00"/>
    <x v="2"/>
    <x v="8"/>
  </r>
  <r>
    <x v="21"/>
    <n v="5200"/>
    <n v="3"/>
    <s v="Av. Mal. Floriano Peixoto, 2248-2258 - Centro, Nova Iguaçu - RJ, 26210-000"/>
    <x v="1"/>
    <s v="LUCAS CAVALCANTI"/>
    <x v="0"/>
    <n v="34"/>
    <x v="0"/>
    <n v="15600"/>
    <d v="2021-08-13T00:00:00"/>
    <x v="2"/>
    <x v="7"/>
  </r>
  <r>
    <x v="16"/>
    <n v="1200"/>
    <n v="3"/>
    <s v="Av. Goiás Norte, 3.592 - quadra 2.1 - St. Mal. Rondon, Goiânia - GO, 74063-010"/>
    <x v="4"/>
    <s v="DANIEL TERRA"/>
    <x v="0"/>
    <n v="50"/>
    <x v="0"/>
    <n v="3600"/>
    <d v="2021-01-11T00:00:00"/>
    <x v="2"/>
    <x v="5"/>
  </r>
  <r>
    <x v="15"/>
    <n v="3000"/>
    <n v="4"/>
    <s v="R. Brasílio Itiberê, 3279 - Água Verde, Curitiba - PR, 80250-160"/>
    <x v="3"/>
    <s v="BRUNO OLIVEIRA"/>
    <x v="0"/>
    <n v="76"/>
    <x v="1"/>
    <n v="12000"/>
    <d v="2021-07-21T00:00:00"/>
    <x v="2"/>
    <x v="0"/>
  </r>
  <r>
    <x v="19"/>
    <n v="1750"/>
    <n v="2"/>
    <s v="Rua Quinze de Novembro, 8 - Loja 301a Loja 301b - Centro, Niterói - RJ, 24020-125"/>
    <x v="1"/>
    <s v="BRUNA ROSA"/>
    <x v="1"/>
    <n v="57"/>
    <x v="1"/>
    <n v="3500"/>
    <d v="2021-06-14T00:00:00"/>
    <x v="2"/>
    <x v="3"/>
  </r>
  <r>
    <x v="23"/>
    <n v="1100"/>
    <n v="2"/>
    <s v="R. Luíz Faccini, 212 - Centro, Guarulhos - SP, 07110-000"/>
    <x v="0"/>
    <s v="ANDRÉ ALVES"/>
    <x v="0"/>
    <n v="60"/>
    <x v="1"/>
    <n v="2200"/>
    <d v="2021-07-14T00:00:00"/>
    <x v="2"/>
    <x v="0"/>
  </r>
  <r>
    <x v="4"/>
    <n v="700"/>
    <n v="5"/>
    <s v="Shopping Barra - Av. Centenário, 2992 - Barra, Salvador - BA, 40155-150"/>
    <x v="5"/>
    <s v="JULIA TEIXEIRA"/>
    <x v="1"/>
    <n v="25"/>
    <x v="2"/>
    <n v="3500"/>
    <d v="2021-07-07T00:00:00"/>
    <x v="2"/>
    <x v="0"/>
  </r>
  <r>
    <x v="18"/>
    <n v="2500"/>
    <n v="1"/>
    <s v="R. Visc. de Pirajá, 136 - Ipanema, Rio de Janeiro - RJ, 22410-000"/>
    <x v="1"/>
    <s v="REBECA MANHÃES"/>
    <x v="1"/>
    <n v="29"/>
    <x v="2"/>
    <n v="2500"/>
    <d v="2021-09-13T00:00:00"/>
    <x v="2"/>
    <x v="1"/>
  </r>
  <r>
    <x v="21"/>
    <n v="5200"/>
    <n v="2"/>
    <s v="Rua Antônio Lumack do Monte, 203 - 1 - Boa Viagem, Recife - PE, 51020-350"/>
    <x v="6"/>
    <s v="ALON PALMEIRA"/>
    <x v="0"/>
    <n v="34"/>
    <x v="0"/>
    <n v="10400"/>
    <d v="2021-06-21T00:00:00"/>
    <x v="2"/>
    <x v="3"/>
  </r>
  <r>
    <x v="4"/>
    <n v="700"/>
    <n v="5"/>
    <s v="Av. Borges de Medeiros, 3120 - Praia de Belas, Porto Alegre - RS, 90110-150"/>
    <x v="8"/>
    <s v="GUSTAVO AZEVEDO"/>
    <x v="0"/>
    <n v="30"/>
    <x v="0"/>
    <n v="3500"/>
    <d v="2021-04-19T00:00:00"/>
    <x v="2"/>
    <x v="2"/>
  </r>
  <r>
    <x v="21"/>
    <n v="5200"/>
    <n v="2"/>
    <s v="R. Teodoro Sampaio, 954 - Pinheiros, São Paulo - SP, 05406-050"/>
    <x v="0"/>
    <s v="THAÍS MOURA"/>
    <x v="1"/>
    <n v="28"/>
    <x v="2"/>
    <n v="10400"/>
    <d v="2021-04-14T00:00:00"/>
    <x v="2"/>
    <x v="2"/>
  </r>
  <r>
    <x v="16"/>
    <n v="1200"/>
    <n v="5"/>
    <s v="Av. Barão Homem de Melo, 1389 - Nova Granada, Belo Horizonte - MG, 30431-425"/>
    <x v="7"/>
    <s v="BERNARDO BOTELHO"/>
    <x v="0"/>
    <n v="43"/>
    <x v="0"/>
    <n v="6000"/>
    <d v="2021-01-09T00:00:00"/>
    <x v="2"/>
    <x v="5"/>
  </r>
  <r>
    <x v="15"/>
    <n v="3000"/>
    <n v="1"/>
    <s v="Av. Barão Homem de Melo, 1389 - Nova Granada, Belo Horizonte - MG, 30431-425"/>
    <x v="7"/>
    <s v="PEDRO CARDOSO"/>
    <x v="0"/>
    <n v="62"/>
    <x v="1"/>
    <n v="3000"/>
    <d v="2021-04-19T00:00:00"/>
    <x v="2"/>
    <x v="2"/>
  </r>
  <r>
    <x v="13"/>
    <n v="1550"/>
    <n v="2"/>
    <s v="Av. Borges de Medeiros, 3120 - Praia de Belas, Porto Alegre - RS, 90110-150"/>
    <x v="8"/>
    <s v="FELIPE JORGE"/>
    <x v="0"/>
    <n v="59"/>
    <x v="1"/>
    <n v="3100"/>
    <d v="2021-07-31T00:00:00"/>
    <x v="2"/>
    <x v="0"/>
  </r>
  <r>
    <x v="6"/>
    <n v="6500"/>
    <n v="4"/>
    <s v="Av. Barão Homem de Melo, 1389 - Nova Granada, Belo Horizonte - MG, 30431-425"/>
    <x v="7"/>
    <s v="ANTÔNIO SOARES"/>
    <x v="0"/>
    <n v="48"/>
    <x v="0"/>
    <n v="26000"/>
    <d v="2021-09-05T00:00:00"/>
    <x v="2"/>
    <x v="1"/>
  </r>
  <r>
    <x v="8"/>
    <n v="1400"/>
    <n v="3"/>
    <s v="Av. Dom Luís, 500 - Aldeota, Fortaleza - CE, 60160-230"/>
    <x v="2"/>
    <s v="MATHEUS SILVA"/>
    <x v="0"/>
    <n v="73"/>
    <x v="1"/>
    <n v="4200"/>
    <d v="2021-11-15T00:00:00"/>
    <x v="2"/>
    <x v="10"/>
  </r>
  <r>
    <x v="3"/>
    <n v="1500"/>
    <n v="3"/>
    <s v="Av. Borges de Medeiros, 3120 - Praia de Belas, Porto Alegre - RS, 90110-150"/>
    <x v="8"/>
    <s v="JUAN BARBOSA"/>
    <x v="0"/>
    <n v="61"/>
    <x v="1"/>
    <n v="4500"/>
    <d v="2021-02-08T00:00:00"/>
    <x v="2"/>
    <x v="4"/>
  </r>
  <r>
    <x v="13"/>
    <n v="1550"/>
    <n v="2"/>
    <s v="R. Dr. Antônio Castro Prado, 422 - Vila Rossi e Borchi, Campinas - SP, 13076-130"/>
    <x v="0"/>
    <s v="MORGANA CORREA"/>
    <x v="1"/>
    <n v="42"/>
    <x v="0"/>
    <n v="3100"/>
    <d v="2021-08-11T00:00:00"/>
    <x v="2"/>
    <x v="7"/>
  </r>
  <r>
    <x v="15"/>
    <n v="3000"/>
    <n v="3"/>
    <s v="Av. Barão Homem de Melo, 1389 - Nova Granada, Belo Horizonte - MG, 30431-425"/>
    <x v="7"/>
    <s v="CAROLINA ALFRADIQUE"/>
    <x v="1"/>
    <n v="26"/>
    <x v="2"/>
    <n v="9000"/>
    <d v="2021-06-21T00:00:00"/>
    <x v="2"/>
    <x v="3"/>
  </r>
  <r>
    <x v="15"/>
    <n v="3000"/>
    <n v="2"/>
    <s v="Av. Barão Homem de Melo, 1389 - Nova Granada, Belo Horizonte - MG, 30431-425"/>
    <x v="7"/>
    <s v="BRUNO SOUZA"/>
    <x v="0"/>
    <n v="38"/>
    <x v="0"/>
    <n v="6000"/>
    <d v="2021-05-14T00:00:00"/>
    <x v="2"/>
    <x v="11"/>
  </r>
  <r>
    <x v="19"/>
    <n v="1750"/>
    <n v="5"/>
    <s v="Av. Mal. Floriano Peixoto, 2248-2258 - Centro, Nova Iguaçu - RJ, 26210-000"/>
    <x v="1"/>
    <s v="STEPHANIE NOVAK"/>
    <x v="1"/>
    <n v="57"/>
    <x v="1"/>
    <n v="8750"/>
    <d v="2021-04-12T00:00:00"/>
    <x v="2"/>
    <x v="2"/>
  </r>
  <r>
    <x v="9"/>
    <n v="2000"/>
    <n v="3"/>
    <s v="Av. Goiás Norte, 3.592 - quadra 2.1 - St. Mal. Rondon, Goiânia - GO, 74063-010"/>
    <x v="4"/>
    <s v="JULIA LEITE"/>
    <x v="1"/>
    <n v="36"/>
    <x v="0"/>
    <n v="6000"/>
    <d v="2021-07-18T00:00:00"/>
    <x v="2"/>
    <x v="0"/>
  </r>
  <r>
    <x v="13"/>
    <n v="1550"/>
    <n v="5"/>
    <s v="Av. Goiás Norte, 3.592 - quadra 2.1 - St. Mal. Rondon, Goiânia - GO, 74063-010"/>
    <x v="4"/>
    <s v="LORENA CARVALHO"/>
    <x v="1"/>
    <n v="55"/>
    <x v="1"/>
    <n v="7750"/>
    <d v="2021-02-23T00:00:00"/>
    <x v="2"/>
    <x v="4"/>
  </r>
  <r>
    <x v="13"/>
    <n v="1550"/>
    <n v="4"/>
    <s v="R. Dr. Antônio Castro Prado, 422 - Vila Rossi e Borchi, Campinas - SP, 13076-130"/>
    <x v="0"/>
    <s v="LUCAS RODRIGUES"/>
    <x v="0"/>
    <n v="40"/>
    <x v="0"/>
    <n v="6200"/>
    <d v="2021-08-05T00:00:00"/>
    <x v="2"/>
    <x v="7"/>
  </r>
  <r>
    <x v="13"/>
    <n v="1550"/>
    <n v="2"/>
    <s v="Av. Dom Luís, 500 - Aldeota, Fortaleza - CE, 60160-230"/>
    <x v="2"/>
    <s v="DIEGO BARROS"/>
    <x v="0"/>
    <n v="37"/>
    <x v="0"/>
    <n v="3100"/>
    <d v="2021-04-28T00:00:00"/>
    <x v="2"/>
    <x v="2"/>
  </r>
  <r>
    <x v="10"/>
    <n v="750"/>
    <n v="1"/>
    <s v="Av. Goiás Norte, 3.592 - quadra 2.1 - St. Mal. Rondon, Goiânia - GO, 74063-010"/>
    <x v="4"/>
    <s v="BRUNO VELUCCI"/>
    <x v="0"/>
    <n v="52"/>
    <x v="1"/>
    <n v="750"/>
    <d v="2021-04-21T00:00:00"/>
    <x v="2"/>
    <x v="2"/>
  </r>
  <r>
    <x v="8"/>
    <n v="1400"/>
    <n v="4"/>
    <s v="Shopping Barra - Av. Centenário, 2992 - Barra, Salvador - BA, 40155-150"/>
    <x v="5"/>
    <s v="ADRIANA CARNEIRO"/>
    <x v="1"/>
    <n v="33"/>
    <x v="0"/>
    <n v="5600"/>
    <d v="2021-03-09T00:00:00"/>
    <x v="2"/>
    <x v="9"/>
  </r>
  <r>
    <x v="2"/>
    <n v="1900"/>
    <n v="2"/>
    <s v="R. Luíz Faccini, 212 - Centro, Guarulhos - SP, 07110-000"/>
    <x v="0"/>
    <s v="BRUNA RAMOS"/>
    <x v="1"/>
    <n v="35"/>
    <x v="0"/>
    <n v="3800"/>
    <d v="2021-09-07T00:00:00"/>
    <x v="2"/>
    <x v="1"/>
  </r>
  <r>
    <x v="20"/>
    <n v="5500"/>
    <n v="4"/>
    <s v="Av. Goiás Norte, 3.592 - quadra 2.1 - St. Mal. Rondon, Goiânia - GO, 74063-010"/>
    <x v="4"/>
    <s v="ANA JÚNIOR"/>
    <x v="1"/>
    <n v="58"/>
    <x v="1"/>
    <n v="22000"/>
    <d v="2021-10-03T00:00:00"/>
    <x v="2"/>
    <x v="6"/>
  </r>
  <r>
    <x v="8"/>
    <n v="1400"/>
    <n v="4"/>
    <s v="Rua Quinze de Novembro, 8 - Loja 301a Loja 301b - Centro, Niterói - RJ, 24020-125"/>
    <x v="1"/>
    <s v="MARIA JUNIOR"/>
    <x v="1"/>
    <n v="67"/>
    <x v="1"/>
    <n v="5600"/>
    <d v="2021-07-01T00:00:00"/>
    <x v="2"/>
    <x v="0"/>
  </r>
  <r>
    <x v="1"/>
    <n v="1400"/>
    <n v="3"/>
    <s v="R. Visc. de Pirajá, 136 - Ipanema, Rio de Janeiro - RJ, 22410-000"/>
    <x v="1"/>
    <s v="JULIANA PACHECO"/>
    <x v="1"/>
    <n v="68"/>
    <x v="1"/>
    <n v="4200"/>
    <d v="2021-06-30T00:00:00"/>
    <x v="2"/>
    <x v="3"/>
  </r>
  <r>
    <x v="10"/>
    <n v="750"/>
    <n v="4"/>
    <s v="R. Brasílio Itiberê, 3279 - Água Verde, Curitiba - PR, 80250-160"/>
    <x v="3"/>
    <s v="DANILO ALVES"/>
    <x v="0"/>
    <n v="34"/>
    <x v="0"/>
    <n v="3000"/>
    <d v="2021-11-18T00:00:00"/>
    <x v="2"/>
    <x v="10"/>
  </r>
  <r>
    <x v="23"/>
    <n v="1100"/>
    <n v="4"/>
    <s v="R. Brasílio Itiberê, 3279 - Água Verde, Curitiba - PR, 80250-160"/>
    <x v="3"/>
    <s v="MARCOS NUCCI"/>
    <x v="0"/>
    <n v="26"/>
    <x v="2"/>
    <n v="4400"/>
    <d v="2021-10-18T00:00:00"/>
    <x v="2"/>
    <x v="6"/>
  </r>
  <r>
    <x v="18"/>
    <n v="2500"/>
    <n v="3"/>
    <s v="Rua Quinze de Novembro, 8 - Loja 301a Loja 301b - Centro, Niterói - RJ, 24020-125"/>
    <x v="1"/>
    <s v="VITOR ARRUDA"/>
    <x v="0"/>
    <n v="31"/>
    <x v="0"/>
    <n v="7500"/>
    <d v="2021-02-11T00:00:00"/>
    <x v="2"/>
    <x v="4"/>
  </r>
  <r>
    <x v="6"/>
    <n v="6500"/>
    <n v="3"/>
    <s v="R. Luíz Faccini, 212 - Centro, Guarulhos - SP, 07110-000"/>
    <x v="0"/>
    <s v="RODRIGO RAMOS"/>
    <x v="0"/>
    <n v="64"/>
    <x v="1"/>
    <n v="19500"/>
    <d v="2021-07-12T00:00:00"/>
    <x v="2"/>
    <x v="0"/>
  </r>
  <r>
    <x v="10"/>
    <n v="750"/>
    <n v="5"/>
    <s v="R. Visc. de Pirajá, 136 - Ipanema, Rio de Janeiro - RJ, 22410-000"/>
    <x v="1"/>
    <s v="BIANCA ALLEVATO"/>
    <x v="1"/>
    <n v="42"/>
    <x v="0"/>
    <n v="3750"/>
    <d v="2021-04-01T00:00:00"/>
    <x v="2"/>
    <x v="2"/>
  </r>
  <r>
    <x v="3"/>
    <n v="1500"/>
    <n v="1"/>
    <s v="Rua Antônio Lumack do Monte, 203 - 1 - Boa Viagem, Recife - PE, 51020-350"/>
    <x v="6"/>
    <s v="DEYSIANE MEDRONHO"/>
    <x v="1"/>
    <n v="47"/>
    <x v="0"/>
    <n v="1500"/>
    <d v="2021-12-05T00:00:00"/>
    <x v="2"/>
    <x v="8"/>
  </r>
  <r>
    <x v="23"/>
    <n v="1100"/>
    <n v="1"/>
    <s v="Av. Barão Homem de Melo, 1389 - Nova Granada, Belo Horizonte - MG, 30431-425"/>
    <x v="7"/>
    <s v="LÁZARO NASCIMENTO"/>
    <x v="0"/>
    <n v="69"/>
    <x v="1"/>
    <n v="1100"/>
    <d v="2021-05-06T00:00:00"/>
    <x v="2"/>
    <x v="11"/>
  </r>
  <r>
    <x v="14"/>
    <n v="1500"/>
    <n v="1"/>
    <s v="Av. Borges de Medeiros, 3120 - Praia de Belas, Porto Alegre - RS, 90110-150"/>
    <x v="8"/>
    <s v="DIEGO MELLO"/>
    <x v="0"/>
    <n v="38"/>
    <x v="0"/>
    <n v="1500"/>
    <d v="2021-11-10T00:00:00"/>
    <x v="2"/>
    <x v="10"/>
  </r>
  <r>
    <x v="9"/>
    <n v="2000"/>
    <n v="4"/>
    <s v="Av. Goiás Norte, 3.592 - quadra 2.1 - St. Mal. Rondon, Goiânia - GO, 74063-010"/>
    <x v="4"/>
    <s v="LORENA CARVALHO"/>
    <x v="1"/>
    <n v="55"/>
    <x v="1"/>
    <n v="8000"/>
    <d v="2021-09-24T00:00:00"/>
    <x v="2"/>
    <x v="1"/>
  </r>
  <r>
    <x v="19"/>
    <n v="1750"/>
    <n v="3"/>
    <s v="Av. Borges de Medeiros, 3120 - Praia de Belas, Porto Alegre - RS, 90110-150"/>
    <x v="8"/>
    <s v="DANIEL ALCOFORADO"/>
    <x v="0"/>
    <n v="56"/>
    <x v="1"/>
    <n v="5250"/>
    <d v="2021-09-11T00:00:00"/>
    <x v="2"/>
    <x v="1"/>
  </r>
  <r>
    <x v="18"/>
    <n v="2500"/>
    <n v="3"/>
    <s v="Av. Dom Luís, 500 - Aldeota, Fortaleza - CE, 60160-230"/>
    <x v="2"/>
    <s v="DIEGO BARROS"/>
    <x v="0"/>
    <n v="37"/>
    <x v="0"/>
    <n v="7500"/>
    <d v="2021-08-13T00:00:00"/>
    <x v="2"/>
    <x v="7"/>
  </r>
  <r>
    <x v="13"/>
    <n v="1550"/>
    <n v="4"/>
    <s v="Rua Antônio Lumack do Monte, 203 - 1 - Boa Viagem, Recife - PE, 51020-350"/>
    <x v="6"/>
    <s v="JOAO PEREIRA"/>
    <x v="0"/>
    <n v="27"/>
    <x v="2"/>
    <n v="6200"/>
    <d v="2021-05-14T00:00:00"/>
    <x v="2"/>
    <x v="11"/>
  </r>
  <r>
    <x v="9"/>
    <n v="2000"/>
    <n v="2"/>
    <s v="R. Visc. de Pirajá, 136 - Ipanema, Rio de Janeiro - RJ, 22410-000"/>
    <x v="1"/>
    <s v="CARLOS SILVA"/>
    <x v="0"/>
    <n v="60"/>
    <x v="1"/>
    <n v="4000"/>
    <d v="2021-08-09T00:00:00"/>
    <x v="2"/>
    <x v="7"/>
  </r>
  <r>
    <x v="10"/>
    <n v="750"/>
    <n v="2"/>
    <s v="R. Luíz Faccini, 212 - Centro, Guarulhos - SP, 07110-000"/>
    <x v="0"/>
    <s v="HANNA FONSECA"/>
    <x v="1"/>
    <n v="40"/>
    <x v="0"/>
    <n v="1500"/>
    <d v="2021-02-10T00:00:00"/>
    <x v="2"/>
    <x v="4"/>
  </r>
  <r>
    <x v="2"/>
    <n v="1900"/>
    <n v="1"/>
    <s v="Rua Antônio Lumack do Monte, 203 - 1 - Boa Viagem, Recife - PE, 51020-350"/>
    <x v="6"/>
    <s v="CARLOS GALVÃO"/>
    <x v="0"/>
    <n v="33"/>
    <x v="0"/>
    <n v="1900"/>
    <d v="2021-05-20T00:00:00"/>
    <x v="2"/>
    <x v="11"/>
  </r>
  <r>
    <x v="19"/>
    <n v="1750"/>
    <n v="1"/>
    <s v="R. Luíz Faccini, 212 - Centro, Guarulhos - SP, 07110-000"/>
    <x v="0"/>
    <s v="FELIPE MELLO"/>
    <x v="0"/>
    <n v="57"/>
    <x v="1"/>
    <n v="1750"/>
    <d v="2021-06-16T00:00:00"/>
    <x v="2"/>
    <x v="3"/>
  </r>
  <r>
    <x v="15"/>
    <n v="3000"/>
    <n v="3"/>
    <s v="Av. Mal. Floriano Peixoto, 2248-2258 - Centro, Nova Iguaçu - RJ, 26210-000"/>
    <x v="1"/>
    <s v="GUILHERME LIMA"/>
    <x v="0"/>
    <n v="54"/>
    <x v="1"/>
    <n v="9000"/>
    <d v="2021-12-25T00:00:00"/>
    <x v="2"/>
    <x v="8"/>
  </r>
  <r>
    <x v="12"/>
    <n v="1500"/>
    <n v="5"/>
    <s v="Av. Goiás Norte, 3.592 - quadra 2.1 - St. Mal. Rondon, Goiânia - GO, 74063-010"/>
    <x v="4"/>
    <s v="VICTOR CORRÊA"/>
    <x v="0"/>
    <n v="48"/>
    <x v="0"/>
    <n v="7500"/>
    <d v="2021-03-08T00:00:00"/>
    <x v="2"/>
    <x v="9"/>
  </r>
  <r>
    <x v="13"/>
    <n v="1550"/>
    <n v="2"/>
    <s v="R. Dr. Antônio Castro Prado, 422 - Vila Rossi e Borchi, Campinas - SP, 13076-130"/>
    <x v="0"/>
    <s v="RAPHAEL FILHO"/>
    <x v="0"/>
    <n v="65"/>
    <x v="1"/>
    <n v="3100"/>
    <d v="2021-09-13T00:00:00"/>
    <x v="2"/>
    <x v="1"/>
  </r>
  <r>
    <x v="11"/>
    <n v="2000"/>
    <n v="4"/>
    <s v="Av. Dom Luís, 500 - Aldeota, Fortaleza - CE, 60160-230"/>
    <x v="2"/>
    <s v="GUSTAVO ACCARDO"/>
    <x v="0"/>
    <n v="50"/>
    <x v="0"/>
    <n v="8000"/>
    <d v="2021-05-25T00:00:00"/>
    <x v="2"/>
    <x v="11"/>
  </r>
  <r>
    <x v="0"/>
    <n v="4500"/>
    <n v="2"/>
    <s v="Rua Quinze de Novembro, 8 - Loja 301a Loja 301b - Centro, Niterói - RJ, 24020-125"/>
    <x v="1"/>
    <s v="PEDRO DELGADO"/>
    <x v="0"/>
    <n v="25"/>
    <x v="2"/>
    <n v="9000"/>
    <d v="2021-08-30T00:00:00"/>
    <x v="2"/>
    <x v="7"/>
  </r>
  <r>
    <x v="16"/>
    <n v="1200"/>
    <n v="3"/>
    <s v="Av. Borges de Medeiros, 3120 - Praia de Belas, Porto Alegre - RS, 90110-150"/>
    <x v="8"/>
    <s v="CAIO MOURA"/>
    <x v="0"/>
    <n v="66"/>
    <x v="1"/>
    <n v="3600"/>
    <d v="2021-10-18T00:00:00"/>
    <x v="2"/>
    <x v="6"/>
  </r>
  <r>
    <x v="12"/>
    <n v="1500"/>
    <n v="3"/>
    <s v="Rua Antônio Lumack do Monte, 203 - 1 - Boa Viagem, Recife - PE, 51020-350"/>
    <x v="6"/>
    <s v="DIOGO PEIXOTO"/>
    <x v="0"/>
    <n v="59"/>
    <x v="1"/>
    <n v="4500"/>
    <d v="2021-06-30T00:00:00"/>
    <x v="2"/>
    <x v="3"/>
  </r>
  <r>
    <x v="18"/>
    <n v="2500"/>
    <n v="2"/>
    <s v="R. Luíz Faccini, 212 - Centro, Guarulhos - SP, 07110-000"/>
    <x v="0"/>
    <s v="JULIANA BARREIRA"/>
    <x v="1"/>
    <n v="53"/>
    <x v="1"/>
    <n v="5000"/>
    <d v="2021-01-19T00:00:00"/>
    <x v="2"/>
    <x v="5"/>
  </r>
  <r>
    <x v="3"/>
    <n v="1500"/>
    <n v="3"/>
    <s v="Av. Barão Homem de Melo, 1389 - Nova Granada, Belo Horizonte - MG, 30431-425"/>
    <x v="7"/>
    <s v="BRUNO SOUZA"/>
    <x v="0"/>
    <n v="38"/>
    <x v="0"/>
    <n v="4500"/>
    <d v="2021-07-12T00:00:00"/>
    <x v="2"/>
    <x v="0"/>
  </r>
  <r>
    <x v="9"/>
    <n v="2000"/>
    <n v="1"/>
    <s v="Rua Antônio Lumack do Monte, 203 - 1 - Boa Viagem, Recife - PE, 51020-350"/>
    <x v="6"/>
    <s v="BARBARA PROCACI"/>
    <x v="1"/>
    <n v="60"/>
    <x v="1"/>
    <n v="2000"/>
    <d v="2021-10-14T00:00:00"/>
    <x v="2"/>
    <x v="6"/>
  </r>
  <r>
    <x v="4"/>
    <n v="700"/>
    <n v="1"/>
    <s v="Av. Goiás Norte, 3.592 - quadra 2.1 - St. Mal. Rondon, Goiânia - GO, 74063-010"/>
    <x v="4"/>
    <s v="THOMAZ FERREIRA"/>
    <x v="0"/>
    <n v="56"/>
    <x v="1"/>
    <n v="700"/>
    <d v="2021-03-30T00:00:00"/>
    <x v="2"/>
    <x v="9"/>
  </r>
  <r>
    <x v="23"/>
    <n v="1100"/>
    <n v="1"/>
    <s v="Rua Quinze de Novembro, 8 - Loja 301a Loja 301b - Centro, Niterói - RJ, 24020-125"/>
    <x v="1"/>
    <s v="BEATRIZ CAVALCANTI"/>
    <x v="1"/>
    <n v="38"/>
    <x v="0"/>
    <n v="1100"/>
    <d v="2021-12-16T00:00:00"/>
    <x v="2"/>
    <x v="8"/>
  </r>
  <r>
    <x v="4"/>
    <n v="700"/>
    <n v="5"/>
    <s v="Av. Borges de Medeiros, 3120 - Praia de Belas, Porto Alegre - RS, 90110-150"/>
    <x v="8"/>
    <s v="DAVID ASSUMPÇÃO"/>
    <x v="0"/>
    <n v="30"/>
    <x v="0"/>
    <n v="3500"/>
    <d v="2021-10-06T00:00:00"/>
    <x v="2"/>
    <x v="6"/>
  </r>
  <r>
    <x v="3"/>
    <n v="1500"/>
    <n v="2"/>
    <s v="Rua Antônio Lumack do Monte, 203 - 1 - Boa Viagem, Recife - PE, 51020-350"/>
    <x v="6"/>
    <s v="LUCAS ARAÚJO"/>
    <x v="0"/>
    <n v="48"/>
    <x v="0"/>
    <n v="3000"/>
    <d v="2021-07-03T00:00:00"/>
    <x v="2"/>
    <x v="0"/>
  </r>
  <r>
    <x v="6"/>
    <n v="6500"/>
    <n v="2"/>
    <s v="Av. Barão Homem de Melo, 1389 - Nova Granada, Belo Horizonte - MG, 30431-425"/>
    <x v="7"/>
    <s v="CAROLINA ALFRADIQUE"/>
    <x v="1"/>
    <n v="26"/>
    <x v="2"/>
    <n v="13000"/>
    <d v="2021-10-27T00:00:00"/>
    <x v="2"/>
    <x v="6"/>
  </r>
  <r>
    <x v="11"/>
    <n v="2000"/>
    <n v="5"/>
    <s v="R. Teodoro Sampaio, 954 - Pinheiros, São Paulo - SP, 05406-050"/>
    <x v="0"/>
    <s v="JÉSSICA TEIXEIRA"/>
    <x v="1"/>
    <n v="33"/>
    <x v="0"/>
    <n v="10000"/>
    <d v="2021-10-20T00:00:00"/>
    <x v="2"/>
    <x v="6"/>
  </r>
  <r>
    <x v="16"/>
    <n v="1200"/>
    <n v="2"/>
    <s v="Av. Dom Luís, 500 - Aldeota, Fortaleza - CE, 60160-230"/>
    <x v="2"/>
    <s v="ANNA MAIA"/>
    <x v="1"/>
    <n v="54"/>
    <x v="1"/>
    <n v="2400"/>
    <d v="2021-09-06T00:00:00"/>
    <x v="2"/>
    <x v="1"/>
  </r>
  <r>
    <x v="4"/>
    <n v="700"/>
    <n v="1"/>
    <s v="Shopping Barra - Av. Centenário, 2992 - Barra, Salvador - BA, 40155-150"/>
    <x v="5"/>
    <s v="MARINA MIRANDA"/>
    <x v="1"/>
    <n v="69"/>
    <x v="1"/>
    <n v="700"/>
    <d v="2021-01-27T00:00:00"/>
    <x v="2"/>
    <x v="5"/>
  </r>
  <r>
    <x v="9"/>
    <n v="2000"/>
    <n v="5"/>
    <s v="Av. Borges de Medeiros, 3120 - Praia de Belas, Porto Alegre - RS, 90110-150"/>
    <x v="8"/>
    <s v="GUSTAVO ARAGÃO"/>
    <x v="0"/>
    <n v="46"/>
    <x v="0"/>
    <n v="10000"/>
    <d v="2021-03-11T00:00:00"/>
    <x v="2"/>
    <x v="9"/>
  </r>
  <r>
    <x v="9"/>
    <n v="2000"/>
    <n v="3"/>
    <s v="Rua Antônio Lumack do Monte, 203 - 1 - Boa Viagem, Recife - PE, 51020-350"/>
    <x v="6"/>
    <s v="KATHARINA BARROS"/>
    <x v="1"/>
    <n v="65"/>
    <x v="1"/>
    <n v="6000"/>
    <d v="2021-06-14T00:00:00"/>
    <x v="2"/>
    <x v="3"/>
  </r>
  <r>
    <x v="22"/>
    <n v="2400"/>
    <n v="2"/>
    <s v="R. Luíz Faccini, 212 - Centro, Guarulhos - SP, 07110-000"/>
    <x v="0"/>
    <s v="RACHEL SILVA"/>
    <x v="1"/>
    <n v="41"/>
    <x v="0"/>
    <n v="4800"/>
    <d v="2021-12-28T00:00:00"/>
    <x v="2"/>
    <x v="8"/>
  </r>
  <r>
    <x v="7"/>
    <n v="2600"/>
    <n v="3"/>
    <s v="R. Luíz Faccini, 212 - Centro, Guarulhos - SP, 07110-000"/>
    <x v="0"/>
    <s v="GUSTAVO GOMES"/>
    <x v="0"/>
    <n v="37"/>
    <x v="0"/>
    <n v="7800"/>
    <d v="2021-04-14T00:00:00"/>
    <x v="2"/>
    <x v="2"/>
  </r>
  <r>
    <x v="1"/>
    <n v="1400"/>
    <n v="5"/>
    <s v="Rua Quinze de Novembro, 8 - Loja 301a Loja 301b - Centro, Niterói - RJ, 24020-125"/>
    <x v="1"/>
    <s v="PEDRO MACCKIONE"/>
    <x v="0"/>
    <n v="35"/>
    <x v="0"/>
    <n v="7000"/>
    <d v="2021-04-02T00:00:00"/>
    <x v="2"/>
    <x v="2"/>
  </r>
  <r>
    <x v="12"/>
    <n v="1500"/>
    <n v="2"/>
    <s v="R. Visc. de Pirajá, 136 - Ipanema, Rio de Janeiro - RJ, 22410-000"/>
    <x v="1"/>
    <s v="GABRIELLA SAGRILLO"/>
    <x v="1"/>
    <n v="36"/>
    <x v="0"/>
    <n v="3000"/>
    <d v="2021-08-14T00:00:00"/>
    <x v="2"/>
    <x v="7"/>
  </r>
  <r>
    <x v="9"/>
    <n v="2000"/>
    <n v="2"/>
    <s v="Av. Barão Homem de Melo, 1389 - Nova Granada, Belo Horizonte - MG, 30431-425"/>
    <x v="7"/>
    <s v="PEDRO CARDOSO"/>
    <x v="0"/>
    <n v="62"/>
    <x v="1"/>
    <n v="4000"/>
    <d v="2021-11-27T00:00:00"/>
    <x v="2"/>
    <x v="10"/>
  </r>
  <r>
    <x v="23"/>
    <n v="1100"/>
    <n v="3"/>
    <s v="Av. Borges de Medeiros, 3120 - Praia de Belas, Porto Alegre - RS, 90110-150"/>
    <x v="8"/>
    <s v="RAFAEL GUIMARÃES"/>
    <x v="0"/>
    <n v="28"/>
    <x v="2"/>
    <n v="3300"/>
    <d v="2021-07-30T00:00:00"/>
    <x v="2"/>
    <x v="0"/>
  </r>
  <r>
    <x v="11"/>
    <n v="2000"/>
    <n v="3"/>
    <s v="Av. Dom Luís, 500 - Aldeota, Fortaleza - CE, 60160-230"/>
    <x v="2"/>
    <s v="BRUNO MOTA"/>
    <x v="0"/>
    <n v="37"/>
    <x v="0"/>
    <n v="6000"/>
    <d v="2021-08-10T00:00:00"/>
    <x v="2"/>
    <x v="7"/>
  </r>
  <r>
    <x v="16"/>
    <n v="1200"/>
    <n v="1"/>
    <s v="R. Luíz Faccini, 212 - Centro, Guarulhos - SP, 07110-000"/>
    <x v="0"/>
    <s v="LÍVIA TANAKA"/>
    <x v="1"/>
    <n v="48"/>
    <x v="0"/>
    <n v="1200"/>
    <d v="2021-09-26T00:00:00"/>
    <x v="2"/>
    <x v="1"/>
  </r>
  <r>
    <x v="22"/>
    <n v="2400"/>
    <n v="5"/>
    <s v="R. Luíz Faccini, 212 - Centro, Guarulhos - SP, 07110-000"/>
    <x v="0"/>
    <s v="BEATRIZ PERDOMO"/>
    <x v="1"/>
    <n v="50"/>
    <x v="0"/>
    <n v="12000"/>
    <d v="2021-09-10T00:00:00"/>
    <x v="2"/>
    <x v="1"/>
  </r>
  <r>
    <x v="8"/>
    <n v="1400"/>
    <n v="1"/>
    <s v="R. Luíz Faccini, 212 - Centro, Guarulhos - SP, 07110-000"/>
    <x v="0"/>
    <s v="RAUL JUNQUEIRA"/>
    <x v="0"/>
    <n v="45"/>
    <x v="0"/>
    <n v="1400"/>
    <d v="2021-12-01T00:00:00"/>
    <x v="2"/>
    <x v="8"/>
  </r>
  <r>
    <x v="19"/>
    <n v="1750"/>
    <n v="2"/>
    <s v="Rua Quinze de Novembro, 8 - Loja 301a Loja 301b - Centro, Niterói - RJ, 24020-125"/>
    <x v="1"/>
    <s v="GABRIELLE WANDERLEY"/>
    <x v="1"/>
    <n v="69"/>
    <x v="1"/>
    <n v="3500"/>
    <d v="2021-11-22T00:00:00"/>
    <x v="2"/>
    <x v="10"/>
  </r>
  <r>
    <x v="7"/>
    <n v="2600"/>
    <n v="3"/>
    <s v="Av. Dom Luís, 500 - Aldeota, Fortaleza - CE, 60160-230"/>
    <x v="2"/>
    <s v="GUSTAVO ERTHAL"/>
    <x v="0"/>
    <n v="75"/>
    <x v="1"/>
    <n v="7800"/>
    <d v="2021-07-04T00:00:00"/>
    <x v="2"/>
    <x v="0"/>
  </r>
  <r>
    <x v="16"/>
    <n v="1200"/>
    <n v="2"/>
    <s v="R. Luíz Faccini, 212 - Centro, Guarulhos - SP, 07110-000"/>
    <x v="0"/>
    <s v="LUCAS FREIRE"/>
    <x v="0"/>
    <n v="67"/>
    <x v="1"/>
    <n v="2400"/>
    <d v="2021-03-07T00:00:00"/>
    <x v="2"/>
    <x v="9"/>
  </r>
  <r>
    <x v="13"/>
    <n v="1550"/>
    <n v="3"/>
    <s v="R. Brasílio Itiberê, 3279 - Água Verde, Curitiba - PR, 80250-160"/>
    <x v="3"/>
    <s v="JONATAS ESSABER"/>
    <x v="0"/>
    <n v="67"/>
    <x v="1"/>
    <n v="4650"/>
    <d v="2021-11-10T00:00:00"/>
    <x v="2"/>
    <x v="10"/>
  </r>
  <r>
    <x v="23"/>
    <n v="1100"/>
    <n v="4"/>
    <s v="R. Dr. Antônio Castro Prado, 422 - Vila Rossi e Borchi, Campinas - SP, 13076-130"/>
    <x v="0"/>
    <s v="LUCAS RODRIGUES"/>
    <x v="0"/>
    <n v="40"/>
    <x v="0"/>
    <n v="4400"/>
    <d v="2021-08-13T00:00:00"/>
    <x v="2"/>
    <x v="7"/>
  </r>
  <r>
    <x v="20"/>
    <n v="5500"/>
    <n v="1"/>
    <s v="Av. Barão Homem de Melo, 1389 - Nova Granada, Belo Horizonte - MG, 30431-425"/>
    <x v="7"/>
    <s v="CAROLINE PINTO"/>
    <x v="1"/>
    <n v="66"/>
    <x v="1"/>
    <n v="5500"/>
    <d v="2021-12-17T00:00:00"/>
    <x v="2"/>
    <x v="8"/>
  </r>
  <r>
    <x v="7"/>
    <n v="2600"/>
    <n v="4"/>
    <s v="Rua Quinze de Novembro, 8 - Loja 301a Loja 301b - Centro, Niterói - RJ, 24020-125"/>
    <x v="1"/>
    <s v="THAÍS PEREIRA"/>
    <x v="1"/>
    <n v="56"/>
    <x v="1"/>
    <n v="10400"/>
    <d v="2021-04-30T00:00:00"/>
    <x v="2"/>
    <x v="2"/>
  </r>
  <r>
    <x v="4"/>
    <n v="700"/>
    <n v="1"/>
    <s v="Av. Barão Homem de Melo, 1389 - Nova Granada, Belo Horizonte - MG, 30431-425"/>
    <x v="7"/>
    <s v="THIAGO VEIGA"/>
    <x v="0"/>
    <n v="39"/>
    <x v="0"/>
    <n v="700"/>
    <d v="2021-11-16T00:00:00"/>
    <x v="2"/>
    <x v="10"/>
  </r>
  <r>
    <x v="14"/>
    <n v="1500"/>
    <n v="5"/>
    <s v="Shopping Barra - Av. Centenário, 2992 - Barra, Salvador - BA, 40155-150"/>
    <x v="5"/>
    <s v="MARIA MELLO"/>
    <x v="1"/>
    <n v="67"/>
    <x v="1"/>
    <n v="7500"/>
    <d v="2021-06-23T00:00:00"/>
    <x v="2"/>
    <x v="3"/>
  </r>
  <r>
    <x v="19"/>
    <n v="1750"/>
    <n v="3"/>
    <s v="Shopping Barra - Av. Centenário, 2992 - Barra, Salvador - BA, 40155-150"/>
    <x v="5"/>
    <s v="MILENA ALCOFORADO"/>
    <x v="1"/>
    <n v="68"/>
    <x v="1"/>
    <n v="5250"/>
    <d v="2021-12-16T00:00:00"/>
    <x v="2"/>
    <x v="8"/>
  </r>
  <r>
    <x v="1"/>
    <n v="1400"/>
    <n v="5"/>
    <s v="Shopping Barra - Av. Centenário, 2992 - Barra, Salvador - BA, 40155-150"/>
    <x v="5"/>
    <s v="LUANA SANTANA"/>
    <x v="1"/>
    <n v="25"/>
    <x v="2"/>
    <n v="7000"/>
    <d v="2021-07-15T00:00:00"/>
    <x v="2"/>
    <x v="0"/>
  </r>
  <r>
    <x v="13"/>
    <n v="1550"/>
    <n v="3"/>
    <s v="Av. Borges de Medeiros, 3120 - Praia de Belas, Porto Alegre - RS, 90110-150"/>
    <x v="8"/>
    <s v="LIVIA COZENDEY"/>
    <x v="1"/>
    <n v="32"/>
    <x v="0"/>
    <n v="4650"/>
    <d v="2021-02-06T00:00:00"/>
    <x v="2"/>
    <x v="4"/>
  </r>
  <r>
    <x v="5"/>
    <n v="1450"/>
    <n v="5"/>
    <s v="Rua Antônio Lumack do Monte, 203 - 1 - Boa Viagem, Recife - PE, 51020-350"/>
    <x v="6"/>
    <s v="LUCAS ARAÚJO"/>
    <x v="0"/>
    <n v="48"/>
    <x v="0"/>
    <n v="7250"/>
    <d v="2021-06-16T00:00:00"/>
    <x v="2"/>
    <x v="3"/>
  </r>
  <r>
    <x v="13"/>
    <n v="1550"/>
    <n v="5"/>
    <s v="R. Luíz Faccini, 212 - Centro, Guarulhos - SP, 07110-000"/>
    <x v="0"/>
    <s v="MARIANE FERREIRA"/>
    <x v="1"/>
    <n v="54"/>
    <x v="1"/>
    <n v="7750"/>
    <d v="2021-05-10T00:00:00"/>
    <x v="2"/>
    <x v="11"/>
  </r>
  <r>
    <x v="13"/>
    <n v="1550"/>
    <n v="5"/>
    <s v="R. Teodoro Sampaio, 954 - Pinheiros, São Paulo - SP, 05406-050"/>
    <x v="0"/>
    <s v="LENON FERNANDES"/>
    <x v="0"/>
    <n v="50"/>
    <x v="0"/>
    <n v="7750"/>
    <d v="2021-08-01T00:00:00"/>
    <x v="2"/>
    <x v="7"/>
  </r>
  <r>
    <x v="1"/>
    <n v="1400"/>
    <n v="4"/>
    <s v="Av. Barão Homem de Melo, 1389 - Nova Granada, Belo Horizonte - MG, 30431-425"/>
    <x v="7"/>
    <s v="FELIPE FREITAS"/>
    <x v="0"/>
    <n v="36"/>
    <x v="0"/>
    <n v="5600"/>
    <d v="2021-01-12T00:00:00"/>
    <x v="2"/>
    <x v="5"/>
  </r>
  <r>
    <x v="22"/>
    <n v="2400"/>
    <n v="3"/>
    <s v="Av. Dom Luís, 500 - Aldeota, Fortaleza - CE, 60160-230"/>
    <x v="2"/>
    <s v="RAFAELA RODRIGUES"/>
    <x v="1"/>
    <n v="34"/>
    <x v="0"/>
    <n v="7200"/>
    <d v="2021-06-12T00:00:00"/>
    <x v="2"/>
    <x v="3"/>
  </r>
  <r>
    <x v="7"/>
    <n v="2600"/>
    <n v="5"/>
    <s v="R. Visc. de Pirajá, 136 - Ipanema, Rio de Janeiro - RJ, 22410-000"/>
    <x v="1"/>
    <s v="GABRIELA CAVALCANTI"/>
    <x v="1"/>
    <n v="54"/>
    <x v="1"/>
    <n v="13000"/>
    <d v="2021-03-31T00:00:00"/>
    <x v="2"/>
    <x v="9"/>
  </r>
  <r>
    <x v="1"/>
    <n v="1400"/>
    <n v="4"/>
    <s v="Rua Antônio Lumack do Monte, 203 - 1 - Boa Viagem, Recife - PE, 51020-350"/>
    <x v="6"/>
    <s v="LUIS OLIVEIRA"/>
    <x v="1"/>
    <n v="40"/>
    <x v="0"/>
    <n v="5600"/>
    <d v="2021-06-27T00:00:00"/>
    <x v="2"/>
    <x v="3"/>
  </r>
  <r>
    <x v="14"/>
    <n v="1500"/>
    <n v="2"/>
    <s v="R. Dr. Antônio Castro Prado, 422 - Vila Rossi e Borchi, Campinas - SP, 13076-130"/>
    <x v="0"/>
    <s v="BRUNA SILVA"/>
    <x v="1"/>
    <n v="50"/>
    <x v="0"/>
    <n v="3000"/>
    <d v="2021-11-11T00:00:00"/>
    <x v="2"/>
    <x v="10"/>
  </r>
  <r>
    <x v="1"/>
    <n v="1400"/>
    <n v="1"/>
    <s v="Av. Barão Homem de Melo, 1389 - Nova Granada, Belo Horizonte - MG, 30431-425"/>
    <x v="7"/>
    <s v="JULIANA HOLLANDER"/>
    <x v="1"/>
    <n v="58"/>
    <x v="1"/>
    <n v="1400"/>
    <d v="2021-03-22T00:00:00"/>
    <x v="2"/>
    <x v="9"/>
  </r>
  <r>
    <x v="10"/>
    <n v="750"/>
    <n v="3"/>
    <s v="R. Visc. de Pirajá, 136 - Ipanema, Rio de Janeiro - RJ, 22410-000"/>
    <x v="1"/>
    <s v="JULIANA CORREA"/>
    <x v="1"/>
    <n v="69"/>
    <x v="1"/>
    <n v="2250"/>
    <d v="2021-01-31T00:00:00"/>
    <x v="2"/>
    <x v="5"/>
  </r>
  <r>
    <x v="3"/>
    <n v="1500"/>
    <n v="2"/>
    <s v="Rua Quinze de Novembro, 8 - Loja 301a Loja 301b - Centro, Niterói - RJ, 24020-125"/>
    <x v="1"/>
    <s v="LUIZ FREIRE"/>
    <x v="0"/>
    <n v="32"/>
    <x v="0"/>
    <n v="3000"/>
    <d v="2021-02-02T00:00:00"/>
    <x v="2"/>
    <x v="4"/>
  </r>
  <r>
    <x v="16"/>
    <n v="1200"/>
    <n v="4"/>
    <s v="R. Teodoro Sampaio, 954 - Pinheiros, São Paulo - SP, 05406-050"/>
    <x v="0"/>
    <s v="THAÍS MOURA"/>
    <x v="1"/>
    <n v="28"/>
    <x v="2"/>
    <n v="4800"/>
    <d v="2021-11-10T00:00:00"/>
    <x v="2"/>
    <x v="10"/>
  </r>
  <r>
    <x v="13"/>
    <n v="1550"/>
    <n v="2"/>
    <s v="Av. Goiás Norte, 3.592 - quadra 2.1 - St. Mal. Rondon, Goiânia - GO, 74063-010"/>
    <x v="4"/>
    <s v="ERIC JÚNIOR"/>
    <x v="0"/>
    <n v="37"/>
    <x v="0"/>
    <n v="3100"/>
    <d v="2021-03-08T00:00:00"/>
    <x v="2"/>
    <x v="9"/>
  </r>
  <r>
    <x v="0"/>
    <n v="4500"/>
    <n v="5"/>
    <s v="R. Brasílio Itiberê, 3279 - Água Verde, Curitiba - PR, 80250-160"/>
    <x v="3"/>
    <s v="CATARINA TEIXEIRA"/>
    <x v="1"/>
    <n v="54"/>
    <x v="1"/>
    <n v="22500"/>
    <d v="2021-10-06T00:00:00"/>
    <x v="2"/>
    <x v="6"/>
  </r>
  <r>
    <x v="9"/>
    <n v="2000"/>
    <n v="2"/>
    <s v="R. Dr. Antônio Castro Prado, 422 - Vila Rossi e Borchi, Campinas - SP, 13076-130"/>
    <x v="0"/>
    <s v="ARTHUR PORTELA"/>
    <x v="0"/>
    <n v="28"/>
    <x v="2"/>
    <n v="4000"/>
    <d v="2021-06-28T00:00:00"/>
    <x v="2"/>
    <x v="3"/>
  </r>
  <r>
    <x v="21"/>
    <n v="5200"/>
    <n v="5"/>
    <s v="R. Visc. de Pirajá, 136 - Ipanema, Rio de Janeiro - RJ, 22410-000"/>
    <x v="1"/>
    <s v="STEFAN SANTOS"/>
    <x v="0"/>
    <n v="50"/>
    <x v="0"/>
    <n v="26000"/>
    <d v="2021-02-15T00:00:00"/>
    <x v="2"/>
    <x v="4"/>
  </r>
  <r>
    <x v="15"/>
    <n v="3000"/>
    <n v="5"/>
    <s v="Av. Mal. Floriano Peixoto, 2248-2258 - Centro, Nova Iguaçu - RJ, 26210-000"/>
    <x v="1"/>
    <s v="BRUNA FRANCO"/>
    <x v="1"/>
    <n v="45"/>
    <x v="0"/>
    <n v="15000"/>
    <d v="2021-08-22T00:00:00"/>
    <x v="2"/>
    <x v="7"/>
  </r>
  <r>
    <x v="4"/>
    <n v="700"/>
    <n v="5"/>
    <s v="Av. Dom Luís, 500 - Aldeota, Fortaleza - CE, 60160-230"/>
    <x v="2"/>
    <s v="ANNA MAIA"/>
    <x v="1"/>
    <n v="54"/>
    <x v="1"/>
    <n v="3500"/>
    <d v="2021-09-06T00:00:00"/>
    <x v="2"/>
    <x v="1"/>
  </r>
  <r>
    <x v="0"/>
    <n v="4500"/>
    <n v="3"/>
    <s v="Av. Dom Luís, 500 - Aldeota, Fortaleza - CE, 60160-230"/>
    <x v="2"/>
    <s v="HENRIQUE SILVA"/>
    <x v="0"/>
    <n v="62"/>
    <x v="1"/>
    <n v="13500"/>
    <d v="2021-07-06T00:00:00"/>
    <x v="2"/>
    <x v="0"/>
  </r>
  <r>
    <x v="0"/>
    <n v="4500"/>
    <n v="1"/>
    <s v="Shopping Barra - Av. Centenário, 2992 - Barra, Salvador - BA, 40155-150"/>
    <x v="5"/>
    <s v="GABRIELLE VIRÍSSIMO"/>
    <x v="1"/>
    <n v="26"/>
    <x v="2"/>
    <n v="4500"/>
    <d v="2021-02-21T00:00:00"/>
    <x v="2"/>
    <x v="4"/>
  </r>
  <r>
    <x v="13"/>
    <n v="1550"/>
    <n v="4"/>
    <s v="Av. Mal. Floriano Peixoto, 2248-2258 - Centro, Nova Iguaçu - RJ, 26210-000"/>
    <x v="1"/>
    <s v="RAÍZA LOPES"/>
    <x v="1"/>
    <n v="43"/>
    <x v="0"/>
    <n v="6200"/>
    <d v="2021-08-19T00:00:00"/>
    <x v="2"/>
    <x v="7"/>
  </r>
  <r>
    <x v="17"/>
    <n v="2300"/>
    <n v="3"/>
    <s v="R. Luíz Faccini, 212 - Centro, Guarulhos - SP, 07110-000"/>
    <x v="0"/>
    <s v="DANIEL VALENTE"/>
    <x v="0"/>
    <n v="41"/>
    <x v="0"/>
    <n v="6900"/>
    <d v="2021-12-01T00:00:00"/>
    <x v="2"/>
    <x v="8"/>
  </r>
  <r>
    <x v="2"/>
    <n v="1900"/>
    <n v="4"/>
    <s v="Av. Dom Luís, 500 - Aldeota, Fortaleza - CE, 60160-230"/>
    <x v="2"/>
    <s v="LUIS VILLANOVA"/>
    <x v="1"/>
    <n v="41"/>
    <x v="0"/>
    <n v="7600"/>
    <d v="2021-05-12T00:00:00"/>
    <x v="2"/>
    <x v="11"/>
  </r>
  <r>
    <x v="14"/>
    <n v="1500"/>
    <n v="2"/>
    <s v="Av. Dom Luís, 500 - Aldeota, Fortaleza - CE, 60160-230"/>
    <x v="2"/>
    <s v="ANA GONZAGA"/>
    <x v="1"/>
    <n v="48"/>
    <x v="0"/>
    <n v="3000"/>
    <d v="2021-11-09T00:00:00"/>
    <x v="2"/>
    <x v="10"/>
  </r>
  <r>
    <x v="23"/>
    <n v="1100"/>
    <n v="1"/>
    <s v="Av. Dom Luís, 500 - Aldeota, Fortaleza - CE, 60160-230"/>
    <x v="2"/>
    <s v="LUÍZA GARCIA"/>
    <x v="1"/>
    <n v="38"/>
    <x v="0"/>
    <n v="1100"/>
    <d v="2021-08-26T00:00:00"/>
    <x v="2"/>
    <x v="7"/>
  </r>
  <r>
    <x v="7"/>
    <n v="2600"/>
    <n v="3"/>
    <s v="Av. Mal. Floriano Peixoto, 2248-2258 - Centro, Nova Iguaçu - RJ, 26210-000"/>
    <x v="1"/>
    <s v="THIAGO MIURA"/>
    <x v="0"/>
    <n v="47"/>
    <x v="0"/>
    <n v="7800"/>
    <d v="2021-07-09T00:00:00"/>
    <x v="2"/>
    <x v="0"/>
  </r>
  <r>
    <x v="6"/>
    <n v="6500"/>
    <n v="5"/>
    <s v="R. Dr. Antônio Castro Prado, 422 - Vila Rossi e Borchi, Campinas - SP, 13076-130"/>
    <x v="0"/>
    <s v="GABRIEL RIBEIRO"/>
    <x v="0"/>
    <n v="65"/>
    <x v="1"/>
    <n v="32500"/>
    <d v="2021-07-20T00:00:00"/>
    <x v="2"/>
    <x v="0"/>
  </r>
  <r>
    <x v="23"/>
    <n v="1100"/>
    <n v="4"/>
    <s v="R. Luíz Faccini, 212 - Centro, Guarulhos - SP, 07110-000"/>
    <x v="0"/>
    <s v="GABRIELLE PORTO"/>
    <x v="1"/>
    <n v="40"/>
    <x v="0"/>
    <n v="4400"/>
    <d v="2021-07-14T00:00:00"/>
    <x v="2"/>
    <x v="0"/>
  </r>
  <r>
    <x v="7"/>
    <n v="2600"/>
    <n v="4"/>
    <s v="Av. Dom Luís, 500 - Aldeota, Fortaleza - CE, 60160-230"/>
    <x v="2"/>
    <s v="DIEGO BARROS"/>
    <x v="0"/>
    <n v="37"/>
    <x v="0"/>
    <n v="10400"/>
    <d v="2021-03-12T00:00:00"/>
    <x v="2"/>
    <x v="9"/>
  </r>
  <r>
    <x v="9"/>
    <n v="2000"/>
    <n v="4"/>
    <s v="R. Dr. Antônio Castro Prado, 422 - Vila Rossi e Borchi, Campinas - SP, 13076-130"/>
    <x v="0"/>
    <s v="LUÍZA MELO"/>
    <x v="1"/>
    <n v="66"/>
    <x v="1"/>
    <n v="8000"/>
    <d v="2021-01-15T00:00:00"/>
    <x v="2"/>
    <x v="5"/>
  </r>
  <r>
    <x v="6"/>
    <n v="6500"/>
    <n v="1"/>
    <s v="Av. Goiás Norte, 3.592 - quadra 2.1 - St. Mal. Rondon, Goiânia - GO, 74063-010"/>
    <x v="4"/>
    <s v="DANDARA REIS"/>
    <x v="1"/>
    <n v="42"/>
    <x v="0"/>
    <n v="6500"/>
    <d v="2021-02-05T00:00:00"/>
    <x v="2"/>
    <x v="4"/>
  </r>
  <r>
    <x v="20"/>
    <n v="5500"/>
    <n v="1"/>
    <s v="Shopping Barra - Av. Centenário, 2992 - Barra, Salvador - BA, 40155-150"/>
    <x v="5"/>
    <s v="MARINA ARAGÃO"/>
    <x v="1"/>
    <n v="56"/>
    <x v="1"/>
    <n v="5500"/>
    <d v="2021-06-07T00:00:00"/>
    <x v="2"/>
    <x v="3"/>
  </r>
  <r>
    <x v="10"/>
    <n v="750"/>
    <n v="5"/>
    <s v="R. Luíz Faccini, 212 - Centro, Guarulhos - SP, 07110-000"/>
    <x v="0"/>
    <s v="RAPHAEL KURTZ"/>
    <x v="0"/>
    <n v="48"/>
    <x v="0"/>
    <n v="3750"/>
    <d v="2021-11-19T00:00:00"/>
    <x v="2"/>
    <x v="10"/>
  </r>
  <r>
    <x v="19"/>
    <n v="1750"/>
    <n v="4"/>
    <s v="Av. Borges de Medeiros, 3120 - Praia de Belas, Porto Alegre - RS, 90110-150"/>
    <x v="8"/>
    <s v="LARA MOREIRA"/>
    <x v="1"/>
    <n v="52"/>
    <x v="1"/>
    <n v="7000"/>
    <d v="2021-01-08T00:00:00"/>
    <x v="2"/>
    <x v="5"/>
  </r>
  <r>
    <x v="15"/>
    <n v="3000"/>
    <n v="4"/>
    <s v="R. Brasílio Itiberê, 3279 - Água Verde, Curitiba - PR, 80250-160"/>
    <x v="3"/>
    <s v="YLANA TERAOKA"/>
    <x v="1"/>
    <n v="43"/>
    <x v="0"/>
    <n v="12000"/>
    <d v="2021-04-15T00:00:00"/>
    <x v="2"/>
    <x v="2"/>
  </r>
  <r>
    <x v="10"/>
    <n v="750"/>
    <n v="1"/>
    <s v="Rua Quinze de Novembro, 8 - Loja 301a Loja 301b - Centro, Niterói - RJ, 24020-125"/>
    <x v="1"/>
    <s v="GABRIEL AZEVEDO"/>
    <x v="0"/>
    <n v="42"/>
    <x v="0"/>
    <n v="750"/>
    <d v="2021-01-06T00:00:00"/>
    <x v="2"/>
    <x v="5"/>
  </r>
  <r>
    <x v="10"/>
    <n v="750"/>
    <n v="5"/>
    <s v="R. Teodoro Sampaio, 954 - Pinheiros, São Paulo - SP, 05406-050"/>
    <x v="0"/>
    <s v="LUIZ XAVIER"/>
    <x v="0"/>
    <n v="41"/>
    <x v="0"/>
    <n v="3750"/>
    <d v="2021-09-05T00:00:00"/>
    <x v="2"/>
    <x v="1"/>
  </r>
  <r>
    <x v="4"/>
    <n v="700"/>
    <n v="3"/>
    <s v="Av. Barão Homem de Melo, 1389 - Nova Granada, Belo Horizonte - MG, 30431-425"/>
    <x v="7"/>
    <s v="PRISCILA GARCIA"/>
    <x v="1"/>
    <n v="33"/>
    <x v="0"/>
    <n v="2100"/>
    <d v="2021-09-23T00:00:00"/>
    <x v="2"/>
    <x v="1"/>
  </r>
  <r>
    <x v="12"/>
    <n v="1500"/>
    <n v="5"/>
    <s v="Av. Borges de Medeiros, 3120 - Praia de Belas, Porto Alegre - RS, 90110-150"/>
    <x v="8"/>
    <s v="JÚLIO FRAGA"/>
    <x v="0"/>
    <n v="53"/>
    <x v="1"/>
    <n v="7500"/>
    <d v="2021-12-17T00:00:00"/>
    <x v="2"/>
    <x v="8"/>
  </r>
  <r>
    <x v="1"/>
    <n v="1400"/>
    <n v="1"/>
    <s v="R. Dr. Antônio Castro Prado, 422 - Vila Rossi e Borchi, Campinas - SP, 13076-130"/>
    <x v="0"/>
    <s v="GABRIELLE SILVA"/>
    <x v="1"/>
    <n v="75"/>
    <x v="1"/>
    <n v="1400"/>
    <d v="2021-06-21T00:00:00"/>
    <x v="2"/>
    <x v="3"/>
  </r>
  <r>
    <x v="1"/>
    <n v="1400"/>
    <n v="3"/>
    <s v="Av. Borges de Medeiros, 3120 - Praia de Belas, Porto Alegre - RS, 90110-150"/>
    <x v="8"/>
    <s v="GUSTAVO THOME"/>
    <x v="0"/>
    <n v="38"/>
    <x v="0"/>
    <n v="4200"/>
    <d v="2021-10-04T00:00:00"/>
    <x v="2"/>
    <x v="6"/>
  </r>
  <r>
    <x v="19"/>
    <n v="1750"/>
    <n v="1"/>
    <s v="R. Luíz Faccini, 212 - Centro, Guarulhos - SP, 07110-000"/>
    <x v="0"/>
    <s v="RILSON DIAS"/>
    <x v="0"/>
    <n v="74"/>
    <x v="1"/>
    <n v="1750"/>
    <d v="2021-04-03T00:00:00"/>
    <x v="2"/>
    <x v="2"/>
  </r>
  <r>
    <x v="11"/>
    <n v="2000"/>
    <n v="3"/>
    <s v="Av. Goiás Norte, 3.592 - quadra 2.1 - St. Mal. Rondon, Goiânia - GO, 74063-010"/>
    <x v="4"/>
    <s v="LUCAS FREITAS"/>
    <x v="0"/>
    <n v="37"/>
    <x v="0"/>
    <n v="6000"/>
    <d v="2021-03-10T00:00:00"/>
    <x v="2"/>
    <x v="9"/>
  </r>
  <r>
    <x v="20"/>
    <n v="5500"/>
    <n v="2"/>
    <s v="R. Brasílio Itiberê, 3279 - Água Verde, Curitiba - PR, 80250-160"/>
    <x v="3"/>
    <s v="WILSON MEIRELLES"/>
    <x v="0"/>
    <n v="65"/>
    <x v="1"/>
    <n v="11000"/>
    <d v="2021-08-03T00:00:00"/>
    <x v="2"/>
    <x v="7"/>
  </r>
  <r>
    <x v="12"/>
    <n v="1500"/>
    <n v="1"/>
    <s v="Shopping Barra - Av. Centenário, 2992 - Barra, Salvador - BA, 40155-150"/>
    <x v="5"/>
    <s v="ANA SILVA"/>
    <x v="1"/>
    <n v="58"/>
    <x v="1"/>
    <n v="1500"/>
    <d v="2021-02-08T00:00:00"/>
    <x v="2"/>
    <x v="4"/>
  </r>
  <r>
    <x v="2"/>
    <n v="1900"/>
    <n v="2"/>
    <s v="Av. Goiás Norte, 3.592 - quadra 2.1 - St. Mal. Rondon, Goiânia - GO, 74063-010"/>
    <x v="4"/>
    <s v="MAYARA SOARES"/>
    <x v="1"/>
    <n v="57"/>
    <x v="1"/>
    <n v="3800"/>
    <d v="2021-07-14T00:00:00"/>
    <x v="2"/>
    <x v="0"/>
  </r>
  <r>
    <x v="23"/>
    <n v="1100"/>
    <n v="4"/>
    <s v="R. Visc. de Pirajá, 136 - Ipanema, Rio de Janeiro - RJ, 22410-000"/>
    <x v="1"/>
    <s v="LUIZ MENDONÇA"/>
    <x v="0"/>
    <n v="41"/>
    <x v="0"/>
    <n v="4400"/>
    <d v="2021-06-26T00:00:00"/>
    <x v="2"/>
    <x v="3"/>
  </r>
  <r>
    <x v="9"/>
    <n v="2000"/>
    <n v="2"/>
    <s v="R. Teodoro Sampaio, 954 - Pinheiros, São Paulo - SP, 05406-050"/>
    <x v="0"/>
    <s v="SAMARA PINTO"/>
    <x v="1"/>
    <n v="41"/>
    <x v="0"/>
    <n v="4000"/>
    <d v="2021-08-18T00:00:00"/>
    <x v="2"/>
    <x v="7"/>
  </r>
  <r>
    <x v="23"/>
    <n v="1100"/>
    <n v="1"/>
    <s v="Av. Mal. Floriano Peixoto, 2248-2258 - Centro, Nova Iguaçu - RJ, 26210-000"/>
    <x v="1"/>
    <s v="STEPHANIE NOVAK"/>
    <x v="1"/>
    <n v="57"/>
    <x v="1"/>
    <n v="1100"/>
    <d v="2021-12-12T00:00:00"/>
    <x v="2"/>
    <x v="8"/>
  </r>
  <r>
    <x v="19"/>
    <n v="1750"/>
    <n v="4"/>
    <s v="R. Luíz Faccini, 212 - Centro, Guarulhos - SP, 07110-000"/>
    <x v="0"/>
    <s v="SANDY FIGUEIREDO"/>
    <x v="1"/>
    <n v="35"/>
    <x v="0"/>
    <n v="7000"/>
    <d v="2021-04-20T00:00:00"/>
    <x v="2"/>
    <x v="2"/>
  </r>
  <r>
    <x v="4"/>
    <n v="700"/>
    <n v="1"/>
    <s v="Av. Dom Luís, 500 - Aldeota, Fortaleza - CE, 60160-230"/>
    <x v="2"/>
    <s v="LÍVIA MARQUES"/>
    <x v="1"/>
    <n v="50"/>
    <x v="0"/>
    <n v="700"/>
    <d v="2021-03-18T00:00:00"/>
    <x v="2"/>
    <x v="9"/>
  </r>
  <r>
    <x v="8"/>
    <n v="1400"/>
    <n v="1"/>
    <s v="Av. Borges de Medeiros, 3120 - Praia de Belas, Porto Alegre - RS, 90110-150"/>
    <x v="8"/>
    <s v="MATHEUS GOMES"/>
    <x v="0"/>
    <n v="64"/>
    <x v="1"/>
    <n v="1400"/>
    <d v="2021-06-14T00:00:00"/>
    <x v="2"/>
    <x v="3"/>
  </r>
  <r>
    <x v="1"/>
    <n v="1400"/>
    <n v="4"/>
    <s v="R. Visc. de Pirajá, 136 - Ipanema, Rio de Janeiro - RJ, 22410-000"/>
    <x v="1"/>
    <s v="GABRIELLA SAGRILLO"/>
    <x v="1"/>
    <n v="36"/>
    <x v="0"/>
    <n v="5600"/>
    <d v="2021-02-19T00:00:00"/>
    <x v="2"/>
    <x v="4"/>
  </r>
  <r>
    <x v="2"/>
    <n v="1900"/>
    <n v="5"/>
    <s v="Av. Goiás Norte, 3.592 - quadra 2.1 - St. Mal. Rondon, Goiânia - GO, 74063-010"/>
    <x v="4"/>
    <s v="JULIA LEITE"/>
    <x v="1"/>
    <n v="36"/>
    <x v="0"/>
    <n v="9500"/>
    <d v="2021-10-07T00:00:00"/>
    <x v="2"/>
    <x v="6"/>
  </r>
  <r>
    <x v="3"/>
    <n v="1500"/>
    <n v="1"/>
    <s v="Av. Dom Luís, 500 - Aldeota, Fortaleza - CE, 60160-230"/>
    <x v="2"/>
    <s v="JULIA ALIANI"/>
    <x v="1"/>
    <n v="40"/>
    <x v="0"/>
    <n v="1500"/>
    <d v="2021-12-05T00:00:00"/>
    <x v="2"/>
    <x v="8"/>
  </r>
  <r>
    <x v="5"/>
    <n v="1450"/>
    <n v="1"/>
    <s v="R. Dr. Antônio Castro Prado, 422 - Vila Rossi e Borchi, Campinas - SP, 13076-130"/>
    <x v="0"/>
    <s v="ALVARO KRANZ"/>
    <x v="0"/>
    <n v="45"/>
    <x v="0"/>
    <n v="1450"/>
    <d v="2021-01-26T00:00:00"/>
    <x v="2"/>
    <x v="5"/>
  </r>
  <r>
    <x v="6"/>
    <n v="6500"/>
    <n v="2"/>
    <s v="R. Brasílio Itiberê, 3279 - Água Verde, Curitiba - PR, 80250-160"/>
    <x v="3"/>
    <s v="LEANDRO MELO"/>
    <x v="0"/>
    <n v="27"/>
    <x v="2"/>
    <n v="13000"/>
    <d v="2021-03-30T00:00:00"/>
    <x v="2"/>
    <x v="9"/>
  </r>
  <r>
    <x v="19"/>
    <n v="1750"/>
    <n v="2"/>
    <s v="Av. Goiás Norte, 3.592 - quadra 2.1 - St. Mal. Rondon, Goiânia - GO, 74063-010"/>
    <x v="4"/>
    <s v="BRUNO BARCESSAT"/>
    <x v="0"/>
    <n v="37"/>
    <x v="0"/>
    <n v="3500"/>
    <d v="2021-05-01T00:00:00"/>
    <x v="2"/>
    <x v="11"/>
  </r>
  <r>
    <x v="20"/>
    <n v="5500"/>
    <n v="3"/>
    <s v="R. Brasílio Itiberê, 3279 - Água Verde, Curitiba - PR, 80250-160"/>
    <x v="3"/>
    <s v="WILSON MEIRELLES"/>
    <x v="0"/>
    <n v="65"/>
    <x v="1"/>
    <n v="16500"/>
    <d v="2021-08-22T00:00:00"/>
    <x v="2"/>
    <x v="7"/>
  </r>
  <r>
    <x v="2"/>
    <n v="1900"/>
    <n v="5"/>
    <s v="R. Brasílio Itiberê, 3279 - Água Verde, Curitiba - PR, 80250-160"/>
    <x v="3"/>
    <s v="WILSON MEIRELLES"/>
    <x v="0"/>
    <n v="65"/>
    <x v="1"/>
    <n v="9500"/>
    <d v="2021-08-16T00:00:00"/>
    <x v="2"/>
    <x v="7"/>
  </r>
  <r>
    <x v="19"/>
    <n v="1750"/>
    <n v="5"/>
    <s v="R. Visc. de Pirajá, 136 - Ipanema, Rio de Janeiro - RJ, 22410-000"/>
    <x v="1"/>
    <s v="THAYS CASTRO"/>
    <x v="1"/>
    <n v="61"/>
    <x v="1"/>
    <n v="8750"/>
    <d v="2021-07-17T00:00:00"/>
    <x v="2"/>
    <x v="0"/>
  </r>
  <r>
    <x v="1"/>
    <n v="1400"/>
    <n v="4"/>
    <s v="Rua Quinze de Novembro, 8 - Loja 301a Loja 301b - Centro, Niterói - RJ, 24020-125"/>
    <x v="1"/>
    <s v="PEDRO MACCKIONE"/>
    <x v="0"/>
    <n v="35"/>
    <x v="0"/>
    <n v="5600"/>
    <d v="2021-02-26T00:00:00"/>
    <x v="2"/>
    <x v="4"/>
  </r>
  <r>
    <x v="19"/>
    <n v="1750"/>
    <n v="1"/>
    <s v="R. Luíz Faccini, 212 - Centro, Guarulhos - SP, 07110-000"/>
    <x v="0"/>
    <s v="JULIE FERREIRA"/>
    <x v="1"/>
    <n v="34"/>
    <x v="0"/>
    <n v="1750"/>
    <d v="2021-11-11T00:00:00"/>
    <x v="2"/>
    <x v="10"/>
  </r>
  <r>
    <x v="0"/>
    <n v="4500"/>
    <n v="1"/>
    <s v="R. Luíz Faccini, 212 - Centro, Guarulhos - SP, 07110-000"/>
    <x v="0"/>
    <s v="VICTOR LIRA"/>
    <x v="0"/>
    <n v="38"/>
    <x v="0"/>
    <n v="4500"/>
    <d v="2021-05-10T00:00:00"/>
    <x v="2"/>
    <x v="11"/>
  </r>
  <r>
    <x v="12"/>
    <n v="1500"/>
    <n v="1"/>
    <s v="Av. Barão Homem de Melo, 1389 - Nova Granada, Belo Horizonte - MG, 30431-425"/>
    <x v="7"/>
    <s v="AUDIR FRANCO"/>
    <x v="0"/>
    <n v="48"/>
    <x v="0"/>
    <n v="1500"/>
    <d v="2021-10-10T00:00:00"/>
    <x v="2"/>
    <x v="6"/>
  </r>
  <r>
    <x v="5"/>
    <n v="1450"/>
    <n v="5"/>
    <s v="Av. Mal. Floriano Peixoto, 2248-2258 - Centro, Nova Iguaçu - RJ, 26210-000"/>
    <x v="1"/>
    <s v="PRISCILA VOGEL"/>
    <x v="1"/>
    <n v="61"/>
    <x v="1"/>
    <n v="7250"/>
    <d v="2021-07-23T00:00:00"/>
    <x v="2"/>
    <x v="0"/>
  </r>
  <r>
    <x v="5"/>
    <n v="1450"/>
    <n v="5"/>
    <s v="R. Dr. Antônio Castro Prado, 422 - Vila Rossi e Borchi, Campinas - SP, 13076-130"/>
    <x v="0"/>
    <s v="BÁRBARA CAVALCANTE"/>
    <x v="0"/>
    <n v="31"/>
    <x v="0"/>
    <n v="7250"/>
    <d v="2021-08-08T00:00:00"/>
    <x v="2"/>
    <x v="7"/>
  </r>
  <r>
    <x v="21"/>
    <n v="5200"/>
    <n v="4"/>
    <s v="R. Visc. de Pirajá, 136 - Ipanema, Rio de Janeiro - RJ, 22410-000"/>
    <x v="1"/>
    <s v="BIANCA PIERO"/>
    <x v="1"/>
    <n v="33"/>
    <x v="0"/>
    <n v="20800"/>
    <d v="2021-11-28T00:00:00"/>
    <x v="2"/>
    <x v="10"/>
  </r>
  <r>
    <x v="4"/>
    <n v="700"/>
    <n v="5"/>
    <s v="R. Dr. Antônio Castro Prado, 422 - Vila Rossi e Borchi, Campinas - SP, 13076-130"/>
    <x v="0"/>
    <s v="DEBORA SILVA"/>
    <x v="1"/>
    <n v="61"/>
    <x v="1"/>
    <n v="3500"/>
    <d v="2021-11-27T00:00:00"/>
    <x v="2"/>
    <x v="10"/>
  </r>
  <r>
    <x v="7"/>
    <n v="2600"/>
    <n v="1"/>
    <s v="Av. Borges de Medeiros, 3120 - Praia de Belas, Porto Alegre - RS, 90110-150"/>
    <x v="8"/>
    <s v="GUSTAVO ARAGÃO"/>
    <x v="0"/>
    <n v="46"/>
    <x v="0"/>
    <n v="2600"/>
    <d v="2021-10-01T00:00:00"/>
    <x v="2"/>
    <x v="6"/>
  </r>
  <r>
    <x v="9"/>
    <n v="2000"/>
    <n v="1"/>
    <s v="Av. Goiás Norte, 3.592 - quadra 2.1 - St. Mal. Rondon, Goiânia - GO, 74063-010"/>
    <x v="4"/>
    <s v="RAFAELA FERREIRA"/>
    <x v="1"/>
    <n v="27"/>
    <x v="2"/>
    <n v="2000"/>
    <d v="2021-04-10T00:00:00"/>
    <x v="2"/>
    <x v="2"/>
  </r>
  <r>
    <x v="0"/>
    <n v="4500"/>
    <n v="3"/>
    <s v="R. Luíz Faccini, 212 - Centro, Guarulhos - SP, 07110-000"/>
    <x v="0"/>
    <s v="FERNANDA JUNIOR"/>
    <x v="1"/>
    <n v="51"/>
    <x v="1"/>
    <n v="13500"/>
    <d v="2021-05-01T00:00:00"/>
    <x v="2"/>
    <x v="11"/>
  </r>
  <r>
    <x v="21"/>
    <n v="5200"/>
    <n v="2"/>
    <s v="Av. Borges de Medeiros, 3120 - Praia de Belas, Porto Alegre - RS, 90110-150"/>
    <x v="8"/>
    <s v="GUSTAVO GUIMARÃES"/>
    <x v="0"/>
    <n v="47"/>
    <x v="0"/>
    <n v="10400"/>
    <d v="2021-09-23T00:00:00"/>
    <x v="2"/>
    <x v="1"/>
  </r>
  <r>
    <x v="16"/>
    <n v="1200"/>
    <n v="4"/>
    <s v="Rua Quinze de Novembro, 8 - Loja 301a Loja 301b - Centro, Niterói - RJ, 24020-125"/>
    <x v="1"/>
    <s v="RENAN FIRMINO"/>
    <x v="0"/>
    <n v="73"/>
    <x v="1"/>
    <n v="4800"/>
    <d v="2021-06-21T00:00:00"/>
    <x v="2"/>
    <x v="3"/>
  </r>
  <r>
    <x v="11"/>
    <n v="2000"/>
    <n v="5"/>
    <s v="Av. Goiás Norte, 3.592 - quadra 2.1 - St. Mal. Rondon, Goiânia - GO, 74063-010"/>
    <x v="4"/>
    <s v="ARTHUR SOUZA"/>
    <x v="0"/>
    <n v="45"/>
    <x v="0"/>
    <n v="10000"/>
    <d v="2021-03-15T00:00:00"/>
    <x v="2"/>
    <x v="9"/>
  </r>
  <r>
    <x v="17"/>
    <n v="2300"/>
    <n v="3"/>
    <s v="Rua Quinze de Novembro, 8 - Loja 301a Loja 301b - Centro, Niterói - RJ, 24020-125"/>
    <x v="1"/>
    <s v="ROBERTO NOGUEIRA"/>
    <x v="0"/>
    <n v="51"/>
    <x v="1"/>
    <n v="6900"/>
    <d v="2021-08-17T00:00:00"/>
    <x v="2"/>
    <x v="7"/>
  </r>
  <r>
    <x v="4"/>
    <n v="700"/>
    <n v="1"/>
    <s v="Av. Goiás Norte, 3.592 - quadra 2.1 - St. Mal. Rondon, Goiânia - GO, 74063-010"/>
    <x v="4"/>
    <s v="VIVIANE SOUZA"/>
    <x v="1"/>
    <n v="64"/>
    <x v="1"/>
    <n v="700"/>
    <d v="2021-02-20T00:00:00"/>
    <x v="2"/>
    <x v="4"/>
  </r>
  <r>
    <x v="2"/>
    <n v="1900"/>
    <n v="5"/>
    <s v="Av. Mal. Floriano Peixoto, 2248-2258 - Centro, Nova Iguaçu - RJ, 26210-000"/>
    <x v="1"/>
    <s v="VICTOR FERREIRA"/>
    <x v="0"/>
    <n v="45"/>
    <x v="0"/>
    <n v="9500"/>
    <d v="2021-10-20T00:00:00"/>
    <x v="2"/>
    <x v="6"/>
  </r>
  <r>
    <x v="2"/>
    <n v="1900"/>
    <n v="4"/>
    <s v="Av. Borges de Medeiros, 3120 - Praia de Belas, Porto Alegre - RS, 90110-150"/>
    <x v="8"/>
    <s v="MARIANE RACY"/>
    <x v="1"/>
    <n v="42"/>
    <x v="0"/>
    <n v="7600"/>
    <d v="2021-09-21T00:00:00"/>
    <x v="2"/>
    <x v="1"/>
  </r>
  <r>
    <x v="4"/>
    <n v="700"/>
    <n v="5"/>
    <s v="R. Teodoro Sampaio, 954 - Pinheiros, São Paulo - SP, 05406-050"/>
    <x v="0"/>
    <s v="NINA MAGALHÃES"/>
    <x v="1"/>
    <n v="66"/>
    <x v="1"/>
    <n v="3500"/>
    <d v="2021-03-30T00:00:00"/>
    <x v="2"/>
    <x v="9"/>
  </r>
  <r>
    <x v="15"/>
    <n v="3000"/>
    <n v="1"/>
    <s v="Rua Antônio Lumack do Monte, 203 - 1 - Boa Viagem, Recife - PE, 51020-350"/>
    <x v="6"/>
    <s v="CAIO VIANNA"/>
    <x v="0"/>
    <n v="33"/>
    <x v="0"/>
    <n v="3000"/>
    <d v="2021-02-17T00:00:00"/>
    <x v="2"/>
    <x v="4"/>
  </r>
  <r>
    <x v="21"/>
    <n v="5200"/>
    <n v="5"/>
    <s v="Av. Dom Luís, 500 - Aldeota, Fortaleza - CE, 60160-230"/>
    <x v="2"/>
    <s v="BRUNO MOTA"/>
    <x v="0"/>
    <n v="37"/>
    <x v="0"/>
    <n v="26000"/>
    <d v="2021-10-07T00:00:00"/>
    <x v="2"/>
    <x v="6"/>
  </r>
  <r>
    <x v="4"/>
    <n v="700"/>
    <n v="5"/>
    <s v="R. Teodoro Sampaio, 954 - Pinheiros, São Paulo - SP, 05406-050"/>
    <x v="0"/>
    <s v="DIEGO RODRIGUES"/>
    <x v="0"/>
    <n v="54"/>
    <x v="1"/>
    <n v="3500"/>
    <d v="2021-10-09T00:00:00"/>
    <x v="2"/>
    <x v="6"/>
  </r>
  <r>
    <x v="4"/>
    <n v="700"/>
    <n v="5"/>
    <s v="R. Luíz Faccini, 212 - Centro, Guarulhos - SP, 07110-000"/>
    <x v="0"/>
    <s v="LUIS GARCIA"/>
    <x v="1"/>
    <n v="29"/>
    <x v="2"/>
    <n v="3500"/>
    <d v="2021-08-29T00:00:00"/>
    <x v="2"/>
    <x v="7"/>
  </r>
  <r>
    <x v="5"/>
    <n v="1450"/>
    <n v="4"/>
    <s v="Rua Antônio Lumack do Monte, 203 - 1 - Boa Viagem, Recife - PE, 51020-350"/>
    <x v="6"/>
    <s v="CAROLINA BRUM"/>
    <x v="1"/>
    <n v="68"/>
    <x v="1"/>
    <n v="5800"/>
    <d v="2021-04-28T00:00:00"/>
    <x v="2"/>
    <x v="2"/>
  </r>
  <r>
    <x v="16"/>
    <n v="1200"/>
    <n v="3"/>
    <s v="Rua Antônio Lumack do Monte, 203 - 1 - Boa Viagem, Recife - PE, 51020-350"/>
    <x v="6"/>
    <s v="GABRIELLE COSTA"/>
    <x v="1"/>
    <n v="36"/>
    <x v="0"/>
    <n v="3600"/>
    <d v="2021-05-22T00:00:00"/>
    <x v="2"/>
    <x v="11"/>
  </r>
  <r>
    <x v="4"/>
    <n v="700"/>
    <n v="4"/>
    <s v="R. Luíz Faccini, 212 - Centro, Guarulhos - SP, 07110-000"/>
    <x v="0"/>
    <s v="STHEFESON KOHN"/>
    <x v="0"/>
    <n v="35"/>
    <x v="0"/>
    <n v="2800"/>
    <d v="2021-11-10T00:00:00"/>
    <x v="2"/>
    <x v="10"/>
  </r>
  <r>
    <x v="10"/>
    <n v="750"/>
    <n v="5"/>
    <s v="Av. Barão Homem de Melo, 1389 - Nova Granada, Belo Horizonte - MG, 30431-425"/>
    <x v="7"/>
    <s v="KIMBERLY SAD"/>
    <x v="1"/>
    <n v="43"/>
    <x v="0"/>
    <n v="3750"/>
    <d v="2021-01-07T00:00:00"/>
    <x v="2"/>
    <x v="5"/>
  </r>
  <r>
    <x v="10"/>
    <n v="750"/>
    <n v="2"/>
    <s v="R. Teodoro Sampaio, 954 - Pinheiros, São Paulo - SP, 05406-050"/>
    <x v="0"/>
    <s v="THAÍS MOURA"/>
    <x v="1"/>
    <n v="28"/>
    <x v="2"/>
    <n v="1500"/>
    <d v="2021-07-23T00:00:00"/>
    <x v="2"/>
    <x v="0"/>
  </r>
  <r>
    <x v="3"/>
    <n v="1500"/>
    <n v="2"/>
    <s v="Av. Goiás Norte, 3.592 - quadra 2.1 - St. Mal. Rondon, Goiânia - GO, 74063-010"/>
    <x v="4"/>
    <s v="CAROLINA VASCONCELOS"/>
    <x v="1"/>
    <n v="42"/>
    <x v="0"/>
    <n v="3000"/>
    <d v="2021-08-11T00:00:00"/>
    <x v="2"/>
    <x v="7"/>
  </r>
  <r>
    <x v="6"/>
    <n v="6500"/>
    <n v="3"/>
    <s v="Av. Borges de Medeiros, 3120 - Praia de Belas, Porto Alegre - RS, 90110-150"/>
    <x v="8"/>
    <s v="AMANDA AMARAL"/>
    <x v="1"/>
    <n v="30"/>
    <x v="0"/>
    <n v="19500"/>
    <d v="2021-05-30T00:00:00"/>
    <x v="2"/>
    <x v="11"/>
  </r>
  <r>
    <x v="0"/>
    <n v="4500"/>
    <n v="3"/>
    <s v="Av. Goiás Norte, 3.592 - quadra 2.1 - St. Mal. Rondon, Goiânia - GO, 74063-010"/>
    <x v="4"/>
    <s v="JULIA LEITE"/>
    <x v="1"/>
    <n v="36"/>
    <x v="0"/>
    <n v="13500"/>
    <d v="2021-07-17T00:00:00"/>
    <x v="2"/>
    <x v="0"/>
  </r>
  <r>
    <x v="22"/>
    <n v="2400"/>
    <n v="1"/>
    <s v="Av. Barão Homem de Melo, 1389 - Nova Granada, Belo Horizonte - MG, 30431-425"/>
    <x v="7"/>
    <s v="PEDRO CARDOSO"/>
    <x v="0"/>
    <n v="62"/>
    <x v="1"/>
    <n v="2400"/>
    <d v="2021-10-17T00:00:00"/>
    <x v="2"/>
    <x v="6"/>
  </r>
  <r>
    <x v="23"/>
    <n v="1100"/>
    <n v="3"/>
    <s v="R. Brasílio Itiberê, 3279 - Água Verde, Curitiba - PR, 80250-160"/>
    <x v="3"/>
    <s v="GISELIA THIELE"/>
    <x v="1"/>
    <n v="55"/>
    <x v="1"/>
    <n v="3300"/>
    <d v="2021-02-04T00:00:00"/>
    <x v="2"/>
    <x v="4"/>
  </r>
  <r>
    <x v="0"/>
    <n v="4500"/>
    <n v="4"/>
    <s v="Av. Barão Homem de Melo, 1389 - Nova Granada, Belo Horizonte - MG, 30431-425"/>
    <x v="7"/>
    <s v="PEDRO CARDOSO"/>
    <x v="0"/>
    <n v="62"/>
    <x v="1"/>
    <n v="18000"/>
    <d v="2021-10-11T00:00:00"/>
    <x v="2"/>
    <x v="6"/>
  </r>
  <r>
    <x v="6"/>
    <n v="6500"/>
    <n v="5"/>
    <s v="R. Teodoro Sampaio, 954 - Pinheiros, São Paulo - SP, 05406-050"/>
    <x v="0"/>
    <s v="MARCELA MEDEIROS"/>
    <x v="1"/>
    <n v="31"/>
    <x v="0"/>
    <n v="32500"/>
    <d v="2021-03-12T00:00:00"/>
    <x v="2"/>
    <x v="9"/>
  </r>
  <r>
    <x v="23"/>
    <n v="1100"/>
    <n v="2"/>
    <s v="R. Luíz Faccini, 212 - Centro, Guarulhos - SP, 07110-000"/>
    <x v="0"/>
    <s v="PEDRO BITENCOURT"/>
    <x v="0"/>
    <n v="43"/>
    <x v="0"/>
    <n v="2200"/>
    <d v="2021-04-25T00:00:00"/>
    <x v="2"/>
    <x v="2"/>
  </r>
  <r>
    <x v="7"/>
    <n v="2600"/>
    <n v="3"/>
    <s v="R. Visc. de Pirajá, 136 - Ipanema, Rio de Janeiro - RJ, 22410-000"/>
    <x v="1"/>
    <s v="JOÃO SILVA"/>
    <x v="0"/>
    <n v="70"/>
    <x v="1"/>
    <n v="7800"/>
    <d v="2021-02-14T00:00:00"/>
    <x v="2"/>
    <x v="4"/>
  </r>
  <r>
    <x v="14"/>
    <n v="1500"/>
    <n v="3"/>
    <s v="Av. Borges de Medeiros, 3120 - Praia de Belas, Porto Alegre - RS, 90110-150"/>
    <x v="8"/>
    <s v="VICTOR SOARES"/>
    <x v="0"/>
    <n v="34"/>
    <x v="0"/>
    <n v="4500"/>
    <d v="2021-09-25T00:00:00"/>
    <x v="2"/>
    <x v="1"/>
  </r>
  <r>
    <x v="15"/>
    <n v="3000"/>
    <n v="4"/>
    <s v="Av. Dom Luís, 500 - Aldeota, Fortaleza - CE, 60160-230"/>
    <x v="2"/>
    <s v="WILSON BRANDÃO"/>
    <x v="0"/>
    <n v="74"/>
    <x v="1"/>
    <n v="12000"/>
    <d v="2021-10-13T00:00:00"/>
    <x v="2"/>
    <x v="6"/>
  </r>
  <r>
    <x v="17"/>
    <n v="2300"/>
    <n v="4"/>
    <s v="Shopping Barra - Av. Centenário, 2992 - Barra, Salvador - BA, 40155-150"/>
    <x v="5"/>
    <s v="JESSICA CORDOVIL"/>
    <x v="1"/>
    <n v="39"/>
    <x v="0"/>
    <n v="9200"/>
    <d v="2021-09-10T00:00:00"/>
    <x v="2"/>
    <x v="1"/>
  </r>
  <r>
    <x v="3"/>
    <n v="1500"/>
    <n v="1"/>
    <s v="R. Luíz Faccini, 212 - Centro, Guarulhos - SP, 07110-000"/>
    <x v="0"/>
    <s v="VICTOR LIRA"/>
    <x v="0"/>
    <n v="38"/>
    <x v="0"/>
    <n v="1500"/>
    <d v="2021-01-07T00:00:00"/>
    <x v="2"/>
    <x v="5"/>
  </r>
  <r>
    <x v="21"/>
    <n v="5200"/>
    <n v="4"/>
    <s v="Av. Goiás Norte, 3.592 - quadra 2.1 - St. Mal. Rondon, Goiânia - GO, 74063-010"/>
    <x v="4"/>
    <s v="GIOVANNA SANTOS"/>
    <x v="1"/>
    <n v="28"/>
    <x v="2"/>
    <n v="20800"/>
    <d v="2021-05-18T00:00:00"/>
    <x v="2"/>
    <x v="11"/>
  </r>
  <r>
    <x v="20"/>
    <n v="5500"/>
    <n v="2"/>
    <s v="R. Dr. Antônio Castro Prado, 422 - Vila Rossi e Borchi, Campinas - SP, 13076-130"/>
    <x v="0"/>
    <s v="BEATRIZ ALMEIDA"/>
    <x v="1"/>
    <n v="39"/>
    <x v="0"/>
    <n v="11000"/>
    <d v="2021-06-17T00:00:00"/>
    <x v="2"/>
    <x v="3"/>
  </r>
  <r>
    <x v="6"/>
    <n v="6500"/>
    <n v="1"/>
    <s v="R. Brasílio Itiberê, 3279 - Água Verde, Curitiba - PR, 80250-160"/>
    <x v="3"/>
    <s v="MILENA ALMEIDA"/>
    <x v="1"/>
    <n v="44"/>
    <x v="0"/>
    <n v="6500"/>
    <d v="2021-10-18T00:00:00"/>
    <x v="2"/>
    <x v="6"/>
  </r>
  <r>
    <x v="21"/>
    <n v="5200"/>
    <n v="1"/>
    <s v="Rua Quinze de Novembro, 8 - Loja 301a Loja 301b - Centro, Niterói - RJ, 24020-125"/>
    <x v="1"/>
    <s v="ALESSANDRA MARTINS"/>
    <x v="1"/>
    <n v="33"/>
    <x v="0"/>
    <n v="5200"/>
    <d v="2021-06-14T00:00:00"/>
    <x v="2"/>
    <x v="3"/>
  </r>
  <r>
    <x v="23"/>
    <n v="1100"/>
    <n v="2"/>
    <s v="R. Luíz Faccini, 212 - Centro, Guarulhos - SP, 07110-000"/>
    <x v="0"/>
    <s v="LORENA KOHN"/>
    <x v="1"/>
    <n v="60"/>
    <x v="1"/>
    <n v="2200"/>
    <d v="2021-09-27T00:00:00"/>
    <x v="2"/>
    <x v="1"/>
  </r>
  <r>
    <x v="6"/>
    <n v="6500"/>
    <n v="1"/>
    <s v="R. Dr. Antônio Castro Prado, 422 - Vila Rossi e Borchi, Campinas - SP, 13076-130"/>
    <x v="0"/>
    <s v="VINÍCIUS ANTUNES"/>
    <x v="0"/>
    <n v="40"/>
    <x v="0"/>
    <n v="6500"/>
    <d v="2021-11-14T00:00:00"/>
    <x v="2"/>
    <x v="10"/>
  </r>
  <r>
    <x v="10"/>
    <n v="750"/>
    <n v="3"/>
    <s v="Av. Barão Homem de Melo, 1389 - Nova Granada, Belo Horizonte - MG, 30431-425"/>
    <x v="7"/>
    <s v="THIAGO VEIGA"/>
    <x v="0"/>
    <n v="39"/>
    <x v="0"/>
    <n v="2250"/>
    <d v="2021-01-14T00:00:00"/>
    <x v="2"/>
    <x v="5"/>
  </r>
  <r>
    <x v="18"/>
    <n v="2500"/>
    <n v="4"/>
    <s v="R. Teodoro Sampaio, 954 - Pinheiros, São Paulo - SP, 05406-050"/>
    <x v="0"/>
    <s v="LAURA ARAUJO"/>
    <x v="1"/>
    <n v="64"/>
    <x v="1"/>
    <n v="10000"/>
    <d v="2021-06-04T00:00:00"/>
    <x v="2"/>
    <x v="3"/>
  </r>
  <r>
    <x v="20"/>
    <n v="5500"/>
    <n v="1"/>
    <s v="Av. Goiás Norte, 3.592 - quadra 2.1 - St. Mal. Rondon, Goiânia - GO, 74063-010"/>
    <x v="4"/>
    <s v="VIVIANE SOUZA"/>
    <x v="1"/>
    <n v="64"/>
    <x v="1"/>
    <n v="5500"/>
    <d v="2021-11-24T00:00:00"/>
    <x v="2"/>
    <x v="10"/>
  </r>
  <r>
    <x v="17"/>
    <n v="2300"/>
    <n v="5"/>
    <s v="R. Brasílio Itiberê, 3279 - Água Verde, Curitiba - PR, 80250-160"/>
    <x v="3"/>
    <s v="ANA GOMES"/>
    <x v="1"/>
    <n v="64"/>
    <x v="1"/>
    <n v="11500"/>
    <d v="2021-05-20T00:00:00"/>
    <x v="2"/>
    <x v="11"/>
  </r>
  <r>
    <x v="17"/>
    <n v="2300"/>
    <n v="5"/>
    <s v="R. Visc. de Pirajá, 136 - Ipanema, Rio de Janeiro - RJ, 22410-000"/>
    <x v="1"/>
    <s v="GABRIELLA SAGRILLO"/>
    <x v="1"/>
    <n v="36"/>
    <x v="0"/>
    <n v="11500"/>
    <d v="2021-10-15T00:00:00"/>
    <x v="2"/>
    <x v="6"/>
  </r>
  <r>
    <x v="3"/>
    <n v="1500"/>
    <n v="3"/>
    <s v="Av. Goiás Norte, 3.592 - quadra 2.1 - St. Mal. Rondon, Goiânia - GO, 74063-010"/>
    <x v="4"/>
    <s v="LUIS SILVA"/>
    <x v="1"/>
    <n v="27"/>
    <x v="2"/>
    <n v="4500"/>
    <d v="2021-05-31T00:00:00"/>
    <x v="2"/>
    <x v="11"/>
  </r>
  <r>
    <x v="23"/>
    <n v="1100"/>
    <n v="3"/>
    <s v="Rua Quinze de Novembro, 8 - Loja 301a Loja 301b - Centro, Niterói - RJ, 24020-125"/>
    <x v="1"/>
    <s v="GABRIELLA LOPES"/>
    <x v="1"/>
    <n v="45"/>
    <x v="0"/>
    <n v="3300"/>
    <d v="2021-11-08T00:00:00"/>
    <x v="2"/>
    <x v="10"/>
  </r>
  <r>
    <x v="6"/>
    <n v="6500"/>
    <n v="4"/>
    <s v="R. Dr. Antônio Castro Prado, 422 - Vila Rossi e Borchi, Campinas - SP, 13076-130"/>
    <x v="0"/>
    <s v="ALON PESTANA"/>
    <x v="0"/>
    <n v="26"/>
    <x v="2"/>
    <n v="26000"/>
    <d v="2021-11-17T00:00:00"/>
    <x v="2"/>
    <x v="10"/>
  </r>
  <r>
    <x v="14"/>
    <n v="1500"/>
    <n v="2"/>
    <s v="Av. Goiás Norte, 3.592 - quadra 2.1 - St. Mal. Rondon, Goiânia - GO, 74063-010"/>
    <x v="4"/>
    <s v="GIOVANNA SANTOS"/>
    <x v="1"/>
    <n v="28"/>
    <x v="2"/>
    <n v="3000"/>
    <d v="2021-07-11T00:00:00"/>
    <x v="2"/>
    <x v="0"/>
  </r>
  <r>
    <x v="0"/>
    <n v="4500"/>
    <n v="2"/>
    <s v="R. Teodoro Sampaio, 954 - Pinheiros, São Paulo - SP, 05406-050"/>
    <x v="0"/>
    <s v="THAÍS MOURA"/>
    <x v="1"/>
    <n v="28"/>
    <x v="2"/>
    <n v="9000"/>
    <d v="2021-08-31T00:00:00"/>
    <x v="2"/>
    <x v="7"/>
  </r>
  <r>
    <x v="5"/>
    <n v="1450"/>
    <n v="3"/>
    <s v="Shopping Barra - Av. Centenário, 2992 - Barra, Salvador - BA, 40155-150"/>
    <x v="5"/>
    <s v="BERNARDO RIBEIRO"/>
    <x v="0"/>
    <n v="75"/>
    <x v="1"/>
    <n v="4350"/>
    <d v="2021-09-25T00:00:00"/>
    <x v="2"/>
    <x v="1"/>
  </r>
  <r>
    <x v="1"/>
    <n v="1400"/>
    <n v="1"/>
    <s v="R. Luíz Faccini, 212 - Centro, Guarulhos - SP, 07110-000"/>
    <x v="0"/>
    <s v="BEATRIZ RODRIGUES"/>
    <x v="1"/>
    <n v="44"/>
    <x v="0"/>
    <n v="1400"/>
    <d v="2021-01-23T00:00:00"/>
    <x v="2"/>
    <x v="5"/>
  </r>
  <r>
    <x v="11"/>
    <n v="2000"/>
    <n v="4"/>
    <s v="Rua Antônio Lumack do Monte, 203 - 1 - Boa Viagem, Recife - PE, 51020-350"/>
    <x v="6"/>
    <s v="BERNARD PEDROSA"/>
    <x v="0"/>
    <n v="49"/>
    <x v="0"/>
    <n v="8000"/>
    <d v="2021-06-23T00:00:00"/>
    <x v="2"/>
    <x v="3"/>
  </r>
  <r>
    <x v="7"/>
    <n v="2600"/>
    <n v="3"/>
    <s v="Rua Antônio Lumack do Monte, 203 - 1 - Boa Viagem, Recife - PE, 51020-350"/>
    <x v="6"/>
    <s v="LUCAS NETO"/>
    <x v="0"/>
    <n v="63"/>
    <x v="1"/>
    <n v="7800"/>
    <d v="2021-06-25T00:00:00"/>
    <x v="2"/>
    <x v="3"/>
  </r>
  <r>
    <x v="12"/>
    <n v="1500"/>
    <n v="5"/>
    <s v="Av. Barão Homem de Melo, 1389 - Nova Granada, Belo Horizonte - MG, 30431-425"/>
    <x v="7"/>
    <s v="THIAGO VEIGA"/>
    <x v="0"/>
    <n v="39"/>
    <x v="0"/>
    <n v="7500"/>
    <d v="2021-10-31T00:00:00"/>
    <x v="2"/>
    <x v="6"/>
  </r>
  <r>
    <x v="14"/>
    <n v="1500"/>
    <n v="2"/>
    <s v="Av. Borges de Medeiros, 3120 - Praia de Belas, Porto Alegre - RS, 90110-150"/>
    <x v="8"/>
    <s v="LIVIA CORRÊA"/>
    <x v="1"/>
    <n v="38"/>
    <x v="0"/>
    <n v="3000"/>
    <d v="2021-02-12T00:00:00"/>
    <x v="2"/>
    <x v="4"/>
  </r>
  <r>
    <x v="9"/>
    <n v="2000"/>
    <n v="2"/>
    <s v="Rua Antônio Lumack do Monte, 203 - 1 - Boa Viagem, Recife - PE, 51020-350"/>
    <x v="6"/>
    <s v="ISABELLA MONTANHOLI"/>
    <x v="1"/>
    <n v="50"/>
    <x v="0"/>
    <n v="4000"/>
    <d v="2021-09-18T00:00:00"/>
    <x v="2"/>
    <x v="1"/>
  </r>
  <r>
    <x v="20"/>
    <n v="5500"/>
    <n v="5"/>
    <s v="Av. Dom Luís, 500 - Aldeota, Fortaleza - CE, 60160-230"/>
    <x v="2"/>
    <s v="MARINA CORREA"/>
    <x v="1"/>
    <n v="42"/>
    <x v="0"/>
    <n v="27500"/>
    <d v="2021-01-10T00:00:00"/>
    <x v="2"/>
    <x v="5"/>
  </r>
  <r>
    <x v="14"/>
    <n v="1500"/>
    <n v="1"/>
    <s v="R. Brasílio Itiberê, 3279 - Água Verde, Curitiba - PR, 80250-160"/>
    <x v="3"/>
    <s v="STHEFESON PEREIRA"/>
    <x v="0"/>
    <n v="69"/>
    <x v="1"/>
    <n v="1500"/>
    <d v="2021-08-15T00:00:00"/>
    <x v="2"/>
    <x v="7"/>
  </r>
  <r>
    <x v="20"/>
    <n v="5500"/>
    <n v="1"/>
    <s v="Shopping Barra - Av. Centenário, 2992 - Barra, Salvador - BA, 40155-150"/>
    <x v="5"/>
    <s v="BERNARDO RIBEIRO"/>
    <x v="0"/>
    <n v="75"/>
    <x v="1"/>
    <n v="5500"/>
    <d v="2021-08-12T00:00:00"/>
    <x v="2"/>
    <x v="7"/>
  </r>
  <r>
    <x v="15"/>
    <n v="3000"/>
    <n v="1"/>
    <s v="R. Brasílio Itiberê, 3279 - Água Verde, Curitiba - PR, 80250-160"/>
    <x v="3"/>
    <s v="JOÃO CAPITULO"/>
    <x v="0"/>
    <n v="72"/>
    <x v="1"/>
    <n v="3000"/>
    <d v="2021-12-31T00:00:00"/>
    <x v="2"/>
    <x v="8"/>
  </r>
  <r>
    <x v="15"/>
    <n v="3000"/>
    <n v="5"/>
    <s v="R. Visc. de Pirajá, 136 - Ipanema, Rio de Janeiro - RJ, 22410-000"/>
    <x v="1"/>
    <s v="JULIANA GOES"/>
    <x v="1"/>
    <n v="53"/>
    <x v="1"/>
    <n v="15000"/>
    <d v="2021-04-24T00:00:00"/>
    <x v="2"/>
    <x v="2"/>
  </r>
  <r>
    <x v="22"/>
    <n v="2400"/>
    <n v="1"/>
    <s v="Av. Barão Homem de Melo, 1389 - Nova Granada, Belo Horizonte - MG, 30431-425"/>
    <x v="7"/>
    <s v="LETÍCIA ARAUJO"/>
    <x v="1"/>
    <n v="48"/>
    <x v="0"/>
    <n v="2400"/>
    <d v="2021-11-08T00:00:00"/>
    <x v="2"/>
    <x v="10"/>
  </r>
  <r>
    <x v="19"/>
    <n v="1750"/>
    <n v="3"/>
    <s v="R. Brasílio Itiberê, 3279 - Água Verde, Curitiba - PR, 80250-160"/>
    <x v="3"/>
    <s v="MATHEUS DELGADO"/>
    <x v="0"/>
    <n v="44"/>
    <x v="0"/>
    <n v="5250"/>
    <d v="2021-03-17T00:00:00"/>
    <x v="2"/>
    <x v="9"/>
  </r>
  <r>
    <x v="12"/>
    <n v="1500"/>
    <n v="2"/>
    <s v="R. Luíz Faccini, 212 - Centro, Guarulhos - SP, 07110-000"/>
    <x v="0"/>
    <s v="BEATRIZ RODRIGUES"/>
    <x v="1"/>
    <n v="44"/>
    <x v="0"/>
    <n v="3000"/>
    <d v="2021-05-13T00:00:00"/>
    <x v="2"/>
    <x v="11"/>
  </r>
  <r>
    <x v="23"/>
    <n v="1100"/>
    <n v="5"/>
    <s v="Av. Barão Homem de Melo, 1389 - Nova Granada, Belo Horizonte - MG, 30431-425"/>
    <x v="7"/>
    <s v="LUIZ CAMPISTA"/>
    <x v="0"/>
    <n v="64"/>
    <x v="1"/>
    <n v="5500"/>
    <d v="2021-11-21T00:00:00"/>
    <x v="2"/>
    <x v="10"/>
  </r>
  <r>
    <x v="9"/>
    <n v="2000"/>
    <n v="2"/>
    <s v="Av. Mal. Floriano Peixoto, 2248-2258 - Centro, Nova Iguaçu - RJ, 26210-000"/>
    <x v="1"/>
    <s v="BÁRBARA LIMA"/>
    <x v="0"/>
    <n v="64"/>
    <x v="1"/>
    <n v="4000"/>
    <d v="2021-08-15T00:00:00"/>
    <x v="2"/>
    <x v="7"/>
  </r>
  <r>
    <x v="22"/>
    <n v="2400"/>
    <n v="3"/>
    <s v="R. Brasílio Itiberê, 3279 - Água Verde, Curitiba - PR, 80250-160"/>
    <x v="3"/>
    <s v="CLARA BRUNO"/>
    <x v="1"/>
    <n v="57"/>
    <x v="1"/>
    <n v="7200"/>
    <d v="2021-07-19T00:00:00"/>
    <x v="2"/>
    <x v="0"/>
  </r>
  <r>
    <x v="8"/>
    <n v="1400"/>
    <n v="5"/>
    <s v="Av. Mal. Floriano Peixoto, 2248-2258 - Centro, Nova Iguaçu - RJ, 26210-000"/>
    <x v="1"/>
    <s v="LUANA SANTOS"/>
    <x v="1"/>
    <n v="45"/>
    <x v="0"/>
    <n v="7000"/>
    <d v="2021-12-02T00:00:00"/>
    <x v="2"/>
    <x v="8"/>
  </r>
  <r>
    <x v="4"/>
    <n v="700"/>
    <n v="3"/>
    <s v="R. Visc. de Pirajá, 136 - Ipanema, Rio de Janeiro - RJ, 22410-000"/>
    <x v="1"/>
    <s v="RAVENA BHERING"/>
    <x v="1"/>
    <n v="42"/>
    <x v="0"/>
    <n v="2100"/>
    <d v="2021-07-24T00:00:00"/>
    <x v="2"/>
    <x v="0"/>
  </r>
  <r>
    <x v="22"/>
    <n v="2400"/>
    <n v="2"/>
    <s v="Av. Mal. Floriano Peixoto, 2248-2258 - Centro, Nova Iguaçu - RJ, 26210-000"/>
    <x v="1"/>
    <s v="RAÍZA LOPES"/>
    <x v="1"/>
    <n v="43"/>
    <x v="0"/>
    <n v="4800"/>
    <d v="2021-08-27T00:00:00"/>
    <x v="2"/>
    <x v="7"/>
  </r>
  <r>
    <x v="22"/>
    <n v="2400"/>
    <n v="4"/>
    <s v="R. Brasílio Itiberê, 3279 - Água Verde, Curitiba - PR, 80250-160"/>
    <x v="3"/>
    <s v="ANNA SILVA"/>
    <x v="1"/>
    <n v="69"/>
    <x v="1"/>
    <n v="9600"/>
    <d v="2021-10-04T00:00:00"/>
    <x v="2"/>
    <x v="6"/>
  </r>
  <r>
    <x v="22"/>
    <n v="2400"/>
    <n v="2"/>
    <s v="Av. Mal. Floriano Peixoto, 2248-2258 - Centro, Nova Iguaçu - RJ, 26210-000"/>
    <x v="1"/>
    <s v="LUCAS CAVALCANTI"/>
    <x v="0"/>
    <n v="34"/>
    <x v="0"/>
    <n v="4800"/>
    <d v="2021-08-30T00:00:00"/>
    <x v="2"/>
    <x v="7"/>
  </r>
  <r>
    <x v="11"/>
    <n v="2000"/>
    <n v="3"/>
    <s v="Shopping Barra - Av. Centenário, 2992 - Barra, Salvador - BA, 40155-150"/>
    <x v="5"/>
    <s v="MARIA MELLO"/>
    <x v="1"/>
    <n v="67"/>
    <x v="1"/>
    <n v="6000"/>
    <d v="2021-03-08T00:00:00"/>
    <x v="2"/>
    <x v="9"/>
  </r>
  <r>
    <x v="5"/>
    <n v="1450"/>
    <n v="3"/>
    <s v="Rua Antônio Lumack do Monte, 203 - 1 - Boa Viagem, Recife - PE, 51020-350"/>
    <x v="6"/>
    <s v="JOAO PEREIRA"/>
    <x v="0"/>
    <n v="27"/>
    <x v="2"/>
    <n v="4350"/>
    <d v="2021-07-10T00:00:00"/>
    <x v="2"/>
    <x v="0"/>
  </r>
  <r>
    <x v="4"/>
    <n v="700"/>
    <n v="1"/>
    <s v="Rua Antônio Lumack do Monte, 203 - 1 - Boa Viagem, Recife - PE, 51020-350"/>
    <x v="6"/>
    <s v="MÔNICA ROTOLO"/>
    <x v="1"/>
    <n v="44"/>
    <x v="0"/>
    <n v="700"/>
    <d v="2021-06-21T00:00:00"/>
    <x v="2"/>
    <x v="3"/>
  </r>
  <r>
    <x v="9"/>
    <n v="2000"/>
    <n v="4"/>
    <s v="Av. Barão Homem de Melo, 1389 - Nova Granada, Belo Horizonte - MG, 30431-425"/>
    <x v="7"/>
    <s v="VICTOR GOMES"/>
    <x v="0"/>
    <n v="71"/>
    <x v="1"/>
    <n v="8000"/>
    <d v="2021-07-23T00:00:00"/>
    <x v="2"/>
    <x v="0"/>
  </r>
  <r>
    <x v="18"/>
    <n v="2500"/>
    <n v="3"/>
    <s v="R. Teodoro Sampaio, 954 - Pinheiros, São Paulo - SP, 05406-050"/>
    <x v="0"/>
    <s v="SARAH SOUZA"/>
    <x v="1"/>
    <n v="62"/>
    <x v="1"/>
    <n v="7500"/>
    <d v="2021-09-13T00:00:00"/>
    <x v="2"/>
    <x v="1"/>
  </r>
  <r>
    <x v="20"/>
    <n v="5500"/>
    <n v="2"/>
    <s v="Rua Quinze de Novembro, 8 - Loja 301a Loja 301b - Centro, Niterói - RJ, 24020-125"/>
    <x v="1"/>
    <s v="FABIO BOCCALETTI"/>
    <x v="0"/>
    <n v="64"/>
    <x v="1"/>
    <n v="11000"/>
    <d v="2021-04-03T00:00:00"/>
    <x v="2"/>
    <x v="2"/>
  </r>
  <r>
    <x v="13"/>
    <n v="1550"/>
    <n v="1"/>
    <s v="Rua Antônio Lumack do Monte, 203 - 1 - Boa Viagem, Recife - PE, 51020-350"/>
    <x v="6"/>
    <s v="GLENDA SANTOS"/>
    <x v="1"/>
    <n v="27"/>
    <x v="2"/>
    <n v="1550"/>
    <d v="2021-04-23T00:00:00"/>
    <x v="2"/>
    <x v="2"/>
  </r>
  <r>
    <x v="10"/>
    <n v="750"/>
    <n v="5"/>
    <s v="Shopping Barra - Av. Centenário, 2992 - Barra, Salvador - BA, 40155-150"/>
    <x v="5"/>
    <s v="HENRIQUE OLIVEIRA"/>
    <x v="0"/>
    <n v="55"/>
    <x v="1"/>
    <n v="3750"/>
    <d v="2021-02-10T00:00:00"/>
    <x v="2"/>
    <x v="4"/>
  </r>
  <r>
    <x v="9"/>
    <n v="2000"/>
    <n v="5"/>
    <s v="R. Luíz Faccini, 212 - Centro, Guarulhos - SP, 07110-000"/>
    <x v="0"/>
    <s v="GUILHERME MEROTTO"/>
    <x v="0"/>
    <n v="60"/>
    <x v="1"/>
    <n v="10000"/>
    <d v="2021-08-14T00:00:00"/>
    <x v="2"/>
    <x v="7"/>
  </r>
  <r>
    <x v="18"/>
    <n v="2500"/>
    <n v="1"/>
    <s v="R. Dr. Antônio Castro Prado, 422 - Vila Rossi e Borchi, Campinas - SP, 13076-130"/>
    <x v="0"/>
    <s v="JESSICA FERREIRA"/>
    <x v="1"/>
    <n v="75"/>
    <x v="1"/>
    <n v="2500"/>
    <d v="2021-12-04T00:00:00"/>
    <x v="2"/>
    <x v="8"/>
  </r>
  <r>
    <x v="2"/>
    <n v="1900"/>
    <n v="1"/>
    <s v="Rua Quinze de Novembro, 8 - Loja 301a Loja 301b - Centro, Niterói - RJ, 24020-125"/>
    <x v="1"/>
    <s v="THAÍS PEREIRA"/>
    <x v="1"/>
    <n v="56"/>
    <x v="1"/>
    <n v="1900"/>
    <d v="2021-12-01T00:00:00"/>
    <x v="2"/>
    <x v="8"/>
  </r>
  <r>
    <x v="0"/>
    <n v="4500"/>
    <n v="5"/>
    <s v="R. Dr. Antônio Castro Prado, 422 - Vila Rossi e Borchi, Campinas - SP, 13076-130"/>
    <x v="0"/>
    <s v="ADRIANA PASSOS"/>
    <x v="1"/>
    <n v="30"/>
    <x v="0"/>
    <n v="22500"/>
    <d v="2021-05-29T00:00:00"/>
    <x v="2"/>
    <x v="11"/>
  </r>
  <r>
    <x v="3"/>
    <n v="1500"/>
    <n v="3"/>
    <s v="Av. Goiás Norte, 3.592 - quadra 2.1 - St. Mal. Rondon, Goiânia - GO, 74063-010"/>
    <x v="4"/>
    <s v="GUILHERME SEIXAS"/>
    <x v="0"/>
    <n v="52"/>
    <x v="1"/>
    <n v="4500"/>
    <d v="2021-03-01T00:00:00"/>
    <x v="2"/>
    <x v="9"/>
  </r>
  <r>
    <x v="0"/>
    <n v="4500"/>
    <n v="3"/>
    <s v="Av. Mal. Floriano Peixoto, 2248-2258 - Centro, Nova Iguaçu - RJ, 26210-000"/>
    <x v="1"/>
    <s v="ADRIELLE GABRIEL"/>
    <x v="1"/>
    <n v="66"/>
    <x v="1"/>
    <n v="13500"/>
    <d v="2021-02-20T00:00:00"/>
    <x v="2"/>
    <x v="4"/>
  </r>
  <r>
    <x v="21"/>
    <n v="5200"/>
    <n v="4"/>
    <s v="Shopping Barra - Av. Centenário, 2992 - Barra, Salvador - BA, 40155-150"/>
    <x v="5"/>
    <s v="JOÃO JÚNIOR"/>
    <x v="0"/>
    <n v="57"/>
    <x v="1"/>
    <n v="20800"/>
    <d v="2021-05-11T00:00:00"/>
    <x v="2"/>
    <x v="11"/>
  </r>
  <r>
    <x v="1"/>
    <n v="1400"/>
    <n v="1"/>
    <s v="Av. Borges de Medeiros, 3120 - Praia de Belas, Porto Alegre - RS, 90110-150"/>
    <x v="8"/>
    <s v="LARA MOREIRA"/>
    <x v="1"/>
    <n v="52"/>
    <x v="1"/>
    <n v="1400"/>
    <d v="2021-05-03T00:00:00"/>
    <x v="2"/>
    <x v="11"/>
  </r>
  <r>
    <x v="15"/>
    <n v="3000"/>
    <n v="2"/>
    <s v="Av. Dom Luís, 500 - Aldeota, Fortaleza - CE, 60160-230"/>
    <x v="2"/>
    <s v="THAYANE RESENDE"/>
    <x v="1"/>
    <n v="37"/>
    <x v="0"/>
    <n v="6000"/>
    <d v="2021-09-23T00:00:00"/>
    <x v="2"/>
    <x v="1"/>
  </r>
  <r>
    <x v="9"/>
    <n v="2000"/>
    <n v="2"/>
    <s v="Av. Barão Homem de Melo, 1389 - Nova Granada, Belo Horizonte - MG, 30431-425"/>
    <x v="7"/>
    <s v="ISABELA RODRIGUES"/>
    <x v="1"/>
    <n v="32"/>
    <x v="0"/>
    <n v="4000"/>
    <d v="2021-04-19T00:00:00"/>
    <x v="2"/>
    <x v="2"/>
  </r>
  <r>
    <x v="4"/>
    <n v="700"/>
    <n v="5"/>
    <s v="R. Dr. Antônio Castro Prado, 422 - Vila Rossi e Borchi, Campinas - SP, 13076-130"/>
    <x v="0"/>
    <s v="HELENA CHAFIN"/>
    <x v="1"/>
    <n v="45"/>
    <x v="0"/>
    <n v="3500"/>
    <d v="2021-06-13T00:00:00"/>
    <x v="2"/>
    <x v="3"/>
  </r>
  <r>
    <x v="21"/>
    <n v="5200"/>
    <n v="2"/>
    <s v="R. Dr. Antônio Castro Prado, 422 - Vila Rossi e Borchi, Campinas - SP, 13076-130"/>
    <x v="0"/>
    <s v="GABRIEL SILVA"/>
    <x v="0"/>
    <n v="63"/>
    <x v="1"/>
    <n v="10400"/>
    <d v="2021-08-22T00:00:00"/>
    <x v="2"/>
    <x v="7"/>
  </r>
  <r>
    <x v="3"/>
    <n v="1500"/>
    <n v="3"/>
    <s v="R. Dr. Antônio Castro Prado, 422 - Vila Rossi e Borchi, Campinas - SP, 13076-130"/>
    <x v="0"/>
    <s v="STHEFESON BARROSO"/>
    <x v="0"/>
    <n v="28"/>
    <x v="2"/>
    <n v="4500"/>
    <d v="2021-05-19T00:00:00"/>
    <x v="2"/>
    <x v="11"/>
  </r>
  <r>
    <x v="19"/>
    <n v="1750"/>
    <n v="2"/>
    <s v="R. Brasílio Itiberê, 3279 - Água Verde, Curitiba - PR, 80250-160"/>
    <x v="3"/>
    <s v="PEDRO MARTINS"/>
    <x v="0"/>
    <n v="45"/>
    <x v="0"/>
    <n v="3500"/>
    <d v="2021-04-07T00:00:00"/>
    <x v="2"/>
    <x v="2"/>
  </r>
  <r>
    <x v="5"/>
    <n v="1450"/>
    <n v="4"/>
    <s v="R. Luíz Faccini, 212 - Centro, Guarulhos - SP, 07110-000"/>
    <x v="0"/>
    <s v="MATHEUS MORAES"/>
    <x v="0"/>
    <n v="72"/>
    <x v="1"/>
    <n v="5800"/>
    <d v="2021-07-16T00:00:00"/>
    <x v="2"/>
    <x v="0"/>
  </r>
  <r>
    <x v="11"/>
    <n v="2000"/>
    <n v="1"/>
    <s v="R. Luíz Faccini, 212 - Centro, Guarulhos - SP, 07110-000"/>
    <x v="0"/>
    <s v="MARINA DELGADO"/>
    <x v="1"/>
    <n v="71"/>
    <x v="1"/>
    <n v="2000"/>
    <d v="2021-08-18T00:00:00"/>
    <x v="2"/>
    <x v="7"/>
  </r>
  <r>
    <x v="10"/>
    <n v="750"/>
    <n v="4"/>
    <s v="Shopping Barra - Av. Centenário, 2992 - Barra, Salvador - BA, 40155-150"/>
    <x v="5"/>
    <s v="BRUNO TEMPORAL"/>
    <x v="0"/>
    <n v="60"/>
    <x v="1"/>
    <n v="3000"/>
    <d v="2021-10-15T00:00:00"/>
    <x v="2"/>
    <x v="6"/>
  </r>
  <r>
    <x v="8"/>
    <n v="1400"/>
    <n v="5"/>
    <s v="R. Teodoro Sampaio, 954 - Pinheiros, São Paulo - SP, 05406-050"/>
    <x v="0"/>
    <s v="ANDRE SAMPAIO"/>
    <x v="0"/>
    <n v="29"/>
    <x v="2"/>
    <n v="7000"/>
    <d v="2021-07-18T00:00:00"/>
    <x v="2"/>
    <x v="0"/>
  </r>
  <r>
    <x v="12"/>
    <n v="1500"/>
    <n v="3"/>
    <s v="R. Brasílio Itiberê, 3279 - Água Verde, Curitiba - PR, 80250-160"/>
    <x v="3"/>
    <s v="RAFAELA GONÇALVES"/>
    <x v="1"/>
    <n v="67"/>
    <x v="1"/>
    <n v="4500"/>
    <d v="2021-08-18T00:00:00"/>
    <x v="2"/>
    <x v="7"/>
  </r>
  <r>
    <x v="18"/>
    <n v="2500"/>
    <n v="3"/>
    <s v="R. Teodoro Sampaio, 954 - Pinheiros, São Paulo - SP, 05406-050"/>
    <x v="0"/>
    <s v="MARIANA BARROZO"/>
    <x v="1"/>
    <n v="59"/>
    <x v="1"/>
    <n v="7500"/>
    <d v="2021-04-30T00:00:00"/>
    <x v="2"/>
    <x v="2"/>
  </r>
  <r>
    <x v="12"/>
    <n v="1500"/>
    <n v="4"/>
    <s v="Shopping Barra - Av. Centenário, 2992 - Barra, Salvador - BA, 40155-150"/>
    <x v="5"/>
    <s v="GABRIELA MELLO"/>
    <x v="1"/>
    <n v="58"/>
    <x v="1"/>
    <n v="6000"/>
    <d v="2021-10-19T00:00:00"/>
    <x v="2"/>
    <x v="6"/>
  </r>
  <r>
    <x v="21"/>
    <n v="5200"/>
    <n v="2"/>
    <s v="Av. Dom Luís, 500 - Aldeota, Fortaleza - CE, 60160-230"/>
    <x v="2"/>
    <s v="PRISCILA CARVALHO"/>
    <x v="1"/>
    <n v="42"/>
    <x v="0"/>
    <n v="10400"/>
    <d v="2021-12-09T00:00:00"/>
    <x v="2"/>
    <x v="8"/>
  </r>
  <r>
    <x v="12"/>
    <n v="1500"/>
    <n v="1"/>
    <s v="Av. Dom Luís, 500 - Aldeota, Fortaleza - CE, 60160-230"/>
    <x v="2"/>
    <s v="LUCAS LEMOS"/>
    <x v="0"/>
    <n v="27"/>
    <x v="2"/>
    <n v="1500"/>
    <d v="2021-04-04T00:00:00"/>
    <x v="2"/>
    <x v="2"/>
  </r>
  <r>
    <x v="11"/>
    <n v="2000"/>
    <n v="4"/>
    <s v="R. Visc. de Pirajá, 136 - Ipanema, Rio de Janeiro - RJ, 22410-000"/>
    <x v="1"/>
    <s v="RENAN NASCIMENTO"/>
    <x v="0"/>
    <n v="37"/>
    <x v="0"/>
    <n v="8000"/>
    <d v="2021-09-24T00:00:00"/>
    <x v="2"/>
    <x v="1"/>
  </r>
  <r>
    <x v="5"/>
    <n v="1450"/>
    <n v="3"/>
    <s v="R. Visc. de Pirajá, 136 - Ipanema, Rio de Janeiro - RJ, 22410-000"/>
    <x v="1"/>
    <s v="CAROLINA MOTTA"/>
    <x v="1"/>
    <n v="29"/>
    <x v="2"/>
    <n v="4350"/>
    <d v="2021-12-08T00:00:00"/>
    <x v="2"/>
    <x v="8"/>
  </r>
  <r>
    <x v="7"/>
    <n v="2600"/>
    <n v="3"/>
    <s v="Rua Antônio Lumack do Monte, 203 - 1 - Boa Viagem, Recife - PE, 51020-350"/>
    <x v="6"/>
    <s v="JOYCE SOUZA"/>
    <x v="1"/>
    <n v="65"/>
    <x v="1"/>
    <n v="7800"/>
    <d v="2021-01-03T00:00:00"/>
    <x v="2"/>
    <x v="5"/>
  </r>
  <r>
    <x v="2"/>
    <n v="1900"/>
    <n v="1"/>
    <s v="R. Dr. Antônio Castro Prado, 422 - Vila Rossi e Borchi, Campinas - SP, 13076-130"/>
    <x v="0"/>
    <s v="JESSICA FERREIRA"/>
    <x v="1"/>
    <n v="75"/>
    <x v="1"/>
    <n v="1900"/>
    <d v="2021-11-21T00:00:00"/>
    <x v="2"/>
    <x v="10"/>
  </r>
  <r>
    <x v="0"/>
    <n v="4500"/>
    <n v="5"/>
    <s v="R. Dr. Antônio Castro Prado, 422 - Vila Rossi e Borchi, Campinas - SP, 13076-130"/>
    <x v="0"/>
    <s v="BRENNO SANTOS"/>
    <x v="0"/>
    <n v="71"/>
    <x v="1"/>
    <n v="22500"/>
    <d v="2021-12-01T00:00:00"/>
    <x v="2"/>
    <x v="8"/>
  </r>
  <r>
    <x v="18"/>
    <n v="2500"/>
    <n v="2"/>
    <s v="Av. Borges de Medeiros, 3120 - Praia de Belas, Porto Alegre - RS, 90110-150"/>
    <x v="8"/>
    <s v="ARTHUR PEREIRA"/>
    <x v="0"/>
    <n v="42"/>
    <x v="0"/>
    <n v="5000"/>
    <d v="2021-03-25T00:00:00"/>
    <x v="2"/>
    <x v="9"/>
  </r>
  <r>
    <x v="4"/>
    <n v="700"/>
    <n v="1"/>
    <s v="R. Visc. de Pirajá, 136 - Ipanema, Rio de Janeiro - RJ, 22410-000"/>
    <x v="1"/>
    <s v="GUILHERME RACHIDE"/>
    <x v="0"/>
    <n v="66"/>
    <x v="1"/>
    <n v="700"/>
    <d v="2021-04-04T00:00:00"/>
    <x v="2"/>
    <x v="2"/>
  </r>
  <r>
    <x v="13"/>
    <n v="1550"/>
    <n v="4"/>
    <s v="R. Teodoro Sampaio, 954 - Pinheiros, São Paulo - SP, 05406-050"/>
    <x v="0"/>
    <s v="MIGUEL CARNEIRO"/>
    <x v="0"/>
    <n v="45"/>
    <x v="0"/>
    <n v="6200"/>
    <d v="2021-07-07T00:00:00"/>
    <x v="2"/>
    <x v="0"/>
  </r>
  <r>
    <x v="19"/>
    <n v="1750"/>
    <n v="5"/>
    <s v="Rua Quinze de Novembro, 8 - Loja 301a Loja 301b - Centro, Niterói - RJ, 24020-125"/>
    <x v="1"/>
    <s v="PEDRO MACCKIONE"/>
    <x v="0"/>
    <n v="35"/>
    <x v="0"/>
    <n v="8750"/>
    <d v="2021-07-14T00:00:00"/>
    <x v="2"/>
    <x v="0"/>
  </r>
  <r>
    <x v="2"/>
    <n v="1900"/>
    <n v="5"/>
    <s v="Av. Goiás Norte, 3.592 - quadra 2.1 - St. Mal. Rondon, Goiânia - GO, 74063-010"/>
    <x v="4"/>
    <s v="LEANDRO FERREIRA"/>
    <x v="0"/>
    <n v="38"/>
    <x v="0"/>
    <n v="9500"/>
    <d v="2021-05-07T00:00:00"/>
    <x v="2"/>
    <x v="11"/>
  </r>
  <r>
    <x v="5"/>
    <n v="1450"/>
    <n v="3"/>
    <s v="R. Brasílio Itiberê, 3279 - Água Verde, Curitiba - PR, 80250-160"/>
    <x v="3"/>
    <s v="CARLOS AZEVEDO"/>
    <x v="0"/>
    <n v="34"/>
    <x v="0"/>
    <n v="4350"/>
    <d v="2021-06-30T00:00:00"/>
    <x v="2"/>
    <x v="3"/>
  </r>
  <r>
    <x v="19"/>
    <n v="1750"/>
    <n v="2"/>
    <s v="Av. Mal. Floriano Peixoto, 2248-2258 - Centro, Nova Iguaçu - RJ, 26210-000"/>
    <x v="1"/>
    <s v="RAÍZA LOPES"/>
    <x v="1"/>
    <n v="43"/>
    <x v="0"/>
    <n v="3500"/>
    <d v="2021-08-08T00:00:00"/>
    <x v="2"/>
    <x v="7"/>
  </r>
  <r>
    <x v="11"/>
    <n v="2000"/>
    <n v="4"/>
    <s v="Rua Quinze de Novembro, 8 - Loja 301a Loja 301b - Centro, Niterói - RJ, 24020-125"/>
    <x v="1"/>
    <s v="BRUNA ROSA"/>
    <x v="1"/>
    <n v="57"/>
    <x v="1"/>
    <n v="8000"/>
    <d v="2021-01-10T00:00:00"/>
    <x v="2"/>
    <x v="5"/>
  </r>
  <r>
    <x v="20"/>
    <n v="5500"/>
    <n v="3"/>
    <s v="Av. Dom Luís, 500 - Aldeota, Fortaleza - CE, 60160-230"/>
    <x v="2"/>
    <s v="BEATRIZ BIASE"/>
    <x v="1"/>
    <n v="62"/>
    <x v="1"/>
    <n v="16500"/>
    <d v="2021-11-28T00:00:00"/>
    <x v="2"/>
    <x v="10"/>
  </r>
  <r>
    <x v="11"/>
    <n v="2000"/>
    <n v="5"/>
    <s v="R. Brasílio Itiberê, 3279 - Água Verde, Curitiba - PR, 80250-160"/>
    <x v="3"/>
    <s v="JÉSSICA NETTO"/>
    <x v="1"/>
    <n v="26"/>
    <x v="2"/>
    <n v="10000"/>
    <d v="2021-02-03T00:00:00"/>
    <x v="2"/>
    <x v="4"/>
  </r>
  <r>
    <x v="18"/>
    <n v="2500"/>
    <n v="3"/>
    <s v="R. Dr. Antônio Castro Prado, 422 - Vila Rossi e Borchi, Campinas - SP, 13076-130"/>
    <x v="0"/>
    <s v="ANÍZIO CARVALHO"/>
    <x v="0"/>
    <n v="35"/>
    <x v="0"/>
    <n v="7500"/>
    <d v="2021-08-15T00:00:00"/>
    <x v="2"/>
    <x v="7"/>
  </r>
  <r>
    <x v="14"/>
    <n v="1500"/>
    <n v="2"/>
    <s v="R. Luíz Faccini, 212 - Centro, Guarulhos - SP, 07110-000"/>
    <x v="0"/>
    <s v="GUILHERME MONTEIRO"/>
    <x v="0"/>
    <n v="36"/>
    <x v="0"/>
    <n v="3000"/>
    <d v="2021-06-25T00:00:00"/>
    <x v="2"/>
    <x v="3"/>
  </r>
  <r>
    <x v="1"/>
    <n v="1400"/>
    <n v="4"/>
    <s v="Av. Dom Luís, 500 - Aldeota, Fortaleza - CE, 60160-230"/>
    <x v="2"/>
    <s v="WILSON BRANDÃO"/>
    <x v="0"/>
    <n v="74"/>
    <x v="1"/>
    <n v="5600"/>
    <d v="2021-09-19T00:00:00"/>
    <x v="2"/>
    <x v="1"/>
  </r>
  <r>
    <x v="6"/>
    <n v="6500"/>
    <n v="5"/>
    <s v="R. Luíz Faccini, 212 - Centro, Guarulhos - SP, 07110-000"/>
    <x v="0"/>
    <s v="LUIS GARCIA"/>
    <x v="1"/>
    <n v="29"/>
    <x v="2"/>
    <n v="32500"/>
    <d v="2021-08-06T00:00:00"/>
    <x v="2"/>
    <x v="7"/>
  </r>
  <r>
    <x v="3"/>
    <n v="1500"/>
    <n v="2"/>
    <s v="R. Visc. de Pirajá, 136 - Ipanema, Rio de Janeiro - RJ, 22410-000"/>
    <x v="1"/>
    <s v="GABRIELLA SAGRILLO"/>
    <x v="1"/>
    <n v="36"/>
    <x v="0"/>
    <n v="3000"/>
    <d v="2021-10-10T00:00:00"/>
    <x v="2"/>
    <x v="6"/>
  </r>
  <r>
    <x v="12"/>
    <n v="1500"/>
    <n v="2"/>
    <s v="R. Luíz Faccini, 212 - Centro, Guarulhos - SP, 07110-000"/>
    <x v="0"/>
    <s v="VICTOR LIRA"/>
    <x v="0"/>
    <n v="38"/>
    <x v="0"/>
    <n v="3000"/>
    <d v="2021-05-20T00:00:00"/>
    <x v="2"/>
    <x v="11"/>
  </r>
  <r>
    <x v="12"/>
    <n v="1500"/>
    <n v="1"/>
    <s v="R. Luíz Faccini, 212 - Centro, Guarulhos - SP, 07110-000"/>
    <x v="0"/>
    <s v="JOÃO BACH"/>
    <x v="0"/>
    <n v="45"/>
    <x v="0"/>
    <n v="1500"/>
    <d v="2021-11-10T00:00:00"/>
    <x v="2"/>
    <x v="10"/>
  </r>
  <r>
    <x v="2"/>
    <n v="1900"/>
    <n v="4"/>
    <s v="Av. Borges de Medeiros, 3120 - Praia de Belas, Porto Alegre - RS, 90110-150"/>
    <x v="8"/>
    <s v="MATHEUS GOMES"/>
    <x v="0"/>
    <n v="64"/>
    <x v="1"/>
    <n v="7600"/>
    <d v="2021-08-20T00:00:00"/>
    <x v="2"/>
    <x v="7"/>
  </r>
  <r>
    <x v="10"/>
    <n v="750"/>
    <n v="4"/>
    <s v="Av. Goiás Norte, 3.592 - quadra 2.1 - St. Mal. Rondon, Goiânia - GO, 74063-010"/>
    <x v="4"/>
    <s v="WEN SANTOS"/>
    <x v="1"/>
    <n v="52"/>
    <x v="1"/>
    <n v="3000"/>
    <d v="2021-06-19T00:00:00"/>
    <x v="2"/>
    <x v="3"/>
  </r>
  <r>
    <x v="18"/>
    <n v="2500"/>
    <n v="2"/>
    <s v="Rua Quinze de Novembro, 8 - Loja 301a Loja 301b - Centro, Niterói - RJ, 24020-125"/>
    <x v="1"/>
    <s v="RAFAEL RAMOS"/>
    <x v="0"/>
    <n v="40"/>
    <x v="0"/>
    <n v="5000"/>
    <d v="2021-10-03T00:00:00"/>
    <x v="2"/>
    <x v="6"/>
  </r>
  <r>
    <x v="5"/>
    <n v="1450"/>
    <n v="2"/>
    <s v="Av. Borges de Medeiros, 3120 - Praia de Belas, Porto Alegre - RS, 90110-150"/>
    <x v="8"/>
    <s v="THALES ANDRADE"/>
    <x v="0"/>
    <n v="55"/>
    <x v="1"/>
    <n v="2900"/>
    <d v="2021-04-01T00:00:00"/>
    <x v="2"/>
    <x v="2"/>
  </r>
  <r>
    <x v="15"/>
    <n v="3000"/>
    <n v="1"/>
    <s v="R. Visc. de Pirajá, 136 - Ipanema, Rio de Janeiro - RJ, 22410-000"/>
    <x v="1"/>
    <s v="RAFAEL PORTELA"/>
    <x v="0"/>
    <n v="66"/>
    <x v="1"/>
    <n v="3000"/>
    <d v="2021-10-31T00:00:00"/>
    <x v="2"/>
    <x v="6"/>
  </r>
  <r>
    <x v="22"/>
    <n v="2400"/>
    <n v="3"/>
    <s v="R. Visc. de Pirajá, 136 - Ipanema, Rio de Janeiro - RJ, 22410-000"/>
    <x v="1"/>
    <s v="RAFAEL PORTELA"/>
    <x v="0"/>
    <n v="66"/>
    <x v="1"/>
    <n v="7200"/>
    <d v="2021-11-27T00:00:00"/>
    <x v="2"/>
    <x v="10"/>
  </r>
  <r>
    <x v="6"/>
    <n v="6500"/>
    <n v="1"/>
    <s v="R. Luíz Faccini, 212 - Centro, Guarulhos - SP, 07110-000"/>
    <x v="0"/>
    <s v="RILSON DIAS"/>
    <x v="0"/>
    <n v="74"/>
    <x v="1"/>
    <n v="6500"/>
    <d v="2021-06-08T00:00:00"/>
    <x v="2"/>
    <x v="3"/>
  </r>
  <r>
    <x v="5"/>
    <n v="1450"/>
    <n v="1"/>
    <s v="Rua Quinze de Novembro, 8 - Loja 301a Loja 301b - Centro, Niterói - RJ, 24020-125"/>
    <x v="1"/>
    <s v="JORGE FONSECA"/>
    <x v="0"/>
    <n v="26"/>
    <x v="2"/>
    <n v="1450"/>
    <d v="2021-08-08T00:00:00"/>
    <x v="2"/>
    <x v="7"/>
  </r>
  <r>
    <x v="15"/>
    <n v="3000"/>
    <n v="4"/>
    <s v="R. Brasílio Itiberê, 3279 - Água Verde, Curitiba - PR, 80250-160"/>
    <x v="3"/>
    <s v="DANIEL FELIPPE"/>
    <x v="0"/>
    <n v="38"/>
    <x v="0"/>
    <n v="12000"/>
    <d v="2021-04-01T00:00:00"/>
    <x v="2"/>
    <x v="2"/>
  </r>
  <r>
    <x v="9"/>
    <n v="2000"/>
    <n v="1"/>
    <s v="R. Teodoro Sampaio, 954 - Pinheiros, São Paulo - SP, 05406-050"/>
    <x v="0"/>
    <s v="MATHEUS SILVA"/>
    <x v="0"/>
    <n v="33"/>
    <x v="0"/>
    <n v="2000"/>
    <d v="2021-03-28T00:00:00"/>
    <x v="2"/>
    <x v="9"/>
  </r>
  <r>
    <x v="4"/>
    <n v="700"/>
    <n v="5"/>
    <s v="Av. Barão Homem de Melo, 1389 - Nova Granada, Belo Horizonte - MG, 30431-425"/>
    <x v="7"/>
    <s v="CAIO CARDOSO"/>
    <x v="0"/>
    <n v="40"/>
    <x v="0"/>
    <n v="3500"/>
    <d v="2021-09-01T00:00:00"/>
    <x v="2"/>
    <x v="1"/>
  </r>
  <r>
    <x v="13"/>
    <n v="1550"/>
    <n v="3"/>
    <s v="R. Visc. de Pirajá, 136 - Ipanema, Rio de Janeiro - RJ, 22410-000"/>
    <x v="1"/>
    <s v="DESIRÉE HEIMLICH"/>
    <x v="1"/>
    <n v="75"/>
    <x v="1"/>
    <n v="4650"/>
    <d v="2021-10-26T00:00:00"/>
    <x v="2"/>
    <x v="6"/>
  </r>
  <r>
    <x v="21"/>
    <n v="5200"/>
    <n v="3"/>
    <s v="R. Brasílio Itiberê, 3279 - Água Verde, Curitiba - PR, 80250-160"/>
    <x v="3"/>
    <s v="GIULIA LOPES"/>
    <x v="1"/>
    <n v="59"/>
    <x v="1"/>
    <n v="15600"/>
    <d v="2021-10-17T00:00:00"/>
    <x v="2"/>
    <x v="6"/>
  </r>
  <r>
    <x v="17"/>
    <n v="2300"/>
    <n v="4"/>
    <s v="Rua Quinze de Novembro, 8 - Loja 301a Loja 301b - Centro, Niterói - RJ, 24020-125"/>
    <x v="1"/>
    <s v="MICHELLE MIURA"/>
    <x v="1"/>
    <n v="59"/>
    <x v="1"/>
    <n v="9200"/>
    <d v="2021-07-13T00:00:00"/>
    <x v="2"/>
    <x v="0"/>
  </r>
  <r>
    <x v="22"/>
    <n v="2400"/>
    <n v="1"/>
    <s v="Av. Dom Luís, 500 - Aldeota, Fortaleza - CE, 60160-230"/>
    <x v="2"/>
    <s v="GUSTAVO ERTHAL"/>
    <x v="0"/>
    <n v="75"/>
    <x v="1"/>
    <n v="2400"/>
    <d v="2021-05-14T00:00:00"/>
    <x v="2"/>
    <x v="11"/>
  </r>
  <r>
    <x v="13"/>
    <n v="1550"/>
    <n v="1"/>
    <s v="Av. Borges de Medeiros, 3120 - Praia de Belas, Porto Alegre - RS, 90110-150"/>
    <x v="8"/>
    <s v="GUSTAVO AZEVEDO"/>
    <x v="0"/>
    <n v="30"/>
    <x v="0"/>
    <n v="1550"/>
    <d v="2021-06-25T00:00:00"/>
    <x v="2"/>
    <x v="3"/>
  </r>
  <r>
    <x v="0"/>
    <n v="4500"/>
    <n v="4"/>
    <s v="Av. Mal. Floriano Peixoto, 2248-2258 - Centro, Nova Iguaçu - RJ, 26210-000"/>
    <x v="1"/>
    <s v="VICTOR FERREIRA"/>
    <x v="0"/>
    <n v="45"/>
    <x v="0"/>
    <n v="18000"/>
    <d v="2021-08-04T00:00:00"/>
    <x v="2"/>
    <x v="7"/>
  </r>
  <r>
    <x v="6"/>
    <n v="6500"/>
    <n v="5"/>
    <s v="Shopping Barra - Av. Centenário, 2992 - Barra, Salvador - BA, 40155-150"/>
    <x v="5"/>
    <s v="MATHEUS GOMES"/>
    <x v="0"/>
    <n v="63"/>
    <x v="1"/>
    <n v="32500"/>
    <d v="2021-11-30T00:00:00"/>
    <x v="2"/>
    <x v="10"/>
  </r>
  <r>
    <x v="15"/>
    <n v="3000"/>
    <n v="4"/>
    <s v="R. Brasílio Itiberê, 3279 - Água Verde, Curitiba - PR, 80250-160"/>
    <x v="3"/>
    <s v="MARIANA BAPTISTA"/>
    <x v="1"/>
    <n v="34"/>
    <x v="0"/>
    <n v="12000"/>
    <d v="2021-03-24T00:00:00"/>
    <x v="2"/>
    <x v="9"/>
  </r>
  <r>
    <x v="12"/>
    <n v="1500"/>
    <n v="2"/>
    <s v="Av. Borges de Medeiros, 3120 - Praia de Belas, Porto Alegre - RS, 90110-150"/>
    <x v="8"/>
    <s v="ULISSES ARRUDA"/>
    <x v="0"/>
    <n v="55"/>
    <x v="1"/>
    <n v="3000"/>
    <d v="2021-03-22T00:00:00"/>
    <x v="2"/>
    <x v="9"/>
  </r>
  <r>
    <x v="20"/>
    <n v="5500"/>
    <n v="5"/>
    <s v="R. Luíz Faccini, 212 - Centro, Guarulhos - SP, 07110-000"/>
    <x v="0"/>
    <s v="VICTOR LIRA"/>
    <x v="0"/>
    <n v="38"/>
    <x v="0"/>
    <n v="27500"/>
    <d v="2021-08-10T00:00:00"/>
    <x v="2"/>
    <x v="7"/>
  </r>
  <r>
    <x v="0"/>
    <n v="4500"/>
    <n v="5"/>
    <s v="Av. Goiás Norte, 3.592 - quadra 2.1 - St. Mal. Rondon, Goiânia - GO, 74063-010"/>
    <x v="4"/>
    <s v="ALBERTO SILVEIRA"/>
    <x v="0"/>
    <n v="36"/>
    <x v="0"/>
    <n v="22500"/>
    <d v="2021-04-01T00:00:00"/>
    <x v="2"/>
    <x v="2"/>
  </r>
  <r>
    <x v="17"/>
    <n v="2300"/>
    <n v="2"/>
    <s v="R. Luíz Faccini, 212 - Centro, Guarulhos - SP, 07110-000"/>
    <x v="0"/>
    <s v="ANA CARVALHO"/>
    <x v="1"/>
    <n v="61"/>
    <x v="1"/>
    <n v="4600"/>
    <d v="2021-07-15T00:00:00"/>
    <x v="2"/>
    <x v="0"/>
  </r>
  <r>
    <x v="6"/>
    <n v="6500"/>
    <n v="1"/>
    <s v="Rua Antônio Lumack do Monte, 203 - 1 - Boa Viagem, Recife - PE, 51020-350"/>
    <x v="6"/>
    <s v="JULIA LEIG"/>
    <x v="1"/>
    <n v="31"/>
    <x v="0"/>
    <n v="6500"/>
    <d v="2021-05-29T00:00:00"/>
    <x v="2"/>
    <x v="11"/>
  </r>
  <r>
    <x v="23"/>
    <n v="1100"/>
    <n v="3"/>
    <s v="Av. Barão Homem de Melo, 1389 - Nova Granada, Belo Horizonte - MG, 30431-425"/>
    <x v="7"/>
    <s v="CAROLINE DELGADO"/>
    <x v="1"/>
    <n v="40"/>
    <x v="0"/>
    <n v="3300"/>
    <d v="2021-09-15T00:00:00"/>
    <x v="2"/>
    <x v="1"/>
  </r>
  <r>
    <x v="9"/>
    <n v="2000"/>
    <n v="1"/>
    <s v="Rua Antônio Lumack do Monte, 203 - 1 - Boa Viagem, Recife - PE, 51020-350"/>
    <x v="6"/>
    <s v="GABRIELLE FIGUEIREDO"/>
    <x v="1"/>
    <n v="49"/>
    <x v="0"/>
    <n v="2000"/>
    <d v="2021-11-02T00:00:00"/>
    <x v="2"/>
    <x v="10"/>
  </r>
  <r>
    <x v="21"/>
    <n v="5200"/>
    <n v="1"/>
    <s v="Av. Dom Luís, 500 - Aldeota, Fortaleza - CE, 60160-230"/>
    <x v="2"/>
    <s v="MARCELO GUADAGNINO"/>
    <x v="0"/>
    <n v="37"/>
    <x v="0"/>
    <n v="5200"/>
    <d v="2021-09-12T00:00:00"/>
    <x v="2"/>
    <x v="1"/>
  </r>
  <r>
    <x v="23"/>
    <n v="1100"/>
    <n v="4"/>
    <s v="Rua Quinze de Novembro, 8 - Loja 301a Loja 301b - Centro, Niterói - RJ, 24020-125"/>
    <x v="1"/>
    <s v="EDUARDO LOPES"/>
    <x v="0"/>
    <n v="30"/>
    <x v="0"/>
    <n v="4400"/>
    <d v="2021-04-08T00:00:00"/>
    <x v="2"/>
    <x v="2"/>
  </r>
  <r>
    <x v="5"/>
    <n v="1450"/>
    <n v="4"/>
    <s v="R. Luíz Faccini, 212 - Centro, Guarulhos - SP, 07110-000"/>
    <x v="0"/>
    <s v="EDUARDO PACHECO"/>
    <x v="0"/>
    <n v="33"/>
    <x v="0"/>
    <n v="5800"/>
    <d v="2021-10-30T00:00:00"/>
    <x v="2"/>
    <x v="6"/>
  </r>
  <r>
    <x v="11"/>
    <n v="2000"/>
    <n v="4"/>
    <s v="Av. Dom Luís, 500 - Aldeota, Fortaleza - CE, 60160-230"/>
    <x v="2"/>
    <s v="IZABEL LOPES"/>
    <x v="1"/>
    <n v="27"/>
    <x v="2"/>
    <n v="8000"/>
    <d v="2021-03-01T00:00:00"/>
    <x v="2"/>
    <x v="9"/>
  </r>
  <r>
    <x v="10"/>
    <n v="750"/>
    <n v="5"/>
    <s v="R. Visc. de Pirajá, 136 - Ipanema, Rio de Janeiro - RJ, 22410-000"/>
    <x v="1"/>
    <s v="RODRIGO BRUNO"/>
    <x v="0"/>
    <n v="64"/>
    <x v="1"/>
    <n v="3750"/>
    <d v="2021-09-02T00:00:00"/>
    <x v="2"/>
    <x v="1"/>
  </r>
  <r>
    <x v="10"/>
    <n v="750"/>
    <n v="5"/>
    <s v="R. Visc. de Pirajá, 136 - Ipanema, Rio de Janeiro - RJ, 22410-000"/>
    <x v="1"/>
    <s v="GABRIELLA SAGRILLO"/>
    <x v="1"/>
    <n v="36"/>
    <x v="0"/>
    <n v="3750"/>
    <d v="2021-07-22T00:00:00"/>
    <x v="2"/>
    <x v="0"/>
  </r>
  <r>
    <x v="20"/>
    <n v="5500"/>
    <n v="1"/>
    <s v="Av. Borges de Medeiros, 3120 - Praia de Belas, Porto Alegre - RS, 90110-150"/>
    <x v="8"/>
    <s v="CARLOS CARDOSO"/>
    <x v="0"/>
    <n v="68"/>
    <x v="1"/>
    <n v="5500"/>
    <d v="2021-02-10T00:00:00"/>
    <x v="2"/>
    <x v="4"/>
  </r>
  <r>
    <x v="11"/>
    <n v="2000"/>
    <n v="2"/>
    <s v="Av. Dom Luís, 500 - Aldeota, Fortaleza - CE, 60160-230"/>
    <x v="2"/>
    <s v="LUÍZA GARCIA"/>
    <x v="1"/>
    <n v="38"/>
    <x v="0"/>
    <n v="4000"/>
    <d v="2021-12-01T00:00:00"/>
    <x v="2"/>
    <x v="8"/>
  </r>
  <r>
    <x v="1"/>
    <n v="1400"/>
    <n v="3"/>
    <s v="R. Luíz Faccini, 212 - Centro, Guarulhos - SP, 07110-000"/>
    <x v="0"/>
    <s v="DIEGO MARCHESI"/>
    <x v="0"/>
    <n v="27"/>
    <x v="2"/>
    <n v="4200"/>
    <d v="2021-05-05T00:00:00"/>
    <x v="2"/>
    <x v="11"/>
  </r>
  <r>
    <x v="3"/>
    <n v="1500"/>
    <n v="5"/>
    <s v="R. Luíz Faccini, 212 - Centro, Guarulhos - SP, 07110-000"/>
    <x v="0"/>
    <s v="SANDY MOREIRA"/>
    <x v="1"/>
    <n v="52"/>
    <x v="1"/>
    <n v="7500"/>
    <d v="2021-01-15T00:00:00"/>
    <x v="2"/>
    <x v="5"/>
  </r>
  <r>
    <x v="11"/>
    <n v="2000"/>
    <n v="5"/>
    <s v="R. Teodoro Sampaio, 954 - Pinheiros, São Paulo - SP, 05406-050"/>
    <x v="0"/>
    <s v="RAFAEL ROCHA"/>
    <x v="0"/>
    <n v="25"/>
    <x v="2"/>
    <n v="10000"/>
    <d v="2021-06-10T00:00:00"/>
    <x v="2"/>
    <x v="3"/>
  </r>
  <r>
    <x v="22"/>
    <n v="2400"/>
    <n v="2"/>
    <s v="Rua Antônio Lumack do Monte, 203 - 1 - Boa Viagem, Recife - PE, 51020-350"/>
    <x v="6"/>
    <s v="JULIA LEIG"/>
    <x v="1"/>
    <n v="31"/>
    <x v="0"/>
    <n v="4800"/>
    <d v="2021-01-09T00:00:00"/>
    <x v="2"/>
    <x v="5"/>
  </r>
  <r>
    <x v="15"/>
    <n v="3000"/>
    <n v="3"/>
    <s v="R. Visc. de Pirajá, 136 - Ipanema, Rio de Janeiro - RJ, 22410-000"/>
    <x v="1"/>
    <s v="GABRIEL BRITO"/>
    <x v="0"/>
    <n v="75"/>
    <x v="1"/>
    <n v="9000"/>
    <d v="2021-01-27T00:00:00"/>
    <x v="2"/>
    <x v="5"/>
  </r>
  <r>
    <x v="19"/>
    <n v="1750"/>
    <n v="4"/>
    <s v="Av. Barão Homem de Melo, 1389 - Nova Granada, Belo Horizonte - MG, 30431-425"/>
    <x v="7"/>
    <s v="GUILHERME VIANNA"/>
    <x v="0"/>
    <n v="35"/>
    <x v="0"/>
    <n v="7000"/>
    <d v="2021-09-10T00:00:00"/>
    <x v="2"/>
    <x v="1"/>
  </r>
  <r>
    <x v="11"/>
    <n v="2000"/>
    <n v="2"/>
    <s v="Rua Antônio Lumack do Monte, 203 - 1 - Boa Viagem, Recife - PE, 51020-350"/>
    <x v="6"/>
    <s v="CAROLINA BERNARDES"/>
    <x v="1"/>
    <n v="66"/>
    <x v="1"/>
    <n v="4000"/>
    <d v="2021-05-14T00:00:00"/>
    <x v="2"/>
    <x v="11"/>
  </r>
  <r>
    <x v="16"/>
    <n v="1200"/>
    <n v="2"/>
    <s v="Av. Borges de Medeiros, 3120 - Praia de Belas, Porto Alegre - RS, 90110-150"/>
    <x v="8"/>
    <s v="LARISSA NAUENBERG"/>
    <x v="1"/>
    <n v="57"/>
    <x v="1"/>
    <n v="2400"/>
    <d v="2021-12-06T00:00:00"/>
    <x v="2"/>
    <x v="8"/>
  </r>
  <r>
    <x v="0"/>
    <n v="4500"/>
    <n v="3"/>
    <s v="Av. Barão Homem de Melo, 1389 - Nova Granada, Belo Horizonte - MG, 30431-425"/>
    <x v="7"/>
    <s v="HENRIQUE VILLANOVA"/>
    <x v="0"/>
    <n v="67"/>
    <x v="1"/>
    <n v="13500"/>
    <d v="2021-10-06T00:00:00"/>
    <x v="2"/>
    <x v="6"/>
  </r>
  <r>
    <x v="13"/>
    <n v="1550"/>
    <n v="5"/>
    <s v="R. Luíz Faccini, 212 - Centro, Guarulhos - SP, 07110-000"/>
    <x v="0"/>
    <s v="RAPHAEL FERMAN"/>
    <x v="0"/>
    <n v="55"/>
    <x v="1"/>
    <n v="7750"/>
    <d v="2021-07-07T00:00:00"/>
    <x v="2"/>
    <x v="0"/>
  </r>
  <r>
    <x v="5"/>
    <n v="1450"/>
    <n v="5"/>
    <s v="R. Dr. Antônio Castro Prado, 422 - Vila Rossi e Borchi, Campinas - SP, 13076-130"/>
    <x v="0"/>
    <s v="LUNNA VANNIER"/>
    <x v="1"/>
    <n v="30"/>
    <x v="0"/>
    <n v="7250"/>
    <d v="2021-07-01T00:00:00"/>
    <x v="2"/>
    <x v="0"/>
  </r>
  <r>
    <x v="17"/>
    <n v="2300"/>
    <n v="3"/>
    <s v="R. Visc. de Pirajá, 136 - Ipanema, Rio de Janeiro - RJ, 22410-000"/>
    <x v="1"/>
    <s v="MARIANA FREIRE"/>
    <x v="1"/>
    <n v="47"/>
    <x v="0"/>
    <n v="6900"/>
    <d v="2021-11-06T00:00:00"/>
    <x v="2"/>
    <x v="10"/>
  </r>
  <r>
    <x v="1"/>
    <n v="1400"/>
    <n v="5"/>
    <s v="R. Luíz Faccini, 212 - Centro, Guarulhos - SP, 07110-000"/>
    <x v="0"/>
    <s v="LUIS GARCIA"/>
    <x v="1"/>
    <n v="29"/>
    <x v="2"/>
    <n v="7000"/>
    <d v="2021-03-10T00:00:00"/>
    <x v="2"/>
    <x v="9"/>
  </r>
  <r>
    <x v="0"/>
    <n v="4500"/>
    <n v="5"/>
    <s v="Rua Quinze de Novembro, 8 - Loja 301a Loja 301b - Centro, Niterói - RJ, 24020-125"/>
    <x v="1"/>
    <s v="VITOR ARRUDA"/>
    <x v="0"/>
    <n v="31"/>
    <x v="0"/>
    <n v="22500"/>
    <d v="2021-01-05T00:00:00"/>
    <x v="2"/>
    <x v="5"/>
  </r>
  <r>
    <x v="10"/>
    <n v="750"/>
    <n v="4"/>
    <s v="Av. Mal. Floriano Peixoto, 2248-2258 - Centro, Nova Iguaçu - RJ, 26210-000"/>
    <x v="1"/>
    <s v="NATALI RANGEL"/>
    <x v="1"/>
    <n v="26"/>
    <x v="2"/>
    <n v="3000"/>
    <d v="2021-08-20T00:00:00"/>
    <x v="2"/>
    <x v="7"/>
  </r>
  <r>
    <x v="8"/>
    <n v="1400"/>
    <n v="2"/>
    <s v="Rua Antônio Lumack do Monte, 203 - 1 - Boa Viagem, Recife - PE, 51020-350"/>
    <x v="6"/>
    <s v="LUCAS NETO"/>
    <x v="0"/>
    <n v="63"/>
    <x v="1"/>
    <n v="2800"/>
    <d v="2021-03-12T00:00:00"/>
    <x v="2"/>
    <x v="9"/>
  </r>
  <r>
    <x v="19"/>
    <n v="1750"/>
    <n v="3"/>
    <s v="Rua Antônio Lumack do Monte, 203 - 1 - Boa Viagem, Recife - PE, 51020-350"/>
    <x v="6"/>
    <s v="CARLOS GALVÃO"/>
    <x v="0"/>
    <n v="33"/>
    <x v="0"/>
    <n v="5250"/>
    <d v="2021-12-14T00:00:00"/>
    <x v="2"/>
    <x v="8"/>
  </r>
  <r>
    <x v="12"/>
    <n v="1500"/>
    <n v="3"/>
    <s v="Rua Quinze de Novembro, 8 - Loja 301a Loja 301b - Centro, Niterói - RJ, 24020-125"/>
    <x v="1"/>
    <s v="LUIZA PROCACI"/>
    <x v="1"/>
    <n v="33"/>
    <x v="0"/>
    <n v="4500"/>
    <d v="2021-05-07T00:00:00"/>
    <x v="2"/>
    <x v="11"/>
  </r>
  <r>
    <x v="21"/>
    <n v="5200"/>
    <n v="2"/>
    <s v="Rua Antônio Lumack do Monte, 203 - 1 - Boa Viagem, Recife - PE, 51020-350"/>
    <x v="6"/>
    <s v="THIAGO NÓBREGA"/>
    <x v="0"/>
    <n v="70"/>
    <x v="1"/>
    <n v="10400"/>
    <d v="2021-04-28T00:00:00"/>
    <x v="2"/>
    <x v="2"/>
  </r>
  <r>
    <x v="14"/>
    <n v="1500"/>
    <n v="4"/>
    <s v="R. Luíz Faccini, 212 - Centro, Guarulhos - SP, 07110-000"/>
    <x v="0"/>
    <s v="LÁZARO VILLANOVA"/>
    <x v="0"/>
    <n v="71"/>
    <x v="1"/>
    <n v="6000"/>
    <d v="2021-12-14T00:00:00"/>
    <x v="2"/>
    <x v="8"/>
  </r>
  <r>
    <x v="15"/>
    <n v="3000"/>
    <n v="1"/>
    <s v="R. Teodoro Sampaio, 954 - Pinheiros, São Paulo - SP, 05406-050"/>
    <x v="0"/>
    <s v="GABRIEL ASSIS"/>
    <x v="0"/>
    <n v="44"/>
    <x v="0"/>
    <n v="3000"/>
    <d v="2021-12-01T00:00:00"/>
    <x v="2"/>
    <x v="8"/>
  </r>
  <r>
    <x v="19"/>
    <n v="1750"/>
    <n v="5"/>
    <s v="R. Dr. Antônio Castro Prado, 422 - Vila Rossi e Borchi, Campinas - SP, 13076-130"/>
    <x v="0"/>
    <s v="PEDRO LYRA"/>
    <x v="0"/>
    <n v="26"/>
    <x v="2"/>
    <n v="8750"/>
    <d v="2021-10-13T00:00:00"/>
    <x v="2"/>
    <x v="6"/>
  </r>
  <r>
    <x v="22"/>
    <n v="2400"/>
    <n v="2"/>
    <s v="R. Brasílio Itiberê, 3279 - Água Verde, Curitiba - PR, 80250-160"/>
    <x v="3"/>
    <s v="BRUNO OLIVEIRA"/>
    <x v="0"/>
    <n v="76"/>
    <x v="1"/>
    <n v="4800"/>
    <d v="2021-01-23T00:00:00"/>
    <x v="2"/>
    <x v="5"/>
  </r>
  <r>
    <x v="7"/>
    <n v="2600"/>
    <n v="1"/>
    <s v="Shopping Barra - Av. Centenário, 2992 - Barra, Salvador - BA, 40155-150"/>
    <x v="5"/>
    <s v="BERNARDO RIBEIRO"/>
    <x v="0"/>
    <n v="75"/>
    <x v="1"/>
    <n v="2600"/>
    <d v="2021-11-17T00:00:00"/>
    <x v="2"/>
    <x v="10"/>
  </r>
  <r>
    <x v="7"/>
    <n v="2600"/>
    <n v="5"/>
    <s v="R. Brasílio Itiberê, 3279 - Água Verde, Curitiba - PR, 80250-160"/>
    <x v="3"/>
    <s v="ROGER ROSA"/>
    <x v="0"/>
    <n v="72"/>
    <x v="1"/>
    <n v="13000"/>
    <d v="2021-04-15T00:00:00"/>
    <x v="2"/>
    <x v="2"/>
  </r>
  <r>
    <x v="18"/>
    <n v="2500"/>
    <n v="4"/>
    <s v="Rua Antônio Lumack do Monte, 203 - 1 - Boa Viagem, Recife - PE, 51020-350"/>
    <x v="6"/>
    <s v="THIAGO NÓBREGA"/>
    <x v="0"/>
    <n v="70"/>
    <x v="1"/>
    <n v="10000"/>
    <d v="2021-09-11T00:00:00"/>
    <x v="2"/>
    <x v="1"/>
  </r>
  <r>
    <x v="1"/>
    <n v="1400"/>
    <n v="1"/>
    <s v="Av. Borges de Medeiros, 3120 - Praia de Belas, Porto Alegre - RS, 90110-150"/>
    <x v="8"/>
    <s v="CAIO SILVA"/>
    <x v="0"/>
    <n v="31"/>
    <x v="0"/>
    <n v="1400"/>
    <d v="2021-05-07T00:00:00"/>
    <x v="2"/>
    <x v="11"/>
  </r>
  <r>
    <x v="8"/>
    <n v="1400"/>
    <n v="3"/>
    <s v="Av. Borges de Medeiros, 3120 - Praia de Belas, Porto Alegre - RS, 90110-150"/>
    <x v="8"/>
    <s v="LARA MOREIRA"/>
    <x v="1"/>
    <n v="52"/>
    <x v="1"/>
    <n v="4200"/>
    <d v="2021-08-29T00:00:00"/>
    <x v="2"/>
    <x v="7"/>
  </r>
  <r>
    <x v="10"/>
    <n v="750"/>
    <n v="2"/>
    <s v="Av. Mal. Floriano Peixoto, 2248-2258 - Centro, Nova Iguaçu - RJ, 26210-000"/>
    <x v="1"/>
    <s v="RAMON ARAUJO"/>
    <x v="0"/>
    <n v="49"/>
    <x v="0"/>
    <n v="1500"/>
    <d v="2021-08-02T00:00:00"/>
    <x v="2"/>
    <x v="7"/>
  </r>
  <r>
    <x v="2"/>
    <n v="1900"/>
    <n v="3"/>
    <s v="Shopping Barra - Av. Centenário, 2992 - Barra, Salvador - BA, 40155-150"/>
    <x v="5"/>
    <s v="MARIA MELLO"/>
    <x v="1"/>
    <n v="67"/>
    <x v="1"/>
    <n v="5700"/>
    <d v="2021-09-12T00:00:00"/>
    <x v="2"/>
    <x v="1"/>
  </r>
  <r>
    <x v="13"/>
    <n v="1550"/>
    <n v="1"/>
    <s v="R. Teodoro Sampaio, 954 - Pinheiros, São Paulo - SP, 05406-050"/>
    <x v="0"/>
    <s v="MARINA MESQUITA"/>
    <x v="1"/>
    <n v="40"/>
    <x v="0"/>
    <n v="1550"/>
    <d v="2021-07-07T00:00:00"/>
    <x v="2"/>
    <x v="0"/>
  </r>
  <r>
    <x v="18"/>
    <n v="2500"/>
    <n v="5"/>
    <s v="R. Visc. de Pirajá, 136 - Ipanema, Rio de Janeiro - RJ, 22410-000"/>
    <x v="1"/>
    <s v="JOSÉ FONSECA"/>
    <x v="0"/>
    <n v="75"/>
    <x v="1"/>
    <n v="12500"/>
    <d v="2021-01-28T00:00:00"/>
    <x v="2"/>
    <x v="5"/>
  </r>
  <r>
    <x v="1"/>
    <n v="1400"/>
    <n v="4"/>
    <s v="R. Luíz Faccini, 212 - Centro, Guarulhos - SP, 07110-000"/>
    <x v="0"/>
    <s v="LÁZARO VILLANOVA"/>
    <x v="0"/>
    <n v="71"/>
    <x v="1"/>
    <n v="5600"/>
    <d v="2021-10-10T00:00:00"/>
    <x v="2"/>
    <x v="6"/>
  </r>
  <r>
    <x v="4"/>
    <n v="700"/>
    <n v="5"/>
    <s v="R. Brasílio Itiberê, 3279 - Água Verde, Curitiba - PR, 80250-160"/>
    <x v="3"/>
    <s v="MILENA PEREIRA"/>
    <x v="1"/>
    <n v="67"/>
    <x v="1"/>
    <n v="3500"/>
    <d v="2021-01-17T00:00:00"/>
    <x v="2"/>
    <x v="5"/>
  </r>
  <r>
    <x v="17"/>
    <n v="2300"/>
    <n v="1"/>
    <s v="Shopping Barra - Av. Centenário, 2992 - Barra, Salvador - BA, 40155-150"/>
    <x v="5"/>
    <s v="RENAN VENTURA"/>
    <x v="0"/>
    <n v="33"/>
    <x v="0"/>
    <n v="2300"/>
    <d v="2021-02-20T00:00:00"/>
    <x v="2"/>
    <x v="4"/>
  </r>
  <r>
    <x v="16"/>
    <n v="1200"/>
    <n v="4"/>
    <s v="R. Luíz Faccini, 212 - Centro, Guarulhos - SP, 07110-000"/>
    <x v="0"/>
    <s v="JULIA FIGUEIREDO"/>
    <x v="1"/>
    <n v="30"/>
    <x v="0"/>
    <n v="4800"/>
    <d v="2021-02-11T00:00:00"/>
    <x v="2"/>
    <x v="4"/>
  </r>
  <r>
    <x v="22"/>
    <n v="2400"/>
    <n v="3"/>
    <s v="Av. Mal. Floriano Peixoto, 2248-2258 - Centro, Nova Iguaçu - RJ, 26210-000"/>
    <x v="1"/>
    <s v="GIULIA PESSANHA"/>
    <x v="1"/>
    <n v="28"/>
    <x v="2"/>
    <n v="7200"/>
    <d v="2021-11-24T00:00:00"/>
    <x v="2"/>
    <x v="10"/>
  </r>
  <r>
    <x v="18"/>
    <n v="2500"/>
    <n v="1"/>
    <s v="R. Teodoro Sampaio, 954 - Pinheiros, São Paulo - SP, 05406-050"/>
    <x v="0"/>
    <s v="JULIANA MESQUITA"/>
    <x v="1"/>
    <n v="70"/>
    <x v="1"/>
    <n v="2500"/>
    <d v="2021-06-15T00:00:00"/>
    <x v="2"/>
    <x v="3"/>
  </r>
  <r>
    <x v="23"/>
    <n v="1100"/>
    <n v="2"/>
    <s v="Av. Mal. Floriano Peixoto, 2248-2258 - Centro, Nova Iguaçu - RJ, 26210-000"/>
    <x v="1"/>
    <s v="CLÁUDIO ARAGÃO"/>
    <x v="0"/>
    <n v="61"/>
    <x v="1"/>
    <n v="2200"/>
    <d v="2021-08-05T00:00:00"/>
    <x v="2"/>
    <x v="7"/>
  </r>
  <r>
    <x v="19"/>
    <n v="1750"/>
    <n v="4"/>
    <s v="Av. Mal. Floriano Peixoto, 2248-2258 - Centro, Nova Iguaçu - RJ, 26210-000"/>
    <x v="1"/>
    <s v="ANDRESSA ROTSZTEJN"/>
    <x v="1"/>
    <n v="48"/>
    <x v="0"/>
    <n v="7000"/>
    <d v="2021-12-09T00:00:00"/>
    <x v="2"/>
    <x v="8"/>
  </r>
  <r>
    <x v="17"/>
    <n v="2300"/>
    <n v="4"/>
    <s v="R. Luíz Faccini, 212 - Centro, Guarulhos - SP, 07110-000"/>
    <x v="0"/>
    <s v="SANDY MOREIRA"/>
    <x v="1"/>
    <n v="52"/>
    <x v="1"/>
    <n v="9200"/>
    <d v="2021-11-07T00:00:00"/>
    <x v="2"/>
    <x v="10"/>
  </r>
  <r>
    <x v="13"/>
    <n v="1550"/>
    <n v="2"/>
    <s v="R. Luíz Faccini, 212 - Centro, Guarulhos - SP, 07110-000"/>
    <x v="0"/>
    <s v="KIM FERREIRA"/>
    <x v="1"/>
    <n v="73"/>
    <x v="1"/>
    <n v="3100"/>
    <d v="2021-07-22T00:00:00"/>
    <x v="2"/>
    <x v="0"/>
  </r>
  <r>
    <x v="13"/>
    <n v="1550"/>
    <n v="3"/>
    <s v="R. Luíz Faccini, 212 - Centro, Guarulhos - SP, 07110-000"/>
    <x v="0"/>
    <s v="GUILHERME MEROTTO"/>
    <x v="0"/>
    <n v="60"/>
    <x v="1"/>
    <n v="4650"/>
    <d v="2021-12-24T00:00:00"/>
    <x v="2"/>
    <x v="8"/>
  </r>
  <r>
    <x v="6"/>
    <n v="6500"/>
    <n v="1"/>
    <s v="Rua Antônio Lumack do Monte, 203 - 1 - Boa Viagem, Recife - PE, 51020-350"/>
    <x v="6"/>
    <s v="ISABELA RESENDE"/>
    <x v="1"/>
    <n v="74"/>
    <x v="1"/>
    <n v="6500"/>
    <d v="2021-09-02T00:00:00"/>
    <x v="2"/>
    <x v="1"/>
  </r>
  <r>
    <x v="7"/>
    <n v="2600"/>
    <n v="1"/>
    <s v="R. Teodoro Sampaio, 954 - Pinheiros, São Paulo - SP, 05406-050"/>
    <x v="0"/>
    <s v="LUCAS BAPTISTA"/>
    <x v="0"/>
    <n v="49"/>
    <x v="0"/>
    <n v="2600"/>
    <d v="2021-06-07T00:00:00"/>
    <x v="2"/>
    <x v="3"/>
  </r>
  <r>
    <x v="19"/>
    <n v="1750"/>
    <n v="3"/>
    <s v="Av. Goiás Norte, 3.592 - quadra 2.1 - St. Mal. Rondon, Goiânia - GO, 74063-010"/>
    <x v="4"/>
    <s v="ALBERTO SILVEIRA"/>
    <x v="0"/>
    <n v="36"/>
    <x v="0"/>
    <n v="5250"/>
    <d v="2021-10-17T00:00:00"/>
    <x v="2"/>
    <x v="6"/>
  </r>
  <r>
    <x v="6"/>
    <n v="6500"/>
    <n v="3"/>
    <s v="Av. Barão Homem de Melo, 1389 - Nova Granada, Belo Horizonte - MG, 30431-425"/>
    <x v="7"/>
    <s v="RAFAEL WAJNSZTOK"/>
    <x v="0"/>
    <n v="33"/>
    <x v="0"/>
    <n v="19500"/>
    <d v="2021-05-22T00:00:00"/>
    <x v="2"/>
    <x v="11"/>
  </r>
  <r>
    <x v="17"/>
    <n v="2300"/>
    <n v="1"/>
    <s v="R. Visc. de Pirajá, 136 - Ipanema, Rio de Janeiro - RJ, 22410-000"/>
    <x v="1"/>
    <s v="JOÃO PEDRAZZA"/>
    <x v="0"/>
    <n v="69"/>
    <x v="1"/>
    <n v="2300"/>
    <d v="2021-02-15T00:00:00"/>
    <x v="2"/>
    <x v="4"/>
  </r>
  <r>
    <x v="2"/>
    <n v="1900"/>
    <n v="5"/>
    <s v="R. Brasílio Itiberê, 3279 - Água Verde, Curitiba - PR, 80250-160"/>
    <x v="3"/>
    <s v="MARIANA BAPTISTA"/>
    <x v="1"/>
    <n v="34"/>
    <x v="0"/>
    <n v="9500"/>
    <d v="2021-02-20T00:00:00"/>
    <x v="2"/>
    <x v="4"/>
  </r>
  <r>
    <x v="17"/>
    <n v="2300"/>
    <n v="2"/>
    <s v="Rua Antônio Lumack do Monte, 203 - 1 - Boa Viagem, Recife - PE, 51020-350"/>
    <x v="6"/>
    <s v="JOSÉ CARVALHO"/>
    <x v="0"/>
    <n v="41"/>
    <x v="0"/>
    <n v="4600"/>
    <d v="2021-08-04T00:00:00"/>
    <x v="2"/>
    <x v="7"/>
  </r>
  <r>
    <x v="5"/>
    <n v="1450"/>
    <n v="3"/>
    <s v="R. Luíz Faccini, 212 - Centro, Guarulhos - SP, 07110-000"/>
    <x v="0"/>
    <s v="JOÃO FONSECA"/>
    <x v="0"/>
    <n v="34"/>
    <x v="0"/>
    <n v="4350"/>
    <d v="2021-10-15T00:00:00"/>
    <x v="2"/>
    <x v="6"/>
  </r>
  <r>
    <x v="12"/>
    <n v="1500"/>
    <n v="3"/>
    <s v="R. Visc. de Pirajá, 136 - Ipanema, Rio de Janeiro - RJ, 22410-000"/>
    <x v="1"/>
    <s v="LUCAS LIMA"/>
    <x v="0"/>
    <n v="49"/>
    <x v="0"/>
    <n v="4500"/>
    <d v="2021-02-09T00:00:00"/>
    <x v="2"/>
    <x v="4"/>
  </r>
  <r>
    <x v="17"/>
    <n v="2300"/>
    <n v="2"/>
    <s v="R. Luíz Faccini, 212 - Centro, Guarulhos - SP, 07110-000"/>
    <x v="0"/>
    <s v="BIANCA TATSCH"/>
    <x v="1"/>
    <n v="40"/>
    <x v="0"/>
    <n v="4600"/>
    <d v="2021-03-24T00:00:00"/>
    <x v="2"/>
    <x v="9"/>
  </r>
  <r>
    <x v="5"/>
    <n v="1450"/>
    <n v="2"/>
    <s v="Av. Mal. Floriano Peixoto, 2248-2258 - Centro, Nova Iguaçu - RJ, 26210-000"/>
    <x v="1"/>
    <s v="ERICK SOARES"/>
    <x v="0"/>
    <n v="36"/>
    <x v="0"/>
    <n v="2900"/>
    <d v="2021-06-19T00:00:00"/>
    <x v="2"/>
    <x v="3"/>
  </r>
  <r>
    <x v="21"/>
    <n v="5200"/>
    <n v="2"/>
    <s v="Av. Borges de Medeiros, 3120 - Praia de Belas, Porto Alegre - RS, 90110-150"/>
    <x v="8"/>
    <s v="DIOGO RESSURREIÇÃO"/>
    <x v="0"/>
    <n v="70"/>
    <x v="1"/>
    <n v="10400"/>
    <d v="2021-09-18T00:00:00"/>
    <x v="2"/>
    <x v="1"/>
  </r>
  <r>
    <x v="13"/>
    <n v="1550"/>
    <n v="2"/>
    <s v="R. Luíz Faccini, 212 - Centro, Guarulhos - SP, 07110-000"/>
    <x v="0"/>
    <s v="PEDRO BITENCOURT"/>
    <x v="0"/>
    <n v="43"/>
    <x v="0"/>
    <n v="3100"/>
    <d v="2021-12-06T00:00:00"/>
    <x v="2"/>
    <x v="8"/>
  </r>
  <r>
    <x v="1"/>
    <n v="1400"/>
    <n v="5"/>
    <s v="R. Visc. de Pirajá, 136 - Ipanema, Rio de Janeiro - RJ, 22410-000"/>
    <x v="1"/>
    <s v="BIANCA PIERO"/>
    <x v="1"/>
    <n v="33"/>
    <x v="0"/>
    <n v="7000"/>
    <d v="2021-07-09T00:00:00"/>
    <x v="2"/>
    <x v="0"/>
  </r>
  <r>
    <x v="16"/>
    <n v="1200"/>
    <n v="1"/>
    <s v="Shopping Barra - Av. Centenário, 2992 - Barra, Salvador - BA, 40155-150"/>
    <x v="5"/>
    <s v="GUSTAVO JUNIOR"/>
    <x v="0"/>
    <n v="69"/>
    <x v="1"/>
    <n v="1200"/>
    <d v="2021-07-30T00:00:00"/>
    <x v="2"/>
    <x v="0"/>
  </r>
  <r>
    <x v="12"/>
    <n v="1500"/>
    <n v="3"/>
    <s v="Shopping Barra - Av. Centenário, 2992 - Barra, Salvador - BA, 40155-150"/>
    <x v="5"/>
    <s v="BERNARDO RIBEIRO"/>
    <x v="0"/>
    <n v="75"/>
    <x v="1"/>
    <n v="4500"/>
    <d v="2021-01-26T00:00:00"/>
    <x v="2"/>
    <x v="5"/>
  </r>
  <r>
    <x v="0"/>
    <n v="4500"/>
    <n v="3"/>
    <s v="R. Visc. de Pirajá, 136 - Ipanema, Rio de Janeiro - RJ, 22410-000"/>
    <x v="1"/>
    <s v="IURI NETO"/>
    <x v="0"/>
    <n v="56"/>
    <x v="1"/>
    <n v="13500"/>
    <d v="2021-11-10T00:00:00"/>
    <x v="2"/>
    <x v="10"/>
  </r>
  <r>
    <x v="7"/>
    <n v="2600"/>
    <n v="4"/>
    <s v="Rua Quinze de Novembro, 8 - Loja 301a Loja 301b - Centro, Niterói - RJ, 24020-125"/>
    <x v="1"/>
    <s v="ROBERTO NOGUEIRA"/>
    <x v="0"/>
    <n v="51"/>
    <x v="1"/>
    <n v="10400"/>
    <d v="2021-09-23T00:00:00"/>
    <x v="2"/>
    <x v="1"/>
  </r>
  <r>
    <x v="10"/>
    <n v="750"/>
    <n v="3"/>
    <s v="Rua Antônio Lumack do Monte, 203 - 1 - Boa Viagem, Recife - PE, 51020-350"/>
    <x v="6"/>
    <s v="GABRIELLE COSTA"/>
    <x v="1"/>
    <n v="36"/>
    <x v="0"/>
    <n v="2250"/>
    <d v="2021-01-27T00:00:00"/>
    <x v="2"/>
    <x v="5"/>
  </r>
  <r>
    <x v="19"/>
    <n v="1750"/>
    <n v="5"/>
    <s v="Av. Goiás Norte, 3.592 - quadra 2.1 - St. Mal. Rondon, Goiânia - GO, 74063-010"/>
    <x v="4"/>
    <s v="PAULA CAVALCANTI"/>
    <x v="1"/>
    <n v="53"/>
    <x v="1"/>
    <n v="8750"/>
    <d v="2021-01-03T00:00:00"/>
    <x v="2"/>
    <x v="5"/>
  </r>
  <r>
    <x v="16"/>
    <n v="1200"/>
    <n v="2"/>
    <s v="R. Luíz Faccini, 212 - Centro, Guarulhos - SP, 07110-000"/>
    <x v="0"/>
    <s v="JULIA SILVA"/>
    <x v="1"/>
    <n v="29"/>
    <x v="2"/>
    <n v="2400"/>
    <d v="2021-02-23T00:00:00"/>
    <x v="2"/>
    <x v="4"/>
  </r>
  <r>
    <x v="7"/>
    <n v="2600"/>
    <n v="3"/>
    <s v="R. Luíz Faccini, 212 - Centro, Guarulhos - SP, 07110-000"/>
    <x v="0"/>
    <s v="GABRIELLE PORTO"/>
    <x v="1"/>
    <n v="40"/>
    <x v="0"/>
    <n v="7800"/>
    <d v="2021-02-23T00:00:00"/>
    <x v="2"/>
    <x v="4"/>
  </r>
  <r>
    <x v="18"/>
    <n v="2500"/>
    <n v="5"/>
    <s v="Av. Goiás Norte, 3.592 - quadra 2.1 - St. Mal. Rondon, Goiânia - GO, 74063-010"/>
    <x v="4"/>
    <s v="PAULA CAVALCANTI"/>
    <x v="1"/>
    <n v="53"/>
    <x v="1"/>
    <n v="12500"/>
    <d v="2021-02-08T00:00:00"/>
    <x v="2"/>
    <x v="4"/>
  </r>
  <r>
    <x v="3"/>
    <n v="1500"/>
    <n v="2"/>
    <s v="Av. Dom Luís, 500 - Aldeota, Fortaleza - CE, 60160-230"/>
    <x v="2"/>
    <s v="FERNANDA FIGUEIREDO"/>
    <x v="1"/>
    <n v="28"/>
    <x v="2"/>
    <n v="3000"/>
    <d v="2021-05-03T00:00:00"/>
    <x v="2"/>
    <x v="11"/>
  </r>
  <r>
    <x v="8"/>
    <n v="1400"/>
    <n v="4"/>
    <s v="R. Brasílio Itiberê, 3279 - Água Verde, Curitiba - PR, 80250-160"/>
    <x v="3"/>
    <s v="MATHEUS SANTOS"/>
    <x v="0"/>
    <n v="36"/>
    <x v="0"/>
    <n v="5600"/>
    <d v="2021-11-18T00:00:00"/>
    <x v="2"/>
    <x v="10"/>
  </r>
  <r>
    <x v="9"/>
    <n v="2000"/>
    <n v="5"/>
    <s v="R. Luíz Faccini, 212 - Centro, Guarulhos - SP, 07110-000"/>
    <x v="0"/>
    <s v="LUÍZA GOULART"/>
    <x v="1"/>
    <n v="70"/>
    <x v="1"/>
    <n v="10000"/>
    <d v="2021-10-16T00:00:00"/>
    <x v="2"/>
    <x v="6"/>
  </r>
  <r>
    <x v="19"/>
    <n v="1750"/>
    <n v="3"/>
    <s v="Av. Goiás Norte, 3.592 - quadra 2.1 - St. Mal. Rondon, Goiânia - GO, 74063-010"/>
    <x v="4"/>
    <s v="ARTHUR SOUZA"/>
    <x v="0"/>
    <n v="45"/>
    <x v="0"/>
    <n v="5250"/>
    <d v="2021-03-09T00:00:00"/>
    <x v="2"/>
    <x v="9"/>
  </r>
  <r>
    <x v="6"/>
    <n v="6500"/>
    <n v="2"/>
    <s v="Av. Barão Homem de Melo, 1389 - Nova Granada, Belo Horizonte - MG, 30431-425"/>
    <x v="7"/>
    <s v="LUCAS REIS"/>
    <x v="0"/>
    <n v="67"/>
    <x v="1"/>
    <n v="13000"/>
    <d v="2021-01-17T00:00:00"/>
    <x v="2"/>
    <x v="5"/>
  </r>
  <r>
    <x v="22"/>
    <n v="2400"/>
    <n v="4"/>
    <s v="R. Luíz Faccini, 212 - Centro, Guarulhos - SP, 07110-000"/>
    <x v="0"/>
    <s v="BRENO QUINTO"/>
    <x v="0"/>
    <n v="49"/>
    <x v="0"/>
    <n v="9600"/>
    <d v="2021-03-06T00:00:00"/>
    <x v="2"/>
    <x v="9"/>
  </r>
  <r>
    <x v="8"/>
    <n v="1400"/>
    <n v="4"/>
    <s v="Av. Mal. Floriano Peixoto, 2248-2258 - Centro, Nova Iguaçu - RJ, 26210-000"/>
    <x v="1"/>
    <s v="JOÃO AIRES"/>
    <x v="0"/>
    <n v="71"/>
    <x v="1"/>
    <n v="5600"/>
    <d v="2021-11-02T00:00:00"/>
    <x v="2"/>
    <x v="10"/>
  </r>
  <r>
    <x v="6"/>
    <n v="6500"/>
    <n v="5"/>
    <s v="R. Teodoro Sampaio, 954 - Pinheiros, São Paulo - SP, 05406-050"/>
    <x v="0"/>
    <s v="MATHEUS SOUZA"/>
    <x v="0"/>
    <n v="51"/>
    <x v="1"/>
    <n v="32500"/>
    <d v="2021-08-21T00:00:00"/>
    <x v="2"/>
    <x v="7"/>
  </r>
  <r>
    <x v="13"/>
    <n v="1550"/>
    <n v="2"/>
    <s v="Rua Quinze de Novembro, 8 - Loja 301a Loja 301b - Centro, Niterói - RJ, 24020-125"/>
    <x v="1"/>
    <s v="EDUARDO LOPES"/>
    <x v="0"/>
    <n v="30"/>
    <x v="0"/>
    <n v="3100"/>
    <d v="2021-09-05T00:00:00"/>
    <x v="2"/>
    <x v="1"/>
  </r>
  <r>
    <x v="0"/>
    <n v="4500"/>
    <n v="5"/>
    <s v="Av. Mal. Floriano Peixoto, 2248-2258 - Centro, Nova Iguaçu - RJ, 26210-000"/>
    <x v="1"/>
    <s v="STEFAN NUNES"/>
    <x v="0"/>
    <n v="64"/>
    <x v="1"/>
    <n v="22500"/>
    <d v="2021-04-23T00:00:00"/>
    <x v="2"/>
    <x v="2"/>
  </r>
  <r>
    <x v="5"/>
    <n v="1450"/>
    <n v="1"/>
    <s v="Av. Goiás Norte, 3.592 - quadra 2.1 - St. Mal. Rondon, Goiânia - GO, 74063-010"/>
    <x v="4"/>
    <s v="REBECA TAYLOR"/>
    <x v="1"/>
    <n v="41"/>
    <x v="0"/>
    <n v="1450"/>
    <d v="2021-12-21T00:00:00"/>
    <x v="2"/>
    <x v="8"/>
  </r>
  <r>
    <x v="0"/>
    <n v="4500"/>
    <n v="3"/>
    <s v="Rua Antônio Lumack do Monte, 203 - 1 - Boa Viagem, Recife - PE, 51020-350"/>
    <x v="6"/>
    <s v="ALON PALMEIRA"/>
    <x v="0"/>
    <n v="34"/>
    <x v="0"/>
    <n v="13500"/>
    <d v="2021-03-01T00:00:00"/>
    <x v="2"/>
    <x v="9"/>
  </r>
  <r>
    <x v="16"/>
    <n v="1200"/>
    <n v="5"/>
    <s v="Rua Quinze de Novembro, 8 - Loja 301a Loja 301b - Centro, Niterói - RJ, 24020-125"/>
    <x v="1"/>
    <s v="FABIO BOCCALETTI"/>
    <x v="0"/>
    <n v="64"/>
    <x v="1"/>
    <n v="6000"/>
    <d v="2021-07-11T00:00:00"/>
    <x v="2"/>
    <x v="0"/>
  </r>
  <r>
    <x v="11"/>
    <n v="2000"/>
    <n v="3"/>
    <s v="R. Teodoro Sampaio, 954 - Pinheiros, São Paulo - SP, 05406-050"/>
    <x v="0"/>
    <s v="CAROLINA SANTOS"/>
    <x v="1"/>
    <n v="72"/>
    <x v="1"/>
    <n v="6000"/>
    <d v="2021-06-23T00:00:00"/>
    <x v="2"/>
    <x v="3"/>
  </r>
  <r>
    <x v="16"/>
    <n v="1200"/>
    <n v="3"/>
    <s v="Av. Barão Homem de Melo, 1389 - Nova Granada, Belo Horizonte - MG, 30431-425"/>
    <x v="7"/>
    <s v="BERNARDO BOTELHO"/>
    <x v="0"/>
    <n v="43"/>
    <x v="0"/>
    <n v="3600"/>
    <d v="2021-11-19T00:00:00"/>
    <x v="2"/>
    <x v="10"/>
  </r>
  <r>
    <x v="12"/>
    <n v="1500"/>
    <n v="3"/>
    <s v="R. Visc. de Pirajá, 136 - Ipanema, Rio de Janeiro - RJ, 22410-000"/>
    <x v="1"/>
    <s v="IURI NETO"/>
    <x v="0"/>
    <n v="56"/>
    <x v="1"/>
    <n v="4500"/>
    <d v="2021-08-09T00:00:00"/>
    <x v="2"/>
    <x v="7"/>
  </r>
  <r>
    <x v="3"/>
    <n v="1500"/>
    <n v="1"/>
    <s v="Av. Barão Homem de Melo, 1389 - Nova Granada, Belo Horizonte - MG, 30431-425"/>
    <x v="7"/>
    <s v="DANIELA ROSA"/>
    <x v="1"/>
    <n v="67"/>
    <x v="1"/>
    <n v="1500"/>
    <d v="2021-06-01T00:00:00"/>
    <x v="2"/>
    <x v="3"/>
  </r>
  <r>
    <x v="10"/>
    <n v="750"/>
    <n v="1"/>
    <s v="Av. Dom Luís, 500 - Aldeota, Fortaleza - CE, 60160-230"/>
    <x v="2"/>
    <s v="ANNA MAIA"/>
    <x v="1"/>
    <n v="54"/>
    <x v="1"/>
    <n v="750"/>
    <d v="2021-08-16T00:00:00"/>
    <x v="2"/>
    <x v="7"/>
  </r>
  <r>
    <x v="3"/>
    <n v="1500"/>
    <n v="5"/>
    <s v="Av. Dom Luís, 500 - Aldeota, Fortaleza - CE, 60160-230"/>
    <x v="2"/>
    <s v="BEATRIZ ROCHA"/>
    <x v="1"/>
    <n v="40"/>
    <x v="0"/>
    <n v="7500"/>
    <d v="2021-09-10T00:00:00"/>
    <x v="2"/>
    <x v="1"/>
  </r>
  <r>
    <x v="16"/>
    <n v="1200"/>
    <n v="2"/>
    <s v="R. Brasílio Itiberê, 3279 - Água Verde, Curitiba - PR, 80250-160"/>
    <x v="3"/>
    <s v="ANNA SILVA"/>
    <x v="1"/>
    <n v="69"/>
    <x v="1"/>
    <n v="2400"/>
    <d v="2021-07-30T00:00:00"/>
    <x v="2"/>
    <x v="0"/>
  </r>
  <r>
    <x v="3"/>
    <n v="1500"/>
    <n v="4"/>
    <s v="Shopping Barra - Av. Centenário, 2992 - Barra, Salvador - BA, 40155-150"/>
    <x v="5"/>
    <s v="LUANA SANTANA"/>
    <x v="1"/>
    <n v="25"/>
    <x v="2"/>
    <n v="6000"/>
    <d v="2021-08-04T00:00:00"/>
    <x v="2"/>
    <x v="7"/>
  </r>
  <r>
    <x v="22"/>
    <n v="2400"/>
    <n v="4"/>
    <s v="R. Luíz Faccini, 212 - Centro, Guarulhos - SP, 07110-000"/>
    <x v="0"/>
    <s v="KIM FERREIRA"/>
    <x v="1"/>
    <n v="73"/>
    <x v="1"/>
    <n v="9600"/>
    <d v="2021-01-08T00:00:00"/>
    <x v="2"/>
    <x v="5"/>
  </r>
  <r>
    <x v="12"/>
    <n v="1500"/>
    <n v="1"/>
    <s v="Av. Borges de Medeiros, 3120 - Praia de Belas, Porto Alegre - RS, 90110-150"/>
    <x v="8"/>
    <s v="LIVIA CORRÊA"/>
    <x v="1"/>
    <n v="38"/>
    <x v="0"/>
    <n v="1500"/>
    <d v="2021-11-01T00:00:00"/>
    <x v="2"/>
    <x v="10"/>
  </r>
  <r>
    <x v="13"/>
    <n v="1550"/>
    <n v="1"/>
    <s v="R. Visc. de Pirajá, 136 - Ipanema, Rio de Janeiro - RJ, 22410-000"/>
    <x v="1"/>
    <s v="BEATRIZ SILVA"/>
    <x v="1"/>
    <n v="45"/>
    <x v="0"/>
    <n v="1550"/>
    <d v="2021-05-14T00:00:00"/>
    <x v="2"/>
    <x v="11"/>
  </r>
  <r>
    <x v="8"/>
    <n v="1400"/>
    <n v="5"/>
    <s v="Rua Quinze de Novembro, 8 - Loja 301a Loja 301b - Centro, Niterói - RJ, 24020-125"/>
    <x v="1"/>
    <s v="VICTOR OLIVEIRA"/>
    <x v="0"/>
    <n v="73"/>
    <x v="1"/>
    <n v="7000"/>
    <d v="2021-05-02T00:00:00"/>
    <x v="2"/>
    <x v="11"/>
  </r>
  <r>
    <x v="5"/>
    <n v="1450"/>
    <n v="3"/>
    <s v="R. Teodoro Sampaio, 954 - Pinheiros, São Paulo - SP, 05406-050"/>
    <x v="0"/>
    <s v="MIGUEL CARNEIRO"/>
    <x v="0"/>
    <n v="45"/>
    <x v="0"/>
    <n v="4350"/>
    <d v="2021-10-28T00:00:00"/>
    <x v="2"/>
    <x v="6"/>
  </r>
  <r>
    <x v="16"/>
    <n v="1200"/>
    <n v="5"/>
    <s v="Av. Borges de Medeiros, 3120 - Praia de Belas, Porto Alegre - RS, 90110-150"/>
    <x v="8"/>
    <s v="RODRIGO FEIJO"/>
    <x v="0"/>
    <n v="56"/>
    <x v="1"/>
    <n v="6000"/>
    <d v="2021-11-27T00:00:00"/>
    <x v="2"/>
    <x v="10"/>
  </r>
  <r>
    <x v="3"/>
    <n v="1500"/>
    <n v="2"/>
    <s v="Rua Quinze de Novembro, 8 - Loja 301a Loja 301b - Centro, Niterói - RJ, 24020-125"/>
    <x v="1"/>
    <s v="BRUNO SALOMÃO"/>
    <x v="0"/>
    <n v="53"/>
    <x v="1"/>
    <n v="3000"/>
    <d v="2021-11-26T00:00:00"/>
    <x v="2"/>
    <x v="10"/>
  </r>
  <r>
    <x v="11"/>
    <n v="2000"/>
    <n v="2"/>
    <s v="R. Visc. de Pirajá, 136 - Ipanema, Rio de Janeiro - RJ, 22410-000"/>
    <x v="1"/>
    <s v="BIANCA PIERO"/>
    <x v="1"/>
    <n v="33"/>
    <x v="0"/>
    <n v="4000"/>
    <d v="2021-10-19T00:00:00"/>
    <x v="2"/>
    <x v="6"/>
  </r>
  <r>
    <x v="10"/>
    <n v="750"/>
    <n v="5"/>
    <s v="Av. Goiás Norte, 3.592 - quadra 2.1 - St. Mal. Rondon, Goiânia - GO, 74063-010"/>
    <x v="4"/>
    <s v="LUCAS FREITAS"/>
    <x v="0"/>
    <n v="37"/>
    <x v="0"/>
    <n v="3750"/>
    <d v="2021-02-22T00:00:00"/>
    <x v="2"/>
    <x v="4"/>
  </r>
  <r>
    <x v="3"/>
    <n v="1500"/>
    <n v="2"/>
    <s v="R. Dr. Antônio Castro Prado, 422 - Vila Rossi e Borchi, Campinas - SP, 13076-130"/>
    <x v="0"/>
    <s v="LUCAS RODRIGUES"/>
    <x v="0"/>
    <n v="40"/>
    <x v="0"/>
    <n v="3000"/>
    <d v="2021-10-29T00:00:00"/>
    <x v="2"/>
    <x v="6"/>
  </r>
  <r>
    <x v="8"/>
    <n v="1400"/>
    <n v="1"/>
    <s v="Av. Goiás Norte, 3.592 - quadra 2.1 - St. Mal. Rondon, Goiânia - GO, 74063-010"/>
    <x v="4"/>
    <s v="FABIO RAMOS"/>
    <x v="0"/>
    <n v="59"/>
    <x v="1"/>
    <n v="1400"/>
    <d v="2021-09-18T00:00:00"/>
    <x v="2"/>
    <x v="1"/>
  </r>
  <r>
    <x v="20"/>
    <n v="5500"/>
    <n v="2"/>
    <s v="Av. Goiás Norte, 3.592 - quadra 2.1 - St. Mal. Rondon, Goiânia - GO, 74063-010"/>
    <x v="4"/>
    <s v="PEDRO XAVIER"/>
    <x v="0"/>
    <n v="35"/>
    <x v="0"/>
    <n v="11000"/>
    <d v="2021-01-27T00:00:00"/>
    <x v="2"/>
    <x v="5"/>
  </r>
  <r>
    <x v="18"/>
    <n v="2500"/>
    <n v="1"/>
    <s v="Rua Antônio Lumack do Monte, 203 - 1 - Boa Viagem, Recife - PE, 51020-350"/>
    <x v="6"/>
    <s v="GUILHERME LIMA"/>
    <x v="0"/>
    <n v="53"/>
    <x v="1"/>
    <n v="2500"/>
    <d v="2021-06-21T00:00:00"/>
    <x v="2"/>
    <x v="3"/>
  </r>
  <r>
    <x v="22"/>
    <n v="2400"/>
    <n v="1"/>
    <s v="Rua Quinze de Novembro, 8 - Loja 301a Loja 301b - Centro, Niterói - RJ, 24020-125"/>
    <x v="1"/>
    <s v="JOÃO RODRIGUES"/>
    <x v="0"/>
    <n v="59"/>
    <x v="1"/>
    <n v="2400"/>
    <d v="2021-07-31T00:00:00"/>
    <x v="2"/>
    <x v="0"/>
  </r>
  <r>
    <x v="7"/>
    <n v="2600"/>
    <n v="2"/>
    <s v="Shopping Barra - Av. Centenário, 2992 - Barra, Salvador - BA, 40155-150"/>
    <x v="5"/>
    <s v="CÍCERO RAMOS"/>
    <x v="0"/>
    <n v="62"/>
    <x v="1"/>
    <n v="5200"/>
    <d v="2021-01-15T00:00:00"/>
    <x v="2"/>
    <x v="5"/>
  </r>
  <r>
    <x v="0"/>
    <n v="4500"/>
    <n v="1"/>
    <s v="Shopping Barra - Av. Centenário, 2992 - Barra, Salvador - BA, 40155-150"/>
    <x v="5"/>
    <s v="MARIA CARDOSO"/>
    <x v="1"/>
    <n v="56"/>
    <x v="1"/>
    <n v="4500"/>
    <d v="2021-08-11T00:00:00"/>
    <x v="2"/>
    <x v="7"/>
  </r>
  <r>
    <x v="8"/>
    <n v="1400"/>
    <n v="5"/>
    <s v="Shopping Barra - Av. Centenário, 2992 - Barra, Salvador - BA, 40155-150"/>
    <x v="5"/>
    <s v="JOANA CALMON"/>
    <x v="1"/>
    <n v="27"/>
    <x v="2"/>
    <n v="7000"/>
    <d v="2021-02-26T00:00:00"/>
    <x v="2"/>
    <x v="4"/>
  </r>
  <r>
    <x v="6"/>
    <n v="6500"/>
    <n v="5"/>
    <s v="R. Teodoro Sampaio, 954 - Pinheiros, São Paulo - SP, 05406-050"/>
    <x v="0"/>
    <s v="VANESSA RODRIGUES"/>
    <x v="1"/>
    <n v="31"/>
    <x v="0"/>
    <n v="32500"/>
    <d v="2021-11-05T00:00:00"/>
    <x v="2"/>
    <x v="10"/>
  </r>
  <r>
    <x v="9"/>
    <n v="2000"/>
    <n v="4"/>
    <s v="Av. Borges de Medeiros, 3120 - Praia de Belas, Porto Alegre - RS, 90110-150"/>
    <x v="8"/>
    <s v="LARISSA VASCONCELLOS"/>
    <x v="1"/>
    <n v="40"/>
    <x v="0"/>
    <n v="8000"/>
    <d v="2021-10-22T00:00:00"/>
    <x v="2"/>
    <x v="6"/>
  </r>
  <r>
    <x v="5"/>
    <n v="1450"/>
    <n v="2"/>
    <s v="Rua Quinze de Novembro, 8 - Loja 301a Loja 301b - Centro, Niterói - RJ, 24020-125"/>
    <x v="1"/>
    <s v="PEDRO DELGADO"/>
    <x v="0"/>
    <n v="25"/>
    <x v="2"/>
    <n v="2900"/>
    <d v="2021-04-06T00:00:00"/>
    <x v="2"/>
    <x v="2"/>
  </r>
  <r>
    <x v="6"/>
    <n v="6500"/>
    <n v="2"/>
    <s v="Av. Barão Homem de Melo, 1389 - Nova Granada, Belo Horizonte - MG, 30431-425"/>
    <x v="7"/>
    <s v="CAROLINA ALFRADIQUE"/>
    <x v="1"/>
    <n v="26"/>
    <x v="2"/>
    <n v="13000"/>
    <d v="2021-08-20T00:00:00"/>
    <x v="2"/>
    <x v="7"/>
  </r>
  <r>
    <x v="20"/>
    <n v="5500"/>
    <n v="1"/>
    <s v="R. Luíz Faccini, 212 - Centro, Guarulhos - SP, 07110-000"/>
    <x v="0"/>
    <s v="ANTONIO BERNHARDT"/>
    <x v="0"/>
    <n v="52"/>
    <x v="1"/>
    <n v="5500"/>
    <d v="2021-08-07T00:00:00"/>
    <x v="2"/>
    <x v="7"/>
  </r>
  <r>
    <x v="7"/>
    <n v="2600"/>
    <n v="3"/>
    <s v="R. Luíz Faccini, 212 - Centro, Guarulhos - SP, 07110-000"/>
    <x v="0"/>
    <s v="ISABELLE GONÇALVES"/>
    <x v="1"/>
    <n v="64"/>
    <x v="1"/>
    <n v="7800"/>
    <d v="2021-09-02T00:00:00"/>
    <x v="2"/>
    <x v="1"/>
  </r>
  <r>
    <x v="0"/>
    <n v="4500"/>
    <n v="2"/>
    <s v="Av. Mal. Floriano Peixoto, 2248-2258 - Centro, Nova Iguaçu - RJ, 26210-000"/>
    <x v="1"/>
    <s v="ALINE ANDRADE"/>
    <x v="1"/>
    <n v="67"/>
    <x v="1"/>
    <n v="9000"/>
    <d v="2021-06-12T00:00:00"/>
    <x v="2"/>
    <x v="3"/>
  </r>
  <r>
    <x v="15"/>
    <n v="3000"/>
    <n v="1"/>
    <s v="R. Brasílio Itiberê, 3279 - Água Verde, Curitiba - PR, 80250-160"/>
    <x v="3"/>
    <s v="ANA GOMES"/>
    <x v="1"/>
    <n v="64"/>
    <x v="1"/>
    <n v="3000"/>
    <d v="2021-02-20T00:00:00"/>
    <x v="2"/>
    <x v="4"/>
  </r>
  <r>
    <x v="3"/>
    <n v="1500"/>
    <n v="3"/>
    <s v="Av. Dom Luís, 500 - Aldeota, Fortaleza - CE, 60160-230"/>
    <x v="2"/>
    <s v="GUSTAVO ERTHAL"/>
    <x v="0"/>
    <n v="75"/>
    <x v="1"/>
    <n v="4500"/>
    <d v="2021-11-21T00:00:00"/>
    <x v="2"/>
    <x v="10"/>
  </r>
  <r>
    <x v="9"/>
    <n v="2000"/>
    <n v="1"/>
    <s v="R. Luíz Faccini, 212 - Centro, Guarulhos - SP, 07110-000"/>
    <x v="0"/>
    <s v="PATRICK SILVA"/>
    <x v="0"/>
    <n v="57"/>
    <x v="1"/>
    <n v="2000"/>
    <d v="2021-09-05T00:00:00"/>
    <x v="2"/>
    <x v="1"/>
  </r>
  <r>
    <x v="23"/>
    <n v="1100"/>
    <n v="4"/>
    <s v="Rua Quinze de Novembro, 8 - Loja 301a Loja 301b - Centro, Niterói - RJ, 24020-125"/>
    <x v="1"/>
    <s v="PEDRO MACCKIONE"/>
    <x v="0"/>
    <n v="35"/>
    <x v="0"/>
    <n v="4400"/>
    <d v="2021-05-03T00:00:00"/>
    <x v="2"/>
    <x v="11"/>
  </r>
  <r>
    <x v="6"/>
    <n v="6500"/>
    <n v="2"/>
    <s v="Av. Goiás Norte, 3.592 - quadra 2.1 - St. Mal. Rondon, Goiânia - GO, 74063-010"/>
    <x v="4"/>
    <s v="LUCAS ASSUNÇÃO"/>
    <x v="0"/>
    <n v="71"/>
    <x v="1"/>
    <n v="13000"/>
    <d v="2021-08-28T00:00:00"/>
    <x v="2"/>
    <x v="7"/>
  </r>
  <r>
    <x v="1"/>
    <n v="1400"/>
    <n v="3"/>
    <s v="R. Teodoro Sampaio, 954 - Pinheiros, São Paulo - SP, 05406-050"/>
    <x v="0"/>
    <s v="LENON FERNANDES"/>
    <x v="0"/>
    <n v="50"/>
    <x v="0"/>
    <n v="4200"/>
    <d v="2021-06-28T00:00:00"/>
    <x v="2"/>
    <x v="3"/>
  </r>
  <r>
    <x v="7"/>
    <n v="2600"/>
    <n v="4"/>
    <s v="R. Luíz Faccini, 212 - Centro, Guarulhos - SP, 07110-000"/>
    <x v="0"/>
    <s v="BRUNA RAMOS"/>
    <x v="1"/>
    <n v="35"/>
    <x v="0"/>
    <n v="10400"/>
    <d v="2021-05-14T00:00:00"/>
    <x v="2"/>
    <x v="11"/>
  </r>
  <r>
    <x v="19"/>
    <n v="1750"/>
    <n v="5"/>
    <s v="Av. Dom Luís, 500 - Aldeota, Fortaleza - CE, 60160-230"/>
    <x v="2"/>
    <s v="WILSON BRANDÃO"/>
    <x v="0"/>
    <n v="74"/>
    <x v="1"/>
    <n v="8750"/>
    <d v="2021-09-25T00:00:00"/>
    <x v="2"/>
    <x v="1"/>
  </r>
  <r>
    <x v="9"/>
    <n v="2000"/>
    <n v="2"/>
    <s v="Rua Quinze de Novembro, 8 - Loja 301a Loja 301b - Centro, Niterói - RJ, 24020-125"/>
    <x v="1"/>
    <s v="LUIZA MARQUES"/>
    <x v="1"/>
    <n v="30"/>
    <x v="0"/>
    <n v="4000"/>
    <d v="2021-08-07T00:00:00"/>
    <x v="2"/>
    <x v="7"/>
  </r>
  <r>
    <x v="13"/>
    <n v="1550"/>
    <n v="3"/>
    <s v="Av. Mal. Floriano Peixoto, 2248-2258 - Centro, Nova Iguaçu - RJ, 26210-000"/>
    <x v="1"/>
    <s v="PRISCILA SUZANO"/>
    <x v="1"/>
    <n v="50"/>
    <x v="0"/>
    <n v="4650"/>
    <d v="2021-12-13T00:00:00"/>
    <x v="2"/>
    <x v="8"/>
  </r>
  <r>
    <x v="10"/>
    <n v="750"/>
    <n v="2"/>
    <s v="Av. Mal. Floriano Peixoto, 2248-2258 - Centro, Nova Iguaçu - RJ, 26210-000"/>
    <x v="1"/>
    <s v="ERIC NEVES"/>
    <x v="0"/>
    <n v="56"/>
    <x v="1"/>
    <n v="1500"/>
    <d v="2021-01-26T00:00:00"/>
    <x v="2"/>
    <x v="5"/>
  </r>
  <r>
    <x v="17"/>
    <n v="2300"/>
    <n v="2"/>
    <s v="R. Visc. de Pirajá, 136 - Ipanema, Rio de Janeiro - RJ, 22410-000"/>
    <x v="1"/>
    <s v="BERNARDO NAUENBERG"/>
    <x v="0"/>
    <n v="32"/>
    <x v="0"/>
    <n v="4600"/>
    <d v="2021-11-13T00:00:00"/>
    <x v="2"/>
    <x v="10"/>
  </r>
  <r>
    <x v="6"/>
    <n v="6500"/>
    <n v="4"/>
    <s v="R. Luíz Faccini, 212 - Centro, Guarulhos - SP, 07110-000"/>
    <x v="0"/>
    <s v="JOÃO CASTILHO"/>
    <x v="0"/>
    <n v="50"/>
    <x v="0"/>
    <n v="26000"/>
    <d v="2021-06-01T00:00:00"/>
    <x v="2"/>
    <x v="3"/>
  </r>
  <r>
    <x v="7"/>
    <n v="2600"/>
    <n v="3"/>
    <s v="R. Luíz Faccini, 212 - Centro, Guarulhos - SP, 07110-000"/>
    <x v="0"/>
    <s v="LÁZARO VILLANOVA"/>
    <x v="0"/>
    <n v="71"/>
    <x v="1"/>
    <n v="7800"/>
    <d v="2021-04-10T00:00:00"/>
    <x v="2"/>
    <x v="2"/>
  </r>
  <r>
    <x v="6"/>
    <n v="6500"/>
    <n v="4"/>
    <s v="R. Dr. Antônio Castro Prado, 422 - Vila Rossi e Borchi, Campinas - SP, 13076-130"/>
    <x v="0"/>
    <s v="PATRÍCIA FERNANDES"/>
    <x v="1"/>
    <n v="49"/>
    <x v="0"/>
    <n v="26000"/>
    <d v="2021-12-30T00:00:00"/>
    <x v="2"/>
    <x v="8"/>
  </r>
  <r>
    <x v="19"/>
    <n v="1750"/>
    <n v="5"/>
    <s v="Av. Mal. Floriano Peixoto, 2248-2258 - Centro, Nova Iguaçu - RJ, 26210-000"/>
    <x v="1"/>
    <s v="GABRIELA ALIANI"/>
    <x v="1"/>
    <n v="64"/>
    <x v="1"/>
    <n v="8750"/>
    <d v="2021-07-25T00:00:00"/>
    <x v="2"/>
    <x v="0"/>
  </r>
  <r>
    <x v="20"/>
    <n v="5500"/>
    <n v="3"/>
    <s v="Av. Goiás Norte, 3.592 - quadra 2.1 - St. Mal. Rondon, Goiânia - GO, 74063-010"/>
    <x v="4"/>
    <s v="ISABELLA SCALABRIN"/>
    <x v="1"/>
    <n v="62"/>
    <x v="1"/>
    <n v="16500"/>
    <d v="2021-03-22T00:00:00"/>
    <x v="2"/>
    <x v="9"/>
  </r>
  <r>
    <x v="12"/>
    <n v="1500"/>
    <n v="2"/>
    <s v="R. Luíz Faccini, 212 - Centro, Guarulhos - SP, 07110-000"/>
    <x v="0"/>
    <s v="ADRIELLE VIEIRA"/>
    <x v="1"/>
    <n v="49"/>
    <x v="0"/>
    <n v="3000"/>
    <d v="2021-02-21T00:00:00"/>
    <x v="2"/>
    <x v="4"/>
  </r>
  <r>
    <x v="13"/>
    <n v="1550"/>
    <n v="2"/>
    <s v="Rua Quinze de Novembro, 8 - Loja 301a Loja 301b - Centro, Niterói - RJ, 24020-125"/>
    <x v="1"/>
    <s v="CAMILLE SILVA"/>
    <x v="1"/>
    <n v="73"/>
    <x v="1"/>
    <n v="3100"/>
    <d v="2021-05-06T00:00:00"/>
    <x v="2"/>
    <x v="11"/>
  </r>
  <r>
    <x v="14"/>
    <n v="1500"/>
    <n v="5"/>
    <s v="Av. Dom Luís, 500 - Aldeota, Fortaleza - CE, 60160-230"/>
    <x v="2"/>
    <s v="MARINA MARINS"/>
    <x v="1"/>
    <n v="75"/>
    <x v="1"/>
    <n v="7500"/>
    <d v="2021-10-21T00:00:00"/>
    <x v="2"/>
    <x v="6"/>
  </r>
  <r>
    <x v="11"/>
    <n v="2000"/>
    <n v="5"/>
    <s v="Rua Quinze de Novembro, 8 - Loja 301a Loja 301b - Centro, Niterói - RJ, 24020-125"/>
    <x v="1"/>
    <s v="CAMILLE SILVA"/>
    <x v="1"/>
    <n v="73"/>
    <x v="1"/>
    <n v="10000"/>
    <d v="2021-03-25T00:00:00"/>
    <x v="2"/>
    <x v="9"/>
  </r>
  <r>
    <x v="16"/>
    <n v="1200"/>
    <n v="5"/>
    <s v="R. Brasílio Itiberê, 3279 - Água Verde, Curitiba - PR, 80250-160"/>
    <x v="3"/>
    <s v="ROBERTO TIRADENTES"/>
    <x v="0"/>
    <n v="28"/>
    <x v="2"/>
    <n v="6000"/>
    <d v="2021-07-25T00:00:00"/>
    <x v="2"/>
    <x v="0"/>
  </r>
  <r>
    <x v="7"/>
    <n v="2600"/>
    <n v="4"/>
    <s v="R. Visc. de Pirajá, 136 - Ipanema, Rio de Janeiro - RJ, 22410-000"/>
    <x v="1"/>
    <s v="CAIO FERNANDES"/>
    <x v="0"/>
    <n v="32"/>
    <x v="0"/>
    <n v="10400"/>
    <d v="2021-03-25T00:00:00"/>
    <x v="2"/>
    <x v="9"/>
  </r>
  <r>
    <x v="18"/>
    <n v="2500"/>
    <n v="3"/>
    <s v="Shopping Barra - Av. Centenário, 2992 - Barra, Salvador - BA, 40155-150"/>
    <x v="5"/>
    <s v="MATHEUS GOMES"/>
    <x v="0"/>
    <n v="63"/>
    <x v="1"/>
    <n v="7500"/>
    <d v="2021-04-30T00:00:00"/>
    <x v="2"/>
    <x v="2"/>
  </r>
  <r>
    <x v="4"/>
    <n v="700"/>
    <n v="1"/>
    <s v="R. Teodoro Sampaio, 954 - Pinheiros, São Paulo - SP, 05406-050"/>
    <x v="0"/>
    <s v="GUILHERME MARCHESI"/>
    <x v="0"/>
    <n v="39"/>
    <x v="0"/>
    <n v="700"/>
    <d v="2021-04-26T00:00:00"/>
    <x v="2"/>
    <x v="2"/>
  </r>
  <r>
    <x v="0"/>
    <n v="4500"/>
    <n v="5"/>
    <s v="R. Luíz Faccini, 212 - Centro, Guarulhos - SP, 07110-000"/>
    <x v="0"/>
    <s v="GABRIELA FERNANDES"/>
    <x v="1"/>
    <n v="46"/>
    <x v="0"/>
    <n v="22500"/>
    <d v="2021-01-17T00:00:00"/>
    <x v="2"/>
    <x v="5"/>
  </r>
  <r>
    <x v="0"/>
    <n v="4500"/>
    <n v="4"/>
    <s v="Av. Borges de Medeiros, 3120 - Praia de Belas, Porto Alegre - RS, 90110-150"/>
    <x v="8"/>
    <s v="VITTORIO FREITAS"/>
    <x v="0"/>
    <n v="72"/>
    <x v="1"/>
    <n v="18000"/>
    <d v="2021-01-29T00:00:00"/>
    <x v="2"/>
    <x v="5"/>
  </r>
  <r>
    <x v="17"/>
    <n v="2300"/>
    <n v="2"/>
    <s v="Rua Quinze de Novembro, 8 - Loja 301a Loja 301b - Centro, Niterói - RJ, 24020-125"/>
    <x v="1"/>
    <s v="CAMILA SOBRAL"/>
    <x v="1"/>
    <n v="29"/>
    <x v="2"/>
    <n v="4600"/>
    <d v="2021-01-25T00:00:00"/>
    <x v="2"/>
    <x v="5"/>
  </r>
  <r>
    <x v="17"/>
    <n v="2300"/>
    <n v="4"/>
    <s v="Rua Antônio Lumack do Monte, 203 - 1 - Boa Viagem, Recife - PE, 51020-350"/>
    <x v="6"/>
    <s v="FERNANDA RUBIM"/>
    <x v="1"/>
    <n v="74"/>
    <x v="1"/>
    <n v="9200"/>
    <d v="2021-05-04T00:00:00"/>
    <x v="2"/>
    <x v="11"/>
  </r>
  <r>
    <x v="17"/>
    <n v="2300"/>
    <n v="1"/>
    <s v="Av. Dom Luís, 500 - Aldeota, Fortaleza - CE, 60160-230"/>
    <x v="2"/>
    <s v="MARINA MARINS"/>
    <x v="1"/>
    <n v="75"/>
    <x v="1"/>
    <n v="2300"/>
    <d v="2021-05-07T00:00:00"/>
    <x v="2"/>
    <x v="11"/>
  </r>
  <r>
    <x v="13"/>
    <n v="1550"/>
    <n v="1"/>
    <s v="Av. Barão Homem de Melo, 1389 - Nova Granada, Belo Horizonte - MG, 30431-425"/>
    <x v="7"/>
    <s v="MARIA COSTA"/>
    <x v="1"/>
    <n v="54"/>
    <x v="1"/>
    <n v="1550"/>
    <d v="2021-07-22T00:00:00"/>
    <x v="2"/>
    <x v="0"/>
  </r>
  <r>
    <x v="2"/>
    <n v="1900"/>
    <n v="4"/>
    <s v="Av. Dom Luís, 500 - Aldeota, Fortaleza - CE, 60160-230"/>
    <x v="2"/>
    <s v="KARINA CAMARA"/>
    <x v="1"/>
    <n v="63"/>
    <x v="1"/>
    <n v="7600"/>
    <d v="2021-08-30T00:00:00"/>
    <x v="2"/>
    <x v="7"/>
  </r>
  <r>
    <x v="8"/>
    <n v="1400"/>
    <n v="4"/>
    <s v="R. Teodoro Sampaio, 954 - Pinheiros, São Paulo - SP, 05406-050"/>
    <x v="0"/>
    <s v="LUIZ XAVIER"/>
    <x v="0"/>
    <n v="41"/>
    <x v="0"/>
    <n v="5600"/>
    <d v="2021-06-24T00:00:00"/>
    <x v="2"/>
    <x v="3"/>
  </r>
  <r>
    <x v="15"/>
    <n v="3000"/>
    <n v="5"/>
    <s v="Av. Borges de Medeiros, 3120 - Praia de Belas, Porto Alegre - RS, 90110-150"/>
    <x v="8"/>
    <s v="KHAIO MESQUITA"/>
    <x v="0"/>
    <n v="58"/>
    <x v="1"/>
    <n v="15000"/>
    <d v="2021-10-18T00:00:00"/>
    <x v="2"/>
    <x v="6"/>
  </r>
  <r>
    <x v="4"/>
    <n v="700"/>
    <n v="1"/>
    <s v="Rua Antônio Lumack do Monte, 203 - 1 - Boa Viagem, Recife - PE, 51020-350"/>
    <x v="6"/>
    <s v="DEYSIANE MEDRONHO"/>
    <x v="1"/>
    <n v="47"/>
    <x v="0"/>
    <n v="700"/>
    <d v="2021-07-16T00:00:00"/>
    <x v="2"/>
    <x v="0"/>
  </r>
  <r>
    <x v="3"/>
    <n v="1500"/>
    <n v="2"/>
    <s v="Av. Borges de Medeiros, 3120 - Praia de Belas, Porto Alegre - RS, 90110-150"/>
    <x v="8"/>
    <s v="THAINÁ BINELLO"/>
    <x v="1"/>
    <n v="75"/>
    <x v="1"/>
    <n v="3000"/>
    <d v="2021-01-07T00:00:00"/>
    <x v="2"/>
    <x v="5"/>
  </r>
  <r>
    <x v="9"/>
    <n v="2000"/>
    <n v="2"/>
    <s v="Rua Antônio Lumack do Monte, 203 - 1 - Boa Viagem, Recife - PE, 51020-350"/>
    <x v="6"/>
    <s v="RAFAEL CARNEIRO"/>
    <x v="0"/>
    <n v="75"/>
    <x v="1"/>
    <n v="4000"/>
    <d v="2021-06-06T00:00:00"/>
    <x v="2"/>
    <x v="3"/>
  </r>
  <r>
    <x v="7"/>
    <n v="2600"/>
    <n v="1"/>
    <s v="R. Dr. Antônio Castro Prado, 422 - Vila Rossi e Borchi, Campinas - SP, 13076-130"/>
    <x v="0"/>
    <s v="ANTÔNIO OLIVEIRA"/>
    <x v="0"/>
    <n v="53"/>
    <x v="1"/>
    <n v="2600"/>
    <d v="2021-09-09T00:00:00"/>
    <x v="2"/>
    <x v="1"/>
  </r>
  <r>
    <x v="6"/>
    <n v="6500"/>
    <n v="3"/>
    <s v="R. Visc. de Pirajá, 136 - Ipanema, Rio de Janeiro - RJ, 22410-000"/>
    <x v="1"/>
    <s v="GUILHERME RACHIDE"/>
    <x v="0"/>
    <n v="66"/>
    <x v="1"/>
    <n v="19500"/>
    <d v="2021-11-17T00:00:00"/>
    <x v="2"/>
    <x v="10"/>
  </r>
  <r>
    <x v="10"/>
    <n v="750"/>
    <n v="3"/>
    <s v="R. Visc. de Pirajá, 136 - Ipanema, Rio de Janeiro - RJ, 22410-000"/>
    <x v="1"/>
    <s v="BIANCA FEREZIN"/>
    <x v="1"/>
    <n v="39"/>
    <x v="0"/>
    <n v="2250"/>
    <d v="2021-03-29T00:00:00"/>
    <x v="2"/>
    <x v="9"/>
  </r>
  <r>
    <x v="18"/>
    <n v="2500"/>
    <n v="4"/>
    <s v="R. Brasílio Itiberê, 3279 - Água Verde, Curitiba - PR, 80250-160"/>
    <x v="3"/>
    <s v="BEATRIZ SANTOS"/>
    <x v="1"/>
    <n v="63"/>
    <x v="1"/>
    <n v="10000"/>
    <d v="2021-08-20T00:00:00"/>
    <x v="2"/>
    <x v="7"/>
  </r>
  <r>
    <x v="11"/>
    <n v="2000"/>
    <n v="3"/>
    <s v="Av. Barão Homem de Melo, 1389 - Nova Granada, Belo Horizonte - MG, 30431-425"/>
    <x v="7"/>
    <s v="RUAN LOPES"/>
    <x v="0"/>
    <n v="26"/>
    <x v="2"/>
    <n v="6000"/>
    <d v="2021-03-22T00:00:00"/>
    <x v="2"/>
    <x v="9"/>
  </r>
  <r>
    <x v="13"/>
    <n v="1550"/>
    <n v="4"/>
    <s v="R. Luíz Faccini, 212 - Centro, Guarulhos - SP, 07110-000"/>
    <x v="0"/>
    <s v="JOÃO BACH"/>
    <x v="0"/>
    <n v="45"/>
    <x v="0"/>
    <n v="6200"/>
    <d v="2021-03-01T00:00:00"/>
    <x v="2"/>
    <x v="9"/>
  </r>
  <r>
    <x v="4"/>
    <n v="700"/>
    <n v="1"/>
    <s v="Av. Mal. Floriano Peixoto, 2248-2258 - Centro, Nova Iguaçu - RJ, 26210-000"/>
    <x v="1"/>
    <s v="BRUNO URSULINO"/>
    <x v="0"/>
    <n v="39"/>
    <x v="0"/>
    <n v="700"/>
    <d v="2021-08-28T00:00:00"/>
    <x v="2"/>
    <x v="7"/>
  </r>
  <r>
    <x v="22"/>
    <n v="2400"/>
    <n v="2"/>
    <s v="Shopping Barra - Av. Centenário, 2992 - Barra, Salvador - BA, 40155-150"/>
    <x v="5"/>
    <s v="LUCAS LACERDA"/>
    <x v="0"/>
    <n v="25"/>
    <x v="2"/>
    <n v="4800"/>
    <d v="2021-03-07T00:00:00"/>
    <x v="2"/>
    <x v="9"/>
  </r>
  <r>
    <x v="22"/>
    <n v="2400"/>
    <n v="3"/>
    <s v="R. Visc. de Pirajá, 136 - Ipanema, Rio de Janeiro - RJ, 22410-000"/>
    <x v="1"/>
    <s v="PEDRO CONCEIÇÃO"/>
    <x v="0"/>
    <n v="59"/>
    <x v="1"/>
    <n v="7200"/>
    <d v="2021-03-15T00:00:00"/>
    <x v="2"/>
    <x v="9"/>
  </r>
  <r>
    <x v="23"/>
    <n v="1100"/>
    <n v="4"/>
    <s v="Shopping Barra - Av. Centenário, 2992 - Barra, Salvador - BA, 40155-150"/>
    <x v="5"/>
    <s v="GIUSEPPE BHERING"/>
    <x v="0"/>
    <n v="53"/>
    <x v="1"/>
    <n v="4400"/>
    <d v="2021-11-18T00:00:00"/>
    <x v="2"/>
    <x v="10"/>
  </r>
  <r>
    <x v="4"/>
    <n v="700"/>
    <n v="4"/>
    <s v="Av. Dom Luís, 500 - Aldeota, Fortaleza - CE, 60160-230"/>
    <x v="2"/>
    <s v="RAUL SILVEIRA"/>
    <x v="0"/>
    <n v="70"/>
    <x v="1"/>
    <n v="2800"/>
    <d v="2021-09-05T00:00:00"/>
    <x v="2"/>
    <x v="1"/>
  </r>
  <r>
    <x v="23"/>
    <n v="1100"/>
    <n v="3"/>
    <s v="Av. Goiás Norte, 3.592 - quadra 2.1 - St. Mal. Rondon, Goiânia - GO, 74063-010"/>
    <x v="4"/>
    <s v="IVES PINHEIRO"/>
    <x v="1"/>
    <n v="36"/>
    <x v="0"/>
    <n v="3300"/>
    <d v="2021-09-07T00:00:00"/>
    <x v="2"/>
    <x v="1"/>
  </r>
  <r>
    <x v="8"/>
    <n v="1400"/>
    <n v="3"/>
    <s v="Av. Dom Luís, 500 - Aldeota, Fortaleza - CE, 60160-230"/>
    <x v="2"/>
    <s v="MARINA MARINS"/>
    <x v="1"/>
    <n v="75"/>
    <x v="1"/>
    <n v="4200"/>
    <d v="2021-06-04T00:00:00"/>
    <x v="2"/>
    <x v="3"/>
  </r>
  <r>
    <x v="22"/>
    <n v="2400"/>
    <n v="1"/>
    <s v="Rua Antônio Lumack do Monte, 203 - 1 - Boa Viagem, Recife - PE, 51020-350"/>
    <x v="6"/>
    <s v="LUIZA FARIAS"/>
    <x v="1"/>
    <n v="54"/>
    <x v="1"/>
    <n v="2400"/>
    <d v="2021-10-29T00:00:00"/>
    <x v="2"/>
    <x v="6"/>
  </r>
  <r>
    <x v="8"/>
    <n v="1400"/>
    <n v="5"/>
    <s v="Av. Dom Luís, 500 - Aldeota, Fortaleza - CE, 60160-230"/>
    <x v="2"/>
    <s v="JOÃO MONTEIRO"/>
    <x v="0"/>
    <n v="42"/>
    <x v="0"/>
    <n v="7000"/>
    <d v="2021-04-28T00:00:00"/>
    <x v="2"/>
    <x v="2"/>
  </r>
  <r>
    <x v="7"/>
    <n v="2600"/>
    <n v="3"/>
    <s v="R. Luíz Faccini, 212 - Centro, Guarulhos - SP, 07110-000"/>
    <x v="0"/>
    <s v="GIOVANA VILELA"/>
    <x v="1"/>
    <n v="53"/>
    <x v="1"/>
    <n v="7800"/>
    <d v="2021-07-29T00:00:00"/>
    <x v="2"/>
    <x v="0"/>
  </r>
  <r>
    <x v="13"/>
    <n v="1550"/>
    <n v="3"/>
    <s v="R. Luíz Faccini, 212 - Centro, Guarulhos - SP, 07110-000"/>
    <x v="0"/>
    <s v="MATEUS POLASTRI"/>
    <x v="0"/>
    <n v="57"/>
    <x v="1"/>
    <n v="4650"/>
    <d v="2021-01-15T00:00:00"/>
    <x v="2"/>
    <x v="5"/>
  </r>
  <r>
    <x v="0"/>
    <n v="4500"/>
    <n v="1"/>
    <s v="Rua Quinze de Novembro, 8 - Loja 301a Loja 301b - Centro, Niterói - RJ, 24020-125"/>
    <x v="1"/>
    <s v="THAÍS PEREIRA"/>
    <x v="1"/>
    <n v="56"/>
    <x v="1"/>
    <n v="4500"/>
    <d v="2021-11-08T00:00:00"/>
    <x v="2"/>
    <x v="10"/>
  </r>
  <r>
    <x v="19"/>
    <n v="1750"/>
    <n v="5"/>
    <s v="Av. Barão Homem de Melo, 1389 - Nova Granada, Belo Horizonte - MG, 30431-425"/>
    <x v="7"/>
    <s v="MICHELLE FIGUEIREDO"/>
    <x v="1"/>
    <n v="47"/>
    <x v="0"/>
    <n v="8750"/>
    <d v="2021-10-19T00:00:00"/>
    <x v="2"/>
    <x v="6"/>
  </r>
  <r>
    <x v="12"/>
    <n v="1500"/>
    <n v="2"/>
    <s v="R. Teodoro Sampaio, 954 - Pinheiros, São Paulo - SP, 05406-050"/>
    <x v="0"/>
    <s v="LUCAS COSTA"/>
    <x v="0"/>
    <n v="75"/>
    <x v="1"/>
    <n v="3000"/>
    <d v="2021-11-16T00:00:00"/>
    <x v="2"/>
    <x v="10"/>
  </r>
  <r>
    <x v="11"/>
    <n v="2000"/>
    <n v="2"/>
    <s v="R. Luíz Faccini, 212 - Centro, Guarulhos - SP, 07110-000"/>
    <x v="0"/>
    <s v="HYGOR ESSABER"/>
    <x v="0"/>
    <n v="29"/>
    <x v="2"/>
    <n v="4000"/>
    <d v="2021-06-21T00:00:00"/>
    <x v="2"/>
    <x v="3"/>
  </r>
  <r>
    <x v="18"/>
    <n v="2500"/>
    <n v="4"/>
    <s v="Rua Antônio Lumack do Monte, 203 - 1 - Boa Viagem, Recife - PE, 51020-350"/>
    <x v="6"/>
    <s v="LUIZA FARIAS"/>
    <x v="1"/>
    <n v="54"/>
    <x v="1"/>
    <n v="10000"/>
    <d v="2021-01-01T00:00:00"/>
    <x v="2"/>
    <x v="5"/>
  </r>
  <r>
    <x v="8"/>
    <n v="1400"/>
    <n v="4"/>
    <s v="R. Teodoro Sampaio, 954 - Pinheiros, São Paulo - SP, 05406-050"/>
    <x v="0"/>
    <s v="RAÍSSA OLIVEIRA"/>
    <x v="1"/>
    <n v="31"/>
    <x v="0"/>
    <n v="5600"/>
    <d v="2021-11-26T00:00:00"/>
    <x v="2"/>
    <x v="10"/>
  </r>
  <r>
    <x v="23"/>
    <n v="1100"/>
    <n v="1"/>
    <s v="Av. Goiás Norte, 3.592 - quadra 2.1 - St. Mal. Rondon, Goiânia - GO, 74063-010"/>
    <x v="4"/>
    <s v="EDUARDO SOARES"/>
    <x v="0"/>
    <n v="60"/>
    <x v="1"/>
    <n v="1100"/>
    <d v="2021-03-24T00:00:00"/>
    <x v="2"/>
    <x v="9"/>
  </r>
  <r>
    <x v="11"/>
    <n v="2000"/>
    <n v="1"/>
    <s v="Av. Dom Luís, 500 - Aldeota, Fortaleza - CE, 60160-230"/>
    <x v="2"/>
    <s v="RAUL SILVEIRA"/>
    <x v="0"/>
    <n v="70"/>
    <x v="1"/>
    <n v="2000"/>
    <d v="2021-01-09T00:00:00"/>
    <x v="2"/>
    <x v="5"/>
  </r>
  <r>
    <x v="6"/>
    <n v="6500"/>
    <n v="4"/>
    <s v="Rua Antônio Lumack do Monte, 203 - 1 - Boa Viagem, Recife - PE, 51020-350"/>
    <x v="6"/>
    <s v="ISABELA RESENDE"/>
    <x v="1"/>
    <n v="74"/>
    <x v="1"/>
    <n v="26000"/>
    <d v="2021-05-10T00:00:00"/>
    <x v="2"/>
    <x v="11"/>
  </r>
  <r>
    <x v="2"/>
    <n v="1900"/>
    <n v="1"/>
    <s v="Av. Goiás Norte, 3.592 - quadra 2.1 - St. Mal. Rondon, Goiânia - GO, 74063-010"/>
    <x v="4"/>
    <s v="PAULA CAVALCANTI"/>
    <x v="1"/>
    <n v="53"/>
    <x v="1"/>
    <n v="1900"/>
    <d v="2021-08-21T00:00:00"/>
    <x v="2"/>
    <x v="7"/>
  </r>
  <r>
    <x v="0"/>
    <n v="4500"/>
    <n v="4"/>
    <s v="R. Luíz Faccini, 212 - Centro, Guarulhos - SP, 07110-000"/>
    <x v="0"/>
    <s v="EDUARDO NUNES"/>
    <x v="0"/>
    <n v="30"/>
    <x v="0"/>
    <n v="18000"/>
    <d v="2021-01-12T00:00:00"/>
    <x v="2"/>
    <x v="5"/>
  </r>
  <r>
    <x v="12"/>
    <n v="1500"/>
    <n v="1"/>
    <s v="R. Visc. de Pirajá, 136 - Ipanema, Rio de Janeiro - RJ, 22410-000"/>
    <x v="1"/>
    <s v="BIANCA FEREZIN"/>
    <x v="1"/>
    <n v="39"/>
    <x v="0"/>
    <n v="1500"/>
    <d v="2021-11-04T00:00:00"/>
    <x v="2"/>
    <x v="10"/>
  </r>
  <r>
    <x v="18"/>
    <n v="2500"/>
    <n v="5"/>
    <s v="Rua Quinze de Novembro, 8 - Loja 301a Loja 301b - Centro, Niterói - RJ, 24020-125"/>
    <x v="1"/>
    <s v="JULIANA SILVA"/>
    <x v="1"/>
    <n v="35"/>
    <x v="0"/>
    <n v="12500"/>
    <d v="2021-10-23T00:00:00"/>
    <x v="2"/>
    <x v="6"/>
  </r>
  <r>
    <x v="5"/>
    <n v="1450"/>
    <n v="2"/>
    <s v="R. Brasílio Itiberê, 3279 - Água Verde, Curitiba - PR, 80250-160"/>
    <x v="3"/>
    <s v="DANILO ALVES"/>
    <x v="0"/>
    <n v="34"/>
    <x v="0"/>
    <n v="2900"/>
    <d v="2021-12-03T00:00:00"/>
    <x v="2"/>
    <x v="8"/>
  </r>
  <r>
    <x v="11"/>
    <n v="2000"/>
    <n v="2"/>
    <s v="Rua Antônio Lumack do Monte, 203 - 1 - Boa Viagem, Recife - PE, 51020-350"/>
    <x v="6"/>
    <s v="RENAN CUNHA"/>
    <x v="0"/>
    <n v="35"/>
    <x v="0"/>
    <n v="4000"/>
    <d v="2021-04-06T00:00:00"/>
    <x v="2"/>
    <x v="2"/>
  </r>
  <r>
    <x v="5"/>
    <n v="1450"/>
    <n v="3"/>
    <s v="Rua Quinze de Novembro, 8 - Loja 301a Loja 301b - Centro, Niterói - RJ, 24020-125"/>
    <x v="1"/>
    <s v="MARIA MOTTA"/>
    <x v="1"/>
    <n v="27"/>
    <x v="2"/>
    <n v="4350"/>
    <d v="2021-05-05T00:00:00"/>
    <x v="2"/>
    <x v="11"/>
  </r>
  <r>
    <x v="9"/>
    <n v="2000"/>
    <n v="2"/>
    <s v="R. Brasílio Itiberê, 3279 - Água Verde, Curitiba - PR, 80250-160"/>
    <x v="3"/>
    <s v="MATHEUS DELGADO"/>
    <x v="0"/>
    <n v="44"/>
    <x v="0"/>
    <n v="4000"/>
    <d v="2021-06-30T00:00:00"/>
    <x v="2"/>
    <x v="3"/>
  </r>
  <r>
    <x v="4"/>
    <n v="700"/>
    <n v="1"/>
    <s v="Rua Antônio Lumack do Monte, 203 - 1 - Boa Viagem, Recife - PE, 51020-350"/>
    <x v="6"/>
    <s v="RAÍSA RODRIGUES"/>
    <x v="1"/>
    <n v="68"/>
    <x v="1"/>
    <n v="700"/>
    <d v="2021-08-22T00:00:00"/>
    <x v="2"/>
    <x v="7"/>
  </r>
  <r>
    <x v="13"/>
    <n v="1550"/>
    <n v="2"/>
    <s v="R. Luíz Faccini, 212 - Centro, Guarulhos - SP, 07110-000"/>
    <x v="0"/>
    <s v="JULIA SILVA"/>
    <x v="1"/>
    <n v="29"/>
    <x v="2"/>
    <n v="3100"/>
    <d v="2021-09-14T00:00:00"/>
    <x v="2"/>
    <x v="1"/>
  </r>
  <r>
    <x v="20"/>
    <n v="5500"/>
    <n v="2"/>
    <s v="Shopping Barra - Av. Centenário, 2992 - Barra, Salvador - BA, 40155-150"/>
    <x v="5"/>
    <s v="HENRIQUE OLIVEIRA"/>
    <x v="0"/>
    <n v="55"/>
    <x v="1"/>
    <n v="11000"/>
    <d v="2021-07-10T00:00:00"/>
    <x v="2"/>
    <x v="0"/>
  </r>
  <r>
    <x v="3"/>
    <n v="1500"/>
    <n v="1"/>
    <s v="Shopping Barra - Av. Centenário, 2992 - Barra, Salvador - BA, 40155-150"/>
    <x v="5"/>
    <s v="TADEU SOUSA"/>
    <x v="0"/>
    <n v="43"/>
    <x v="0"/>
    <n v="1500"/>
    <d v="2021-02-13T00:00:00"/>
    <x v="2"/>
    <x v="4"/>
  </r>
  <r>
    <x v="20"/>
    <n v="5500"/>
    <n v="1"/>
    <s v="R. Brasílio Itiberê, 3279 - Água Verde, Curitiba - PR, 80250-160"/>
    <x v="3"/>
    <s v="ANNA SILVA"/>
    <x v="1"/>
    <n v="69"/>
    <x v="1"/>
    <n v="5500"/>
    <d v="2021-06-24T00:00:00"/>
    <x v="2"/>
    <x v="3"/>
  </r>
  <r>
    <x v="4"/>
    <n v="700"/>
    <n v="3"/>
    <s v="Av. Mal. Floriano Peixoto, 2248-2258 - Centro, Nova Iguaçu - RJ, 26210-000"/>
    <x v="1"/>
    <s v="FELIPE JÚNIOR"/>
    <x v="0"/>
    <n v="61"/>
    <x v="1"/>
    <n v="2100"/>
    <d v="2021-03-10T00:00:00"/>
    <x v="2"/>
    <x v="9"/>
  </r>
  <r>
    <x v="2"/>
    <n v="1900"/>
    <n v="4"/>
    <s v="R. Brasílio Itiberê, 3279 - Água Verde, Curitiba - PR, 80250-160"/>
    <x v="3"/>
    <s v="MATHEUS DELGADO"/>
    <x v="0"/>
    <n v="44"/>
    <x v="0"/>
    <n v="7600"/>
    <d v="2021-07-05T00:00:00"/>
    <x v="2"/>
    <x v="0"/>
  </r>
  <r>
    <x v="21"/>
    <n v="5200"/>
    <n v="1"/>
    <s v="Av. Barão Homem de Melo, 1389 - Nova Granada, Belo Horizonte - MG, 30431-425"/>
    <x v="7"/>
    <s v="LUCAS VALIM"/>
    <x v="0"/>
    <n v="62"/>
    <x v="1"/>
    <n v="5200"/>
    <d v="2021-06-25T00:00:00"/>
    <x v="2"/>
    <x v="3"/>
  </r>
  <r>
    <x v="10"/>
    <n v="750"/>
    <n v="2"/>
    <s v="Shopping Barra - Av. Centenário, 2992 - Barra, Salvador - BA, 40155-150"/>
    <x v="5"/>
    <s v="ROGÉRIO GENTILE"/>
    <x v="0"/>
    <n v="27"/>
    <x v="2"/>
    <n v="1500"/>
    <d v="2021-04-20T00:00:00"/>
    <x v="2"/>
    <x v="2"/>
  </r>
  <r>
    <x v="0"/>
    <n v="4500"/>
    <n v="4"/>
    <s v="R. Dr. Antônio Castro Prado, 422 - Vila Rossi e Borchi, Campinas - SP, 13076-130"/>
    <x v="0"/>
    <s v="CAIO AFFONSO"/>
    <x v="0"/>
    <n v="59"/>
    <x v="1"/>
    <n v="18000"/>
    <d v="2021-07-29T00:00:00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DFE091-230E-48DD-872C-15F775AF08A1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A6" firstHeaderRow="1" firstDataRow="1" firstDataCol="0"/>
  <pivotFields count="13">
    <pivotField showAll="0"/>
    <pivotField showAll="0"/>
    <pivotField dataField="1"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showAll="0"/>
    <pivotField showAll="0"/>
    <pivotField numFmtId="14" showAll="0"/>
    <pivotField showAll="0">
      <items count="4">
        <item x="1"/>
        <item h="1" x="2"/>
        <item h="1" x="0"/>
        <item t="default"/>
      </items>
    </pivotField>
    <pivotField showAll="0"/>
  </pivotFields>
  <rowItems count="1">
    <i/>
  </rowItems>
  <colItems count="1">
    <i/>
  </colItems>
  <dataFields count="1">
    <dataField name="Soma de Quantidade Vendida" fld="2" baseField="0" baseItem="0" numFmtId="165"/>
  </dataFields>
  <formats count="1"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6E996F-D905-4156-8255-64698C718E2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A2" firstHeaderRow="1" firstDataRow="1" firstDataCol="0"/>
  <pivotFields count="13">
    <pivotField showAll="0"/>
    <pivotField showAll="0"/>
    <pivotField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showAll="0"/>
    <pivotField dataField="1" showAll="0"/>
    <pivotField numFmtId="14" showAll="0"/>
    <pivotField showAll="0">
      <items count="4">
        <item x="1"/>
        <item h="1" x="2"/>
        <item h="1" x="0"/>
        <item t="default"/>
      </items>
    </pivotField>
    <pivotField showAll="0"/>
  </pivotFields>
  <rowItems count="1">
    <i/>
  </rowItems>
  <colItems count="1">
    <i/>
  </colItems>
  <dataFields count="1">
    <dataField name="Soma de Valor Total" fld="9" baseField="0" baseItem="0" numFmtId="164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5BDC78-D731-4B16-BB1E-86ED1909AF11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14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showAll="0"/>
    <pivotField dataField="1" showAll="0"/>
    <pivotField numFmtId="14" showAll="0"/>
    <pivotField showAll="0">
      <items count="4">
        <item x="1"/>
        <item h="1" x="2"/>
        <item h="1" x="0"/>
        <item t="default"/>
      </items>
    </pivotField>
    <pivotField axis="axisRow" showAll="0">
      <items count="13">
        <item x="5"/>
        <item x="4"/>
        <item x="9"/>
        <item x="2"/>
        <item x="11"/>
        <item x="3"/>
        <item x="0"/>
        <item x="7"/>
        <item x="1"/>
        <item x="6"/>
        <item x="10"/>
        <item x="8"/>
        <item t="default"/>
      </items>
    </pivotField>
  </pivotFields>
  <rowFields count="1">
    <field x="1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 Total" fld="9" baseField="0" baseItem="0"/>
  </dataFields>
  <formats count="1">
    <format dxfId="27">
      <pivotArea collapsedLevelsAreSubtotals="1" fieldPosition="0">
        <references count="1">
          <reference field="12" count="0"/>
        </references>
      </pivotArea>
    </format>
  </formats>
  <chartFormats count="2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4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4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5329C8-E835-47AE-BAEB-74630DD280F3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B6" firstHeaderRow="1" firstDataRow="1" firstDataCol="1"/>
  <pivotFields count="13">
    <pivotField showAll="0"/>
    <pivotField showAll="0"/>
    <pivotField showAll="0"/>
    <pivotField showAll="0"/>
    <pivotField axis="axisRow" showAll="0" measureFilter="1" sortType="ascending">
      <items count="10">
        <item x="5"/>
        <item x="2"/>
        <item x="4"/>
        <item x="7"/>
        <item x="6"/>
        <item x="3"/>
        <item x="1"/>
        <item x="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h="1" x="0"/>
        <item t="default"/>
      </items>
    </pivotField>
    <pivotField showAll="0"/>
    <pivotField showAll="0"/>
    <pivotField dataField="1" showAll="0"/>
    <pivotField numFmtId="14" showAll="0"/>
    <pivotField showAll="0">
      <items count="4">
        <item x="1"/>
        <item h="1" x="2"/>
        <item h="1" x="0"/>
        <item t="default"/>
      </items>
    </pivotField>
    <pivotField showAll="0"/>
  </pivotFields>
  <rowFields count="1">
    <field x="4"/>
  </rowFields>
  <rowItems count="5"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Soma de Valor Total" fld="9" baseField="0" baseItem="0"/>
  </dataFields>
  <formats count="1">
    <format dxfId="26">
      <pivotArea collapsedLevelsAreSubtotals="1" fieldPosition="0">
        <references count="1">
          <reference field="4" count="0"/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06A64-6B17-4370-B527-55CC65A7EA02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14" firstHeaderRow="1" firstDataRow="1" firstDataCol="1"/>
  <pivotFields count="13">
    <pivotField showAll="0"/>
    <pivotField showAll="0"/>
    <pivotField dataField="1"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showAll="0"/>
    <pivotField showAll="0"/>
    <pivotField numFmtId="14" showAll="0"/>
    <pivotField showAll="0">
      <items count="4">
        <item x="1"/>
        <item h="1" x="2"/>
        <item h="1" x="0"/>
        <item t="default"/>
      </items>
    </pivotField>
    <pivotField axis="axisRow" showAll="0">
      <items count="13">
        <item x="5"/>
        <item x="4"/>
        <item x="9"/>
        <item x="2"/>
        <item x="11"/>
        <item x="3"/>
        <item x="0"/>
        <item x="7"/>
        <item x="1"/>
        <item x="6"/>
        <item x="10"/>
        <item x="8"/>
        <item t="default"/>
      </items>
    </pivotField>
  </pivotFields>
  <rowFields count="1">
    <field x="1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Quantidade Vendid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E0527A-3A15-450E-91FE-36F1407F9E5A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5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numFmtId="14" showAll="0"/>
    <pivotField showAll="0">
      <items count="4">
        <item x="1"/>
        <item h="1" x="2"/>
        <item h="1" x="0"/>
        <item t="default"/>
      </items>
    </pivotField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Total" fld="9" baseField="0" baseItem="0"/>
  </dataFields>
  <formats count="1">
    <format dxfId="25">
      <pivotArea collapsedLevelsAreSubtotals="1" fieldPosition="0">
        <references count="1">
          <reference field="8" count="0"/>
        </references>
      </pivotArea>
    </format>
  </formats>
  <chartFormats count="8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B57D71-D591-46F8-886A-FE96011D1A06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13">
    <pivotField axis="axisRow" showAll="0" measureFilter="1" sortType="descending">
      <items count="31">
        <item x="8"/>
        <item x="11"/>
        <item m="1" x="28"/>
        <item m="1" x="27"/>
        <item x="9"/>
        <item x="21"/>
        <item x="7"/>
        <item m="1" x="24"/>
        <item x="3"/>
        <item x="1"/>
        <item x="6"/>
        <item x="18"/>
        <item x="2"/>
        <item x="10"/>
        <item x="17"/>
        <item x="15"/>
        <item x="0"/>
        <item x="23"/>
        <item x="20"/>
        <item m="1" x="29"/>
        <item m="1" x="25"/>
        <item m="1" x="26"/>
        <item x="22"/>
        <item x="19"/>
        <item x="4"/>
        <item x="5"/>
        <item x="16"/>
        <item x="13"/>
        <item x="14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>
      <items count="3">
        <item x="1"/>
        <item h="1" x="0"/>
        <item t="default"/>
      </items>
    </pivotField>
    <pivotField showAll="0"/>
    <pivotField showAll="0"/>
    <pivotField showAll="0"/>
    <pivotField numFmtId="14" showAll="0"/>
    <pivotField showAll="0">
      <items count="4">
        <item x="1"/>
        <item h="1" x="2"/>
        <item h="1" x="0"/>
        <item t="default"/>
      </items>
    </pivotField>
    <pivotField showAll="0"/>
  </pivotFields>
  <rowFields count="1">
    <field x="0"/>
  </rowFields>
  <rowItems count="4">
    <i>
      <x v="15"/>
    </i>
    <i>
      <x v="6"/>
    </i>
    <i>
      <x v="29"/>
    </i>
    <i t="grand">
      <x/>
    </i>
  </rowItems>
  <colItems count="1">
    <i/>
  </colItems>
  <dataFields count="1">
    <dataField name="Soma de Quantidade Vendida" fld="2" baseField="0" baseItem="0"/>
  </dataField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B27B77CA-090C-4BE2-8F3C-4D68AD89E7EB}" autoFormatId="16" applyNumberFormats="0" applyBorderFormats="0" applyFontFormats="0" applyPatternFormats="0" applyAlignmentFormats="0" applyWidthHeightFormats="0">
  <queryTableRefresh nextId="17" unboundColumnsRight="1">
    <queryTableFields count="13">
      <queryTableField id="1" name="Produto" tableColumnId="1"/>
      <queryTableField id="13" name="Preço Unitário" tableColumnId="13"/>
      <queryTableField id="3" name="Quantidade Vendida" tableColumnId="3"/>
      <queryTableField id="4" name="Loja" tableColumnId="4"/>
      <queryTableField id="5" name="Estado" tableColumnId="5"/>
      <queryTableField id="6" name="Nome Completo" tableColumnId="6"/>
      <queryTableField id="7" name="Gênero" tableColumnId="7"/>
      <queryTableField id="8" name="Idade" tableColumnId="8"/>
      <queryTableField id="9" name="Faixa Etária" tableColumnId="9"/>
      <queryTableField id="10" name="Valor Total" tableColumnId="10"/>
      <queryTableField id="11" name="Data da Venda" tableColumnId="11"/>
      <queryTableField id="16" name="Ano" tableColumnId="2"/>
      <queryTableField id="15" dataBound="0" tableColumnId="1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4">
  <rv s="0">
    <v>0</v>
    <v>5</v>
    <v>Smartphone com preenchimento sólido</v>
  </rv>
  <rv s="0">
    <v>1</v>
    <v>4</v>
    <v>Smartphone com preenchimento sólido</v>
  </rv>
  <rv s="0">
    <v>2</v>
    <v>5</v>
    <v>Smartphone estrutura de tópicos</v>
  </rv>
  <rv s="0">
    <v>3</v>
    <v>4</v>
    <v>Monitor com preenchimento sólido</v>
  </rv>
  <rv s="0">
    <v>4</v>
    <v>5</v>
    <v>Câmera estrutura de tópicos</v>
  </rv>
  <rv s="0">
    <v>5</v>
    <v>4</v>
    <v>Vibração do telefone com preenchimento sólido</v>
  </rv>
  <rv s="0">
    <v>6</v>
    <v>5</v>
    <v>Câmera com preenchimento sólido</v>
  </rv>
  <rv s="0">
    <v>7</v>
    <v>5</v>
    <v>Câmera com preenchimento sólido</v>
  </rv>
  <rv s="0">
    <v>8</v>
    <v>5</v>
    <v>Smartphone com preenchimento sólido</v>
  </rv>
  <rv s="0">
    <v>9</v>
    <v>5</v>
    <v>Smartphone com preenchimento sólido</v>
  </rv>
  <rv s="0">
    <v>10</v>
    <v>5</v>
    <v>Smartphone com preenchimento sólido</v>
  </rv>
  <rv s="0">
    <v>1</v>
    <v>5</v>
    <v>Smartphone com preenchimento sólido</v>
  </rv>
  <rv s="0">
    <v>11</v>
    <v>5</v>
    <v>Smartphone com preenchimento sólido</v>
  </rv>
  <rv s="0">
    <v>12</v>
    <v>5</v>
    <v>Tablet com preenchimento sólido</v>
  </rv>
  <rv s="0">
    <v>13</v>
    <v>5</v>
    <v>Smartphone com preenchimento sólido</v>
  </rv>
  <rv s="0">
    <v>14</v>
    <v>5</v>
    <v>Smartphone com preenchimento sólido</v>
  </rv>
  <rv s="0">
    <v>15</v>
    <v>5</v>
    <v>Serviço bancário online com preenchimento sólido</v>
  </rv>
  <rv s="0">
    <v>16</v>
    <v>5</v>
    <v>Smartphone estrutura de tópicos</v>
  </rv>
  <rv s="0">
    <v>5</v>
    <v>5</v>
    <v>Vibração do telefone com preenchimento sólido</v>
  </rv>
  <rv s="0">
    <v>3</v>
    <v>5</v>
    <v>Monitor com preenchimento sólido</v>
  </rv>
  <rv s="0">
    <v>17</v>
    <v>5</v>
    <v>Relógio com preenchimento sólido</v>
  </rv>
  <rv s="0">
    <v>18</v>
    <v>5</v>
    <v>Relógio com preenchimento sólido</v>
  </rv>
  <rv s="0">
    <v>19</v>
    <v>5</v>
    <v>Tablet com preenchimento sólido</v>
  </rv>
  <rv s="0">
    <v>20</v>
    <v>5</v>
    <v>Televisão com preenchimento sólido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ênero" xr10:uid="{0F7AF1B5-133F-40E2-A83E-EF7B61A15287}" sourceName="Gênero">
  <pivotTables>
    <pivotTable tabId="18" name="Tabela dinâmica1"/>
    <pivotTable tabId="18" name="Tabela dinâmica2"/>
    <pivotTable tabId="20" name="Tabela dinâmica3"/>
    <pivotTable tabId="22" name="Tabela dinâmica4"/>
    <pivotTable tabId="19" name="Tabela dinâmica5"/>
    <pivotTable tabId="23" name="Tabela dinâmica6"/>
    <pivotTable tabId="24" name="Tabela dinâmica1"/>
  </pivotTables>
  <data>
    <tabular pivotCacheId="1193137139" sortOrder="descending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FD34A2D3-330C-405F-816E-D68EECAD71CB}" sourceName="Ano">
  <pivotTables>
    <pivotTable tabId="18" name="Tabela dinâmica1"/>
    <pivotTable tabId="18" name="Tabela dinâmica2"/>
    <pivotTable tabId="20" name="Tabela dinâmica3"/>
    <pivotTable tabId="22" name="Tabela dinâmica4"/>
    <pivotTable tabId="19" name="Tabela dinâmica5"/>
    <pivotTable tabId="23" name="Tabela dinâmica6"/>
    <pivotTable tabId="24" name="Tabela dinâmica1"/>
  </pivotTables>
  <data>
    <tabular pivotCacheId="1193137139">
      <items count="3">
        <i x="1" s="1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ênero 1" xr10:uid="{8905D687-82B7-445D-B5E2-3DD5C6A2533B}" cache="SegmentaçãodeDados_Gênero" caption="Gênero" columnCount="2" showCaption="0" style="Estilo de Segmentação de Dados 2" rowHeight="241300"/>
  <slicer name="Ano 1" xr10:uid="{11DEA61B-8204-4844-A173-C1A0F65B241C}" cache="SegmentaçãodeDados_Ano" caption="Ano" columnCount="3" showCaption="0" style="Estilo de Segmentação de Dados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7E723B-A5CB-4635-AE19-A6582A5F818E}" name="_2020_2022" displayName="_2020_2022" ref="A1:M3061" tableType="queryTable" totalsRowShown="0">
  <tableColumns count="13">
    <tableColumn id="1" xr3:uid="{5E458698-DA82-4263-B5CE-9378C1C5CD22}" uniqueName="1" name="Produto" queryTableFieldId="1" dataDxfId="36"/>
    <tableColumn id="13" xr3:uid="{2AF1CF1E-E751-45B1-A692-C7FBD5064722}" uniqueName="13" name="Preço Unitário" queryTableFieldId="13"/>
    <tableColumn id="3" xr3:uid="{CF0B7C83-CE97-445E-9EF7-5E6BAD3ED824}" uniqueName="3" name="Quantidade Vendida" queryTableFieldId="3"/>
    <tableColumn id="4" xr3:uid="{7CE39AEB-E711-41F7-A4F1-E9AE4CF69DC9}" uniqueName="4" name="Loja" queryTableFieldId="4" dataDxfId="35"/>
    <tableColumn id="5" xr3:uid="{131616B7-4B80-444C-8EF7-A4A50F675295}" uniqueName="5" name="Estado" queryTableFieldId="5" dataDxfId="34"/>
    <tableColumn id="6" xr3:uid="{55C8C441-9CF8-43BB-94EE-EA97703AFF35}" uniqueName="6" name="Nome Completo" queryTableFieldId="6" dataDxfId="33"/>
    <tableColumn id="7" xr3:uid="{7F44DF02-1D2D-45B5-80AB-57EC9D7110C8}" uniqueName="7" name="Gênero" queryTableFieldId="7" dataDxfId="32"/>
    <tableColumn id="8" xr3:uid="{35A8FF32-147B-4FC7-969D-848F0A761B10}" uniqueName="8" name="Idade" queryTableFieldId="8"/>
    <tableColumn id="9" xr3:uid="{CA8C9217-BC04-47AE-910B-43E7A067BED5}" uniqueName="9" name="Faixa Etária" queryTableFieldId="9"/>
    <tableColumn id="10" xr3:uid="{D61694D0-E8CD-4BCF-97A2-254BE045C1DD}" uniqueName="10" name="Valor Total" queryTableFieldId="10"/>
    <tableColumn id="11" xr3:uid="{9E897310-9DC0-4597-AE04-ACFAA7AE7B0F}" uniqueName="11" name="Data da Venda" queryTableFieldId="11" dataDxfId="31"/>
    <tableColumn id="2" xr3:uid="{091AEA22-A153-41D7-A191-DADE02468FD8}" uniqueName="2" name="Ano" queryTableFieldId="16"/>
    <tableColumn id="14" xr3:uid="{AFD92028-6395-4502-8FCC-950B93DB6F44}" uniqueName="14" name="Mês da Venda" queryTableFieldId="15" dataDxfId="30">
      <calculatedColumnFormula>UPPER(TEXT(_2020_2022[[#This Row],[Data da Venda]],"mmm"))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74AD6-4511-4472-89AB-E13F70F4E670}">
  <sheetPr codeName="Planilha1"/>
  <dimension ref="A1"/>
  <sheetViews>
    <sheetView showGridLines="0" showRowColHeaders="0" tabSelected="1" zoomScaleNormal="100" workbookViewId="0">
      <selection activeCell="O38" sqref="O3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3" max="23" width="9.140625" customWidth="1"/>
  </cols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Check Box 16">
              <controlPr defaultSize="0" autoFill="0" autoLine="0" autoPict="0" macro="[0]!Botão_Selecionar_Tudo">
                <anchor moveWithCells="1">
                  <from>
                    <xdr:col>11</xdr:col>
                    <xdr:colOff>123825</xdr:colOff>
                    <xdr:row>1</xdr:row>
                    <xdr:rowOff>142875</xdr:rowOff>
                  </from>
                  <to>
                    <xdr:col>13</xdr:col>
                    <xdr:colOff>28575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A137-5A0A-43F9-B735-581C521EF758}">
  <sheetPr codeName="Planilha2">
    <tabColor theme="7" tint="-0.249977111117893"/>
  </sheetPr>
  <dimension ref="A1:M3061"/>
  <sheetViews>
    <sheetView workbookViewId="0"/>
  </sheetViews>
  <sheetFormatPr defaultRowHeight="15" x14ac:dyDescent="0.25"/>
  <cols>
    <col min="1" max="1" width="29" bestFit="1" customWidth="1"/>
    <col min="2" max="2" width="13.85546875" bestFit="1" customWidth="1"/>
    <col min="3" max="3" width="19.5703125" bestFit="1" customWidth="1"/>
    <col min="4" max="4" width="73.85546875" bestFit="1" customWidth="1"/>
    <col min="5" max="5" width="6.85546875" bestFit="1" customWidth="1"/>
    <col min="6" max="6" width="24" bestFit="1" customWidth="1"/>
    <col min="7" max="7" width="10" bestFit="1" customWidth="1"/>
    <col min="8" max="8" width="6" bestFit="1" customWidth="1"/>
    <col min="9" max="9" width="18" bestFit="1" customWidth="1"/>
    <col min="10" max="10" width="10.5703125" bestFit="1" customWidth="1"/>
    <col min="11" max="11" width="13.85546875" bestFit="1" customWidth="1"/>
    <col min="12" max="12" width="5" bestFit="1" customWidth="1"/>
    <col min="13" max="13" width="13.7109375" bestFit="1" customWidth="1"/>
    <col min="14" max="14" width="15.7109375" bestFit="1" customWidth="1"/>
  </cols>
  <sheetData>
    <row r="1" spans="1:13" x14ac:dyDescent="0.25">
      <c r="A1" t="s">
        <v>3</v>
      </c>
      <c r="B1" t="s">
        <v>1417</v>
      </c>
      <c r="C1" t="s">
        <v>2</v>
      </c>
      <c r="D1" t="s">
        <v>0</v>
      </c>
      <c r="E1" t="s">
        <v>636</v>
      </c>
      <c r="F1" t="s">
        <v>637</v>
      </c>
      <c r="G1" t="s">
        <v>634</v>
      </c>
      <c r="H1" t="s">
        <v>638</v>
      </c>
      <c r="I1" t="s">
        <v>639</v>
      </c>
      <c r="J1" t="s">
        <v>640</v>
      </c>
      <c r="K1" t="s">
        <v>1</v>
      </c>
      <c r="L1" t="s">
        <v>1421</v>
      </c>
      <c r="M1" t="s">
        <v>1418</v>
      </c>
    </row>
    <row r="2" spans="1:13" x14ac:dyDescent="0.25">
      <c r="A2" t="s">
        <v>11</v>
      </c>
      <c r="B2">
        <v>4500</v>
      </c>
      <c r="C2">
        <v>4</v>
      </c>
      <c r="D2" t="s">
        <v>33</v>
      </c>
      <c r="E2" t="s">
        <v>641</v>
      </c>
      <c r="F2" t="s">
        <v>642</v>
      </c>
      <c r="G2" t="s">
        <v>643</v>
      </c>
      <c r="H2">
        <v>41</v>
      </c>
      <c r="I2" t="s">
        <v>644</v>
      </c>
      <c r="J2">
        <v>18000</v>
      </c>
      <c r="K2" s="1">
        <v>44756</v>
      </c>
      <c r="L2">
        <v>2022</v>
      </c>
      <c r="M2" t="str">
        <f>UPPER(TEXT(_2020_2022[[#This Row],[Data da Venda]],"mmm"))</f>
        <v>JUL</v>
      </c>
    </row>
    <row r="3" spans="1:13" x14ac:dyDescent="0.25">
      <c r="A3" t="s">
        <v>28</v>
      </c>
      <c r="B3">
        <v>1400</v>
      </c>
      <c r="C3">
        <v>5</v>
      </c>
      <c r="D3" t="s">
        <v>37</v>
      </c>
      <c r="E3" t="s">
        <v>645</v>
      </c>
      <c r="F3" t="s">
        <v>646</v>
      </c>
      <c r="G3" t="s">
        <v>643</v>
      </c>
      <c r="H3">
        <v>64</v>
      </c>
      <c r="I3" t="s">
        <v>647</v>
      </c>
      <c r="J3">
        <v>7000</v>
      </c>
      <c r="K3" s="1">
        <v>44816</v>
      </c>
      <c r="L3">
        <v>2022</v>
      </c>
      <c r="M3" t="str">
        <f>UPPER(TEXT(_2020_2022[[#This Row],[Data da Venda]],"mmm"))</f>
        <v>SET</v>
      </c>
    </row>
    <row r="4" spans="1:13" x14ac:dyDescent="0.25">
      <c r="A4" t="s">
        <v>15</v>
      </c>
      <c r="B4">
        <v>1900</v>
      </c>
      <c r="C4">
        <v>5</v>
      </c>
      <c r="D4" t="s">
        <v>38</v>
      </c>
      <c r="E4" t="s">
        <v>648</v>
      </c>
      <c r="F4" t="s">
        <v>649</v>
      </c>
      <c r="G4" t="s">
        <v>650</v>
      </c>
      <c r="H4">
        <v>27</v>
      </c>
      <c r="I4" t="s">
        <v>651</v>
      </c>
      <c r="J4">
        <v>9500</v>
      </c>
      <c r="K4" s="1">
        <v>44676</v>
      </c>
      <c r="L4">
        <v>2022</v>
      </c>
      <c r="M4" t="str">
        <f>UPPER(TEXT(_2020_2022[[#This Row],[Data da Venda]],"mmm"))</f>
        <v>ABR</v>
      </c>
    </row>
    <row r="5" spans="1:13" x14ac:dyDescent="0.25">
      <c r="A5" t="s">
        <v>9</v>
      </c>
      <c r="B5">
        <v>1500</v>
      </c>
      <c r="C5">
        <v>1</v>
      </c>
      <c r="D5" t="s">
        <v>32</v>
      </c>
      <c r="E5" t="s">
        <v>652</v>
      </c>
      <c r="F5" t="s">
        <v>653</v>
      </c>
      <c r="G5" t="s">
        <v>643</v>
      </c>
      <c r="H5">
        <v>27</v>
      </c>
      <c r="I5" t="s">
        <v>651</v>
      </c>
      <c r="J5">
        <v>1500</v>
      </c>
      <c r="K5" s="1">
        <v>44727</v>
      </c>
      <c r="L5">
        <v>2022</v>
      </c>
      <c r="M5" t="str">
        <f>UPPER(TEXT(_2020_2022[[#This Row],[Data da Venda]],"mmm"))</f>
        <v>JUN</v>
      </c>
    </row>
    <row r="6" spans="1:13" x14ac:dyDescent="0.25">
      <c r="A6" t="s">
        <v>1440</v>
      </c>
      <c r="B6">
        <v>700</v>
      </c>
      <c r="C6">
        <v>3</v>
      </c>
      <c r="D6" t="s">
        <v>30</v>
      </c>
      <c r="E6" t="s">
        <v>645</v>
      </c>
      <c r="F6" t="s">
        <v>654</v>
      </c>
      <c r="G6" t="s">
        <v>650</v>
      </c>
      <c r="H6">
        <v>62</v>
      </c>
      <c r="I6" t="s">
        <v>647</v>
      </c>
      <c r="J6">
        <v>2100</v>
      </c>
      <c r="K6" s="1">
        <v>44656</v>
      </c>
      <c r="L6">
        <v>2022</v>
      </c>
      <c r="M6" t="str">
        <f>UPPER(TEXT(_2020_2022[[#This Row],[Data da Venda]],"mmm"))</f>
        <v>ABR</v>
      </c>
    </row>
    <row r="7" spans="1:13" x14ac:dyDescent="0.25">
      <c r="A7" t="s">
        <v>15</v>
      </c>
      <c r="B7">
        <v>1900</v>
      </c>
      <c r="C7">
        <v>4</v>
      </c>
      <c r="D7" t="s">
        <v>30</v>
      </c>
      <c r="E7" t="s">
        <v>645</v>
      </c>
      <c r="F7" t="s">
        <v>655</v>
      </c>
      <c r="G7" t="s">
        <v>643</v>
      </c>
      <c r="H7">
        <v>75</v>
      </c>
      <c r="I7" t="s">
        <v>647</v>
      </c>
      <c r="J7">
        <v>7600</v>
      </c>
      <c r="K7" s="1">
        <v>44612</v>
      </c>
      <c r="L7">
        <v>2022</v>
      </c>
      <c r="M7" t="str">
        <f>UPPER(TEXT(_2020_2022[[#This Row],[Data da Venda]],"mmm"))</f>
        <v>FEV</v>
      </c>
    </row>
    <row r="8" spans="1:13" x14ac:dyDescent="0.25">
      <c r="A8" t="s">
        <v>1440</v>
      </c>
      <c r="B8">
        <v>700</v>
      </c>
      <c r="C8">
        <v>4</v>
      </c>
      <c r="D8" t="s">
        <v>38</v>
      </c>
      <c r="E8" t="s">
        <v>648</v>
      </c>
      <c r="F8" t="s">
        <v>656</v>
      </c>
      <c r="G8" t="s">
        <v>643</v>
      </c>
      <c r="H8">
        <v>37</v>
      </c>
      <c r="I8" t="s">
        <v>644</v>
      </c>
      <c r="J8">
        <v>2800</v>
      </c>
      <c r="K8" s="1">
        <v>44565</v>
      </c>
      <c r="L8">
        <v>2022</v>
      </c>
      <c r="M8" t="str">
        <f>UPPER(TEXT(_2020_2022[[#This Row],[Data da Venda]],"mmm"))</f>
        <v>JAN</v>
      </c>
    </row>
    <row r="9" spans="1:13" x14ac:dyDescent="0.25">
      <c r="A9" t="s">
        <v>1441</v>
      </c>
      <c r="B9">
        <v>1450</v>
      </c>
      <c r="C9">
        <v>1</v>
      </c>
      <c r="D9" t="s">
        <v>40</v>
      </c>
      <c r="E9" t="s">
        <v>657</v>
      </c>
      <c r="F9" t="s">
        <v>658</v>
      </c>
      <c r="G9" t="s">
        <v>643</v>
      </c>
      <c r="H9">
        <v>56</v>
      </c>
      <c r="I9" t="s">
        <v>647</v>
      </c>
      <c r="J9">
        <v>1450</v>
      </c>
      <c r="K9" s="1">
        <v>44851</v>
      </c>
      <c r="L9">
        <v>2022</v>
      </c>
      <c r="M9" t="str">
        <f>UPPER(TEXT(_2020_2022[[#This Row],[Data da Venda]],"mmm"))</f>
        <v>OUT</v>
      </c>
    </row>
    <row r="10" spans="1:13" x14ac:dyDescent="0.25">
      <c r="A10" t="s">
        <v>12</v>
      </c>
      <c r="B10">
        <v>6500</v>
      </c>
      <c r="C10">
        <v>2</v>
      </c>
      <c r="D10" t="s">
        <v>38</v>
      </c>
      <c r="E10" t="s">
        <v>648</v>
      </c>
      <c r="F10" t="s">
        <v>659</v>
      </c>
      <c r="G10" t="s">
        <v>643</v>
      </c>
      <c r="H10">
        <v>50</v>
      </c>
      <c r="I10" t="s">
        <v>644</v>
      </c>
      <c r="J10">
        <v>13000</v>
      </c>
      <c r="K10" s="1">
        <v>44793</v>
      </c>
      <c r="L10">
        <v>2022</v>
      </c>
      <c r="M10" t="str">
        <f>UPPER(TEXT(_2020_2022[[#This Row],[Data da Venda]],"mmm"))</f>
        <v>AGO</v>
      </c>
    </row>
    <row r="11" spans="1:13" x14ac:dyDescent="0.25">
      <c r="A11" t="s">
        <v>28</v>
      </c>
      <c r="B11">
        <v>1400</v>
      </c>
      <c r="C11">
        <v>5</v>
      </c>
      <c r="D11" t="s">
        <v>30</v>
      </c>
      <c r="E11" t="s">
        <v>645</v>
      </c>
      <c r="F11" t="s">
        <v>660</v>
      </c>
      <c r="G11" t="s">
        <v>643</v>
      </c>
      <c r="H11">
        <v>56</v>
      </c>
      <c r="I11" t="s">
        <v>647</v>
      </c>
      <c r="J11">
        <v>7000</v>
      </c>
      <c r="K11" s="1">
        <v>44567</v>
      </c>
      <c r="L11">
        <v>2022</v>
      </c>
      <c r="M11" t="str">
        <f>UPPER(TEXT(_2020_2022[[#This Row],[Data da Venda]],"mmm"))</f>
        <v>JAN</v>
      </c>
    </row>
    <row r="12" spans="1:13" x14ac:dyDescent="0.25">
      <c r="A12" t="s">
        <v>20</v>
      </c>
      <c r="B12">
        <v>2600</v>
      </c>
      <c r="C12">
        <v>4</v>
      </c>
      <c r="D12" t="s">
        <v>29</v>
      </c>
      <c r="E12" t="s">
        <v>641</v>
      </c>
      <c r="F12" t="s">
        <v>661</v>
      </c>
      <c r="G12" t="s">
        <v>650</v>
      </c>
      <c r="H12">
        <v>53</v>
      </c>
      <c r="I12" t="s">
        <v>647</v>
      </c>
      <c r="J12">
        <v>10400</v>
      </c>
      <c r="K12" s="1">
        <v>44897</v>
      </c>
      <c r="L12">
        <v>2022</v>
      </c>
      <c r="M12" t="str">
        <f>UPPER(TEXT(_2020_2022[[#This Row],[Data da Venda]],"mmm"))</f>
        <v>DEZ</v>
      </c>
    </row>
    <row r="13" spans="1:13" x14ac:dyDescent="0.25">
      <c r="A13" t="s">
        <v>16</v>
      </c>
      <c r="B13">
        <v>1400</v>
      </c>
      <c r="C13">
        <v>3</v>
      </c>
      <c r="D13" t="s">
        <v>32</v>
      </c>
      <c r="E13" t="s">
        <v>652</v>
      </c>
      <c r="F13" t="s">
        <v>662</v>
      </c>
      <c r="G13" t="s">
        <v>650</v>
      </c>
      <c r="H13">
        <v>59</v>
      </c>
      <c r="I13" t="s">
        <v>647</v>
      </c>
      <c r="J13">
        <v>4200</v>
      </c>
      <c r="K13" s="1">
        <v>44642</v>
      </c>
      <c r="L13">
        <v>2022</v>
      </c>
      <c r="M13" t="str">
        <f>UPPER(TEXT(_2020_2022[[#This Row],[Data da Venda]],"mmm"))</f>
        <v>MAR</v>
      </c>
    </row>
    <row r="14" spans="1:13" x14ac:dyDescent="0.25">
      <c r="A14" t="s">
        <v>14</v>
      </c>
      <c r="B14">
        <v>2000</v>
      </c>
      <c r="C14">
        <v>5</v>
      </c>
      <c r="D14" t="s">
        <v>29</v>
      </c>
      <c r="E14" t="s">
        <v>641</v>
      </c>
      <c r="F14" t="s">
        <v>663</v>
      </c>
      <c r="G14" t="s">
        <v>650</v>
      </c>
      <c r="H14">
        <v>60</v>
      </c>
      <c r="I14" t="s">
        <v>647</v>
      </c>
      <c r="J14">
        <v>10000</v>
      </c>
      <c r="K14" s="1">
        <v>44611</v>
      </c>
      <c r="L14">
        <v>2022</v>
      </c>
      <c r="M14" t="str">
        <f>UPPER(TEXT(_2020_2022[[#This Row],[Data da Venda]],"mmm"))</f>
        <v>FEV</v>
      </c>
    </row>
    <row r="15" spans="1:13" x14ac:dyDescent="0.25">
      <c r="A15" t="s">
        <v>7</v>
      </c>
      <c r="B15">
        <v>750</v>
      </c>
      <c r="C15">
        <v>4</v>
      </c>
      <c r="D15" t="s">
        <v>38</v>
      </c>
      <c r="E15" t="s">
        <v>648</v>
      </c>
      <c r="F15" t="s">
        <v>664</v>
      </c>
      <c r="G15" t="s">
        <v>650</v>
      </c>
      <c r="H15">
        <v>38</v>
      </c>
      <c r="I15" t="s">
        <v>644</v>
      </c>
      <c r="J15">
        <v>3000</v>
      </c>
      <c r="K15" s="1">
        <v>44634</v>
      </c>
      <c r="L15">
        <v>2022</v>
      </c>
      <c r="M15" t="str">
        <f>UPPER(TEXT(_2020_2022[[#This Row],[Data da Venda]],"mmm"))</f>
        <v>MAR</v>
      </c>
    </row>
    <row r="16" spans="1:13" x14ac:dyDescent="0.25">
      <c r="A16" t="s">
        <v>24</v>
      </c>
      <c r="B16">
        <v>2000</v>
      </c>
      <c r="C16">
        <v>3</v>
      </c>
      <c r="D16" t="s">
        <v>29</v>
      </c>
      <c r="E16" t="s">
        <v>641</v>
      </c>
      <c r="F16" t="s">
        <v>665</v>
      </c>
      <c r="G16" t="s">
        <v>650</v>
      </c>
      <c r="H16">
        <v>34</v>
      </c>
      <c r="I16" t="s">
        <v>644</v>
      </c>
      <c r="J16">
        <v>6000</v>
      </c>
      <c r="K16" s="1">
        <v>44624</v>
      </c>
      <c r="L16">
        <v>2022</v>
      </c>
      <c r="M16" t="str">
        <f>UPPER(TEXT(_2020_2022[[#This Row],[Data da Venda]],"mmm"))</f>
        <v>MAR</v>
      </c>
    </row>
    <row r="17" spans="1:13" x14ac:dyDescent="0.25">
      <c r="A17" t="s">
        <v>1445</v>
      </c>
      <c r="B17">
        <v>1500</v>
      </c>
      <c r="C17">
        <v>3</v>
      </c>
      <c r="D17" t="s">
        <v>35</v>
      </c>
      <c r="E17" t="s">
        <v>666</v>
      </c>
      <c r="F17" t="s">
        <v>667</v>
      </c>
      <c r="G17" t="s">
        <v>643</v>
      </c>
      <c r="H17">
        <v>72</v>
      </c>
      <c r="I17" t="s">
        <v>647</v>
      </c>
      <c r="J17">
        <v>4500</v>
      </c>
      <c r="K17" s="1">
        <v>44901</v>
      </c>
      <c r="L17">
        <v>2022</v>
      </c>
      <c r="M17" t="str">
        <f>UPPER(TEXT(_2020_2022[[#This Row],[Data da Venda]],"mmm"))</f>
        <v>DEZ</v>
      </c>
    </row>
    <row r="18" spans="1:13" x14ac:dyDescent="0.25">
      <c r="A18" t="s">
        <v>20</v>
      </c>
      <c r="B18">
        <v>2600</v>
      </c>
      <c r="C18">
        <v>3</v>
      </c>
      <c r="D18" t="s">
        <v>37</v>
      </c>
      <c r="E18" t="s">
        <v>645</v>
      </c>
      <c r="F18" t="s">
        <v>668</v>
      </c>
      <c r="G18" t="s">
        <v>650</v>
      </c>
      <c r="H18">
        <v>57</v>
      </c>
      <c r="I18" t="s">
        <v>647</v>
      </c>
      <c r="J18">
        <v>7800</v>
      </c>
      <c r="K18" s="1">
        <v>44784</v>
      </c>
      <c r="L18">
        <v>2022</v>
      </c>
      <c r="M18" t="str">
        <f>UPPER(TEXT(_2020_2022[[#This Row],[Data da Venda]],"mmm"))</f>
        <v>AGO</v>
      </c>
    </row>
    <row r="19" spans="1:13" x14ac:dyDescent="0.25">
      <c r="A19" t="s">
        <v>12</v>
      </c>
      <c r="B19">
        <v>6500</v>
      </c>
      <c r="C19">
        <v>1</v>
      </c>
      <c r="D19" t="s">
        <v>38</v>
      </c>
      <c r="E19" t="s">
        <v>648</v>
      </c>
      <c r="F19" t="s">
        <v>669</v>
      </c>
      <c r="G19" t="s">
        <v>650</v>
      </c>
      <c r="H19">
        <v>35</v>
      </c>
      <c r="I19" t="s">
        <v>644</v>
      </c>
      <c r="J19">
        <v>6500</v>
      </c>
      <c r="K19" s="1">
        <v>44827</v>
      </c>
      <c r="L19">
        <v>2022</v>
      </c>
      <c r="M19" t="str">
        <f>UPPER(TEXT(_2020_2022[[#This Row],[Data da Venda]],"mmm"))</f>
        <v>SET</v>
      </c>
    </row>
    <row r="20" spans="1:13" x14ac:dyDescent="0.25">
      <c r="A20" t="s">
        <v>1443</v>
      </c>
      <c r="B20">
        <v>1550</v>
      </c>
      <c r="C20">
        <v>3</v>
      </c>
      <c r="D20" t="s">
        <v>39</v>
      </c>
      <c r="E20" t="s">
        <v>641</v>
      </c>
      <c r="F20" t="s">
        <v>670</v>
      </c>
      <c r="G20" t="s">
        <v>643</v>
      </c>
      <c r="H20">
        <v>37</v>
      </c>
      <c r="I20" t="s">
        <v>644</v>
      </c>
      <c r="J20">
        <v>4650</v>
      </c>
      <c r="K20" s="1">
        <v>44636</v>
      </c>
      <c r="L20">
        <v>2022</v>
      </c>
      <c r="M20" t="str">
        <f>UPPER(TEXT(_2020_2022[[#This Row],[Data da Venda]],"mmm"))</f>
        <v>MAR</v>
      </c>
    </row>
    <row r="21" spans="1:13" x14ac:dyDescent="0.25">
      <c r="A21" t="s">
        <v>1444</v>
      </c>
      <c r="B21">
        <v>1500</v>
      </c>
      <c r="C21">
        <v>1</v>
      </c>
      <c r="D21" t="s">
        <v>35</v>
      </c>
      <c r="E21" t="s">
        <v>666</v>
      </c>
      <c r="F21" t="s">
        <v>671</v>
      </c>
      <c r="G21" t="s">
        <v>643</v>
      </c>
      <c r="H21">
        <v>63</v>
      </c>
      <c r="I21" t="s">
        <v>647</v>
      </c>
      <c r="J21">
        <v>1500</v>
      </c>
      <c r="K21" s="1">
        <v>44885</v>
      </c>
      <c r="L21">
        <v>2022</v>
      </c>
      <c r="M21" t="str">
        <f>UPPER(TEXT(_2020_2022[[#This Row],[Data da Venda]],"mmm"))</f>
        <v>NOV</v>
      </c>
    </row>
    <row r="22" spans="1:13" x14ac:dyDescent="0.25">
      <c r="A22" t="s">
        <v>1441</v>
      </c>
      <c r="B22">
        <v>1450</v>
      </c>
      <c r="C22">
        <v>3</v>
      </c>
      <c r="D22" t="s">
        <v>35</v>
      </c>
      <c r="E22" t="s">
        <v>666</v>
      </c>
      <c r="F22" t="s">
        <v>672</v>
      </c>
      <c r="G22" t="s">
        <v>643</v>
      </c>
      <c r="H22">
        <v>43</v>
      </c>
      <c r="I22" t="s">
        <v>644</v>
      </c>
      <c r="J22">
        <v>4350</v>
      </c>
      <c r="K22" s="1">
        <v>44681</v>
      </c>
      <c r="L22">
        <v>2022</v>
      </c>
      <c r="M22" t="str">
        <f>UPPER(TEXT(_2020_2022[[#This Row],[Data da Venda]],"mmm"))</f>
        <v>ABR</v>
      </c>
    </row>
    <row r="23" spans="1:13" x14ac:dyDescent="0.25">
      <c r="A23" t="s">
        <v>7</v>
      </c>
      <c r="B23">
        <v>750</v>
      </c>
      <c r="C23">
        <v>2</v>
      </c>
      <c r="D23" t="s">
        <v>30</v>
      </c>
      <c r="E23" t="s">
        <v>645</v>
      </c>
      <c r="F23" t="s">
        <v>673</v>
      </c>
      <c r="G23" t="s">
        <v>650</v>
      </c>
      <c r="H23">
        <v>31</v>
      </c>
      <c r="I23" t="s">
        <v>644</v>
      </c>
      <c r="J23">
        <v>1500</v>
      </c>
      <c r="K23" s="1">
        <v>44563</v>
      </c>
      <c r="L23">
        <v>2022</v>
      </c>
      <c r="M23" t="str">
        <f>UPPER(TEXT(_2020_2022[[#This Row],[Data da Venda]],"mmm"))</f>
        <v>JAN</v>
      </c>
    </row>
    <row r="24" spans="1:13" x14ac:dyDescent="0.25">
      <c r="A24" t="s">
        <v>9</v>
      </c>
      <c r="B24">
        <v>1500</v>
      </c>
      <c r="C24">
        <v>1</v>
      </c>
      <c r="D24" t="s">
        <v>40</v>
      </c>
      <c r="E24" t="s">
        <v>657</v>
      </c>
      <c r="F24" t="s">
        <v>674</v>
      </c>
      <c r="G24" t="s">
        <v>643</v>
      </c>
      <c r="H24">
        <v>60</v>
      </c>
      <c r="I24" t="s">
        <v>647</v>
      </c>
      <c r="J24">
        <v>1500</v>
      </c>
      <c r="K24" s="1">
        <v>44601</v>
      </c>
      <c r="L24">
        <v>2022</v>
      </c>
      <c r="M24" t="str">
        <f>UPPER(TEXT(_2020_2022[[#This Row],[Data da Venda]],"mmm"))</f>
        <v>FEV</v>
      </c>
    </row>
    <row r="25" spans="1:13" x14ac:dyDescent="0.25">
      <c r="A25" t="s">
        <v>15</v>
      </c>
      <c r="B25">
        <v>1900</v>
      </c>
      <c r="C25">
        <v>1</v>
      </c>
      <c r="D25" t="s">
        <v>29</v>
      </c>
      <c r="E25" t="s">
        <v>641</v>
      </c>
      <c r="F25" t="s">
        <v>675</v>
      </c>
      <c r="G25" t="s">
        <v>643</v>
      </c>
      <c r="H25">
        <v>71</v>
      </c>
      <c r="I25" t="s">
        <v>647</v>
      </c>
      <c r="J25">
        <v>1900</v>
      </c>
      <c r="K25" s="1">
        <v>44635</v>
      </c>
      <c r="L25">
        <v>2022</v>
      </c>
      <c r="M25" t="str">
        <f>UPPER(TEXT(_2020_2022[[#This Row],[Data da Venda]],"mmm"))</f>
        <v>MAR</v>
      </c>
    </row>
    <row r="26" spans="1:13" x14ac:dyDescent="0.25">
      <c r="A26" t="s">
        <v>14</v>
      </c>
      <c r="B26">
        <v>2000</v>
      </c>
      <c r="C26">
        <v>5</v>
      </c>
      <c r="D26" t="s">
        <v>37</v>
      </c>
      <c r="E26" t="s">
        <v>645</v>
      </c>
      <c r="F26" t="s">
        <v>676</v>
      </c>
      <c r="G26" t="s">
        <v>650</v>
      </c>
      <c r="H26">
        <v>60</v>
      </c>
      <c r="I26" t="s">
        <v>647</v>
      </c>
      <c r="J26">
        <v>10000</v>
      </c>
      <c r="K26" s="1">
        <v>44589</v>
      </c>
      <c r="L26">
        <v>2022</v>
      </c>
      <c r="M26" t="str">
        <f>UPPER(TEXT(_2020_2022[[#This Row],[Data da Venda]],"mmm"))</f>
        <v>JAN</v>
      </c>
    </row>
    <row r="27" spans="1:13" x14ac:dyDescent="0.25">
      <c r="A27" t="s">
        <v>18</v>
      </c>
      <c r="B27">
        <v>3000</v>
      </c>
      <c r="C27">
        <v>3</v>
      </c>
      <c r="D27" t="s">
        <v>36</v>
      </c>
      <c r="E27" t="s">
        <v>677</v>
      </c>
      <c r="F27" t="s">
        <v>678</v>
      </c>
      <c r="G27" t="s">
        <v>650</v>
      </c>
      <c r="H27">
        <v>65</v>
      </c>
      <c r="I27" t="s">
        <v>647</v>
      </c>
      <c r="J27">
        <v>9000</v>
      </c>
      <c r="K27" s="1">
        <v>44882</v>
      </c>
      <c r="L27">
        <v>2022</v>
      </c>
      <c r="M27" t="str">
        <f>UPPER(TEXT(_2020_2022[[#This Row],[Data da Venda]],"mmm"))</f>
        <v>NOV</v>
      </c>
    </row>
    <row r="28" spans="1:13" x14ac:dyDescent="0.25">
      <c r="A28" t="s">
        <v>1441</v>
      </c>
      <c r="B28">
        <v>1450</v>
      </c>
      <c r="C28">
        <v>2</v>
      </c>
      <c r="D28" t="s">
        <v>34</v>
      </c>
      <c r="E28" t="s">
        <v>679</v>
      </c>
      <c r="F28" t="s">
        <v>680</v>
      </c>
      <c r="G28" t="s">
        <v>643</v>
      </c>
      <c r="H28">
        <v>41</v>
      </c>
      <c r="I28" t="s">
        <v>644</v>
      </c>
      <c r="J28">
        <v>2900</v>
      </c>
      <c r="K28" s="1">
        <v>44726</v>
      </c>
      <c r="L28">
        <v>2022</v>
      </c>
      <c r="M28" t="str">
        <f>UPPER(TEXT(_2020_2022[[#This Row],[Data da Venda]],"mmm"))</f>
        <v>JUN</v>
      </c>
    </row>
    <row r="29" spans="1:13" x14ac:dyDescent="0.25">
      <c r="A29" t="s">
        <v>1442</v>
      </c>
      <c r="B29">
        <v>1200</v>
      </c>
      <c r="C29">
        <v>5</v>
      </c>
      <c r="D29" t="s">
        <v>41</v>
      </c>
      <c r="E29" t="s">
        <v>681</v>
      </c>
      <c r="F29" t="s">
        <v>682</v>
      </c>
      <c r="G29" t="s">
        <v>650</v>
      </c>
      <c r="H29">
        <v>43</v>
      </c>
      <c r="I29" t="s">
        <v>644</v>
      </c>
      <c r="J29">
        <v>6000</v>
      </c>
      <c r="K29" s="1">
        <v>44729</v>
      </c>
      <c r="L29">
        <v>2022</v>
      </c>
      <c r="M29" t="str">
        <f>UPPER(TEXT(_2020_2022[[#This Row],[Data da Venda]],"mmm"))</f>
        <v>JUN</v>
      </c>
    </row>
    <row r="30" spans="1:13" x14ac:dyDescent="0.25">
      <c r="A30" t="s">
        <v>24</v>
      </c>
      <c r="B30">
        <v>2000</v>
      </c>
      <c r="C30">
        <v>2</v>
      </c>
      <c r="D30" t="s">
        <v>35</v>
      </c>
      <c r="E30" t="s">
        <v>666</v>
      </c>
      <c r="F30" t="s">
        <v>667</v>
      </c>
      <c r="G30" t="s">
        <v>643</v>
      </c>
      <c r="H30">
        <v>72</v>
      </c>
      <c r="I30" t="s">
        <v>647</v>
      </c>
      <c r="J30">
        <v>4000</v>
      </c>
      <c r="K30" s="1">
        <v>44764</v>
      </c>
      <c r="L30">
        <v>2022</v>
      </c>
      <c r="M30" t="str">
        <f>UPPER(TEXT(_2020_2022[[#This Row],[Data da Venda]],"mmm"))</f>
        <v>JUL</v>
      </c>
    </row>
    <row r="31" spans="1:13" x14ac:dyDescent="0.25">
      <c r="A31" t="s">
        <v>20</v>
      </c>
      <c r="B31">
        <v>2600</v>
      </c>
      <c r="C31">
        <v>2</v>
      </c>
      <c r="D31" t="s">
        <v>33</v>
      </c>
      <c r="E31" t="s">
        <v>641</v>
      </c>
      <c r="F31" t="s">
        <v>683</v>
      </c>
      <c r="G31" t="s">
        <v>643</v>
      </c>
      <c r="H31">
        <v>76</v>
      </c>
      <c r="I31" t="s">
        <v>647</v>
      </c>
      <c r="J31">
        <v>5200</v>
      </c>
      <c r="K31" s="1">
        <v>44808</v>
      </c>
      <c r="L31">
        <v>2022</v>
      </c>
      <c r="M31" t="str">
        <f>UPPER(TEXT(_2020_2022[[#This Row],[Data da Venda]],"mmm"))</f>
        <v>SET</v>
      </c>
    </row>
    <row r="32" spans="1:13" x14ac:dyDescent="0.25">
      <c r="A32" t="s">
        <v>1441</v>
      </c>
      <c r="B32">
        <v>1450</v>
      </c>
      <c r="C32">
        <v>3</v>
      </c>
      <c r="D32" t="s">
        <v>31</v>
      </c>
      <c r="E32" t="s">
        <v>645</v>
      </c>
      <c r="F32" t="s">
        <v>684</v>
      </c>
      <c r="G32" t="s">
        <v>643</v>
      </c>
      <c r="H32">
        <v>68</v>
      </c>
      <c r="I32" t="s">
        <v>647</v>
      </c>
      <c r="J32">
        <v>4350</v>
      </c>
      <c r="K32" s="1">
        <v>44621</v>
      </c>
      <c r="L32">
        <v>2022</v>
      </c>
      <c r="M32" t="str">
        <f>UPPER(TEXT(_2020_2022[[#This Row],[Data da Venda]],"mmm"))</f>
        <v>MAR</v>
      </c>
    </row>
    <row r="33" spans="1:13" x14ac:dyDescent="0.25">
      <c r="A33" t="s">
        <v>13</v>
      </c>
      <c r="B33">
        <v>2300</v>
      </c>
      <c r="C33">
        <v>5</v>
      </c>
      <c r="D33" t="s">
        <v>32</v>
      </c>
      <c r="E33" t="s">
        <v>652</v>
      </c>
      <c r="F33" t="s">
        <v>685</v>
      </c>
      <c r="G33" t="s">
        <v>643</v>
      </c>
      <c r="H33">
        <v>36</v>
      </c>
      <c r="I33" t="s">
        <v>644</v>
      </c>
      <c r="J33">
        <v>11500</v>
      </c>
      <c r="K33" s="1">
        <v>44602</v>
      </c>
      <c r="L33">
        <v>2022</v>
      </c>
      <c r="M33" t="str">
        <f>UPPER(TEXT(_2020_2022[[#This Row],[Data da Venda]],"mmm"))</f>
        <v>FEV</v>
      </c>
    </row>
    <row r="34" spans="1:13" x14ac:dyDescent="0.25">
      <c r="A34" t="s">
        <v>25</v>
      </c>
      <c r="B34">
        <v>2500</v>
      </c>
      <c r="C34">
        <v>5</v>
      </c>
      <c r="D34" t="s">
        <v>31</v>
      </c>
      <c r="E34" t="s">
        <v>645</v>
      </c>
      <c r="F34" t="s">
        <v>686</v>
      </c>
      <c r="G34" t="s">
        <v>643</v>
      </c>
      <c r="H34">
        <v>53</v>
      </c>
      <c r="I34" t="s">
        <v>647</v>
      </c>
      <c r="J34">
        <v>12500</v>
      </c>
      <c r="K34" s="1">
        <v>44904</v>
      </c>
      <c r="L34">
        <v>2022</v>
      </c>
      <c r="M34" t="str">
        <f>UPPER(TEXT(_2020_2022[[#This Row],[Data da Venda]],"mmm"))</f>
        <v>DEZ</v>
      </c>
    </row>
    <row r="35" spans="1:13" x14ac:dyDescent="0.25">
      <c r="A35" t="s">
        <v>11</v>
      </c>
      <c r="B35">
        <v>4500</v>
      </c>
      <c r="C35">
        <v>4</v>
      </c>
      <c r="D35" t="s">
        <v>34</v>
      </c>
      <c r="E35" t="s">
        <v>679</v>
      </c>
      <c r="F35" t="s">
        <v>687</v>
      </c>
      <c r="G35" t="s">
        <v>643</v>
      </c>
      <c r="H35">
        <v>36</v>
      </c>
      <c r="I35" t="s">
        <v>644</v>
      </c>
      <c r="J35">
        <v>18000</v>
      </c>
      <c r="K35" s="1">
        <v>44753</v>
      </c>
      <c r="L35">
        <v>2022</v>
      </c>
      <c r="M35" t="str">
        <f>UPPER(TEXT(_2020_2022[[#This Row],[Data da Venda]],"mmm"))</f>
        <v>JUL</v>
      </c>
    </row>
    <row r="36" spans="1:13" x14ac:dyDescent="0.25">
      <c r="A36" t="s">
        <v>18</v>
      </c>
      <c r="B36">
        <v>3000</v>
      </c>
      <c r="C36">
        <v>4</v>
      </c>
      <c r="D36" t="s">
        <v>33</v>
      </c>
      <c r="E36" t="s">
        <v>641</v>
      </c>
      <c r="F36" t="s">
        <v>688</v>
      </c>
      <c r="G36" t="s">
        <v>643</v>
      </c>
      <c r="H36">
        <v>61</v>
      </c>
      <c r="I36" t="s">
        <v>647</v>
      </c>
      <c r="J36">
        <v>12000</v>
      </c>
      <c r="K36" s="1">
        <v>44786</v>
      </c>
      <c r="L36">
        <v>2022</v>
      </c>
      <c r="M36" t="str">
        <f>UPPER(TEXT(_2020_2022[[#This Row],[Data da Venda]],"mmm"))</f>
        <v>AGO</v>
      </c>
    </row>
    <row r="37" spans="1:13" x14ac:dyDescent="0.25">
      <c r="A37" t="s">
        <v>1442</v>
      </c>
      <c r="B37">
        <v>1200</v>
      </c>
      <c r="C37">
        <v>1</v>
      </c>
      <c r="D37" t="s">
        <v>41</v>
      </c>
      <c r="E37" t="s">
        <v>681</v>
      </c>
      <c r="F37" t="s">
        <v>689</v>
      </c>
      <c r="G37" t="s">
        <v>643</v>
      </c>
      <c r="H37">
        <v>36</v>
      </c>
      <c r="I37" t="s">
        <v>644</v>
      </c>
      <c r="J37">
        <v>1200</v>
      </c>
      <c r="K37" s="1">
        <v>44565</v>
      </c>
      <c r="L37">
        <v>2022</v>
      </c>
      <c r="M37" t="str">
        <f>UPPER(TEXT(_2020_2022[[#This Row],[Data da Venda]],"mmm"))</f>
        <v>JAN</v>
      </c>
    </row>
    <row r="38" spans="1:13" x14ac:dyDescent="0.25">
      <c r="A38" t="s">
        <v>20</v>
      </c>
      <c r="B38">
        <v>2600</v>
      </c>
      <c r="C38">
        <v>4</v>
      </c>
      <c r="D38" t="s">
        <v>36</v>
      </c>
      <c r="E38" t="s">
        <v>677</v>
      </c>
      <c r="F38" t="s">
        <v>690</v>
      </c>
      <c r="G38" t="s">
        <v>650</v>
      </c>
      <c r="H38">
        <v>60</v>
      </c>
      <c r="I38" t="s">
        <v>647</v>
      </c>
      <c r="J38">
        <v>10400</v>
      </c>
      <c r="K38" s="1">
        <v>44616</v>
      </c>
      <c r="L38">
        <v>2022</v>
      </c>
      <c r="M38" t="str">
        <f>UPPER(TEXT(_2020_2022[[#This Row],[Data da Venda]],"mmm"))</f>
        <v>FEV</v>
      </c>
    </row>
    <row r="39" spans="1:13" x14ac:dyDescent="0.25">
      <c r="A39" t="s">
        <v>15</v>
      </c>
      <c r="B39">
        <v>1900</v>
      </c>
      <c r="C39">
        <v>4</v>
      </c>
      <c r="D39" t="s">
        <v>37</v>
      </c>
      <c r="E39" t="s">
        <v>645</v>
      </c>
      <c r="F39" t="s">
        <v>691</v>
      </c>
      <c r="G39" t="s">
        <v>650</v>
      </c>
      <c r="H39">
        <v>45</v>
      </c>
      <c r="I39" t="s">
        <v>644</v>
      </c>
      <c r="J39">
        <v>7600</v>
      </c>
      <c r="K39" s="1">
        <v>44570</v>
      </c>
      <c r="L39">
        <v>2022</v>
      </c>
      <c r="M39" t="str">
        <f>UPPER(TEXT(_2020_2022[[#This Row],[Data da Venda]],"mmm"))</f>
        <v>JAN</v>
      </c>
    </row>
    <row r="40" spans="1:13" x14ac:dyDescent="0.25">
      <c r="A40" t="s">
        <v>28</v>
      </c>
      <c r="B40">
        <v>1400</v>
      </c>
      <c r="C40">
        <v>2</v>
      </c>
      <c r="D40" t="s">
        <v>35</v>
      </c>
      <c r="E40" t="s">
        <v>666</v>
      </c>
      <c r="F40" t="s">
        <v>667</v>
      </c>
      <c r="G40" t="s">
        <v>643</v>
      </c>
      <c r="H40">
        <v>72</v>
      </c>
      <c r="I40" t="s">
        <v>647</v>
      </c>
      <c r="J40">
        <v>2800</v>
      </c>
      <c r="K40" s="1">
        <v>44840</v>
      </c>
      <c r="L40">
        <v>2022</v>
      </c>
      <c r="M40" t="str">
        <f>UPPER(TEXT(_2020_2022[[#This Row],[Data da Venda]],"mmm"))</f>
        <v>OUT</v>
      </c>
    </row>
    <row r="41" spans="1:13" x14ac:dyDescent="0.25">
      <c r="A41" t="s">
        <v>18</v>
      </c>
      <c r="B41">
        <v>3000</v>
      </c>
      <c r="C41">
        <v>3</v>
      </c>
      <c r="D41" t="s">
        <v>29</v>
      </c>
      <c r="E41" t="s">
        <v>641</v>
      </c>
      <c r="F41" t="s">
        <v>692</v>
      </c>
      <c r="G41" t="s">
        <v>643</v>
      </c>
      <c r="H41">
        <v>49</v>
      </c>
      <c r="I41" t="s">
        <v>644</v>
      </c>
      <c r="J41">
        <v>9000</v>
      </c>
      <c r="K41" s="1">
        <v>44673</v>
      </c>
      <c r="L41">
        <v>2022</v>
      </c>
      <c r="M41" t="str">
        <f>UPPER(TEXT(_2020_2022[[#This Row],[Data da Venda]],"mmm"))</f>
        <v>ABR</v>
      </c>
    </row>
    <row r="42" spans="1:13" x14ac:dyDescent="0.25">
      <c r="A42" t="s">
        <v>13</v>
      </c>
      <c r="B42">
        <v>2300</v>
      </c>
      <c r="C42">
        <v>1</v>
      </c>
      <c r="D42" t="s">
        <v>38</v>
      </c>
      <c r="E42" t="s">
        <v>648</v>
      </c>
      <c r="F42" t="s">
        <v>693</v>
      </c>
      <c r="G42" t="s">
        <v>643</v>
      </c>
      <c r="H42">
        <v>62</v>
      </c>
      <c r="I42" t="s">
        <v>647</v>
      </c>
      <c r="J42">
        <v>2300</v>
      </c>
      <c r="K42" s="1">
        <v>44911</v>
      </c>
      <c r="L42">
        <v>2022</v>
      </c>
      <c r="M42" t="str">
        <f>UPPER(TEXT(_2020_2022[[#This Row],[Data da Venda]],"mmm"))</f>
        <v>DEZ</v>
      </c>
    </row>
    <row r="43" spans="1:13" x14ac:dyDescent="0.25">
      <c r="A43" t="s">
        <v>1443</v>
      </c>
      <c r="B43">
        <v>1550</v>
      </c>
      <c r="C43">
        <v>4</v>
      </c>
      <c r="D43" t="s">
        <v>37</v>
      </c>
      <c r="E43" t="s">
        <v>645</v>
      </c>
      <c r="F43" t="s">
        <v>694</v>
      </c>
      <c r="G43" t="s">
        <v>643</v>
      </c>
      <c r="H43">
        <v>44</v>
      </c>
      <c r="I43" t="s">
        <v>644</v>
      </c>
      <c r="J43">
        <v>6200</v>
      </c>
      <c r="K43" s="1">
        <v>44828</v>
      </c>
      <c r="L43">
        <v>2022</v>
      </c>
      <c r="M43" t="str">
        <f>UPPER(TEXT(_2020_2022[[#This Row],[Data da Venda]],"mmm"))</f>
        <v>SET</v>
      </c>
    </row>
    <row r="44" spans="1:13" x14ac:dyDescent="0.25">
      <c r="A44" t="s">
        <v>7</v>
      </c>
      <c r="B44">
        <v>750</v>
      </c>
      <c r="C44">
        <v>5</v>
      </c>
      <c r="D44" t="s">
        <v>31</v>
      </c>
      <c r="E44" t="s">
        <v>645</v>
      </c>
      <c r="F44" t="s">
        <v>695</v>
      </c>
      <c r="G44" t="s">
        <v>650</v>
      </c>
      <c r="H44">
        <v>73</v>
      </c>
      <c r="I44" t="s">
        <v>647</v>
      </c>
      <c r="J44">
        <v>3750</v>
      </c>
      <c r="K44" s="1">
        <v>44888</v>
      </c>
      <c r="L44">
        <v>2022</v>
      </c>
      <c r="M44" t="str">
        <f>UPPER(TEXT(_2020_2022[[#This Row],[Data da Venda]],"mmm"))</f>
        <v>NOV</v>
      </c>
    </row>
    <row r="45" spans="1:13" x14ac:dyDescent="0.25">
      <c r="A45" t="s">
        <v>12</v>
      </c>
      <c r="B45">
        <v>6500</v>
      </c>
      <c r="C45">
        <v>1</v>
      </c>
      <c r="D45" t="s">
        <v>40</v>
      </c>
      <c r="E45" t="s">
        <v>657</v>
      </c>
      <c r="F45" t="s">
        <v>696</v>
      </c>
      <c r="G45" t="s">
        <v>643</v>
      </c>
      <c r="H45">
        <v>38</v>
      </c>
      <c r="I45" t="s">
        <v>644</v>
      </c>
      <c r="J45">
        <v>6500</v>
      </c>
      <c r="K45" s="1">
        <v>44669</v>
      </c>
      <c r="L45">
        <v>2022</v>
      </c>
      <c r="M45" t="str">
        <f>UPPER(TEXT(_2020_2022[[#This Row],[Data da Venda]],"mmm"))</f>
        <v>ABR</v>
      </c>
    </row>
    <row r="46" spans="1:13" x14ac:dyDescent="0.25">
      <c r="A46" t="s">
        <v>5</v>
      </c>
      <c r="B46">
        <v>1750</v>
      </c>
      <c r="C46">
        <v>3</v>
      </c>
      <c r="D46" t="s">
        <v>31</v>
      </c>
      <c r="E46" t="s">
        <v>645</v>
      </c>
      <c r="F46" t="s">
        <v>697</v>
      </c>
      <c r="G46" t="s">
        <v>650</v>
      </c>
      <c r="H46">
        <v>35</v>
      </c>
      <c r="I46" t="s">
        <v>644</v>
      </c>
      <c r="J46">
        <v>5250</v>
      </c>
      <c r="K46" s="1">
        <v>44838</v>
      </c>
      <c r="L46">
        <v>2022</v>
      </c>
      <c r="M46" t="str">
        <f>UPPER(TEXT(_2020_2022[[#This Row],[Data da Venda]],"mmm"))</f>
        <v>OUT</v>
      </c>
    </row>
    <row r="47" spans="1:13" x14ac:dyDescent="0.25">
      <c r="A47" t="s">
        <v>20</v>
      </c>
      <c r="B47">
        <v>2600</v>
      </c>
      <c r="C47">
        <v>1</v>
      </c>
      <c r="D47" t="s">
        <v>32</v>
      </c>
      <c r="E47" t="s">
        <v>652</v>
      </c>
      <c r="F47" t="s">
        <v>698</v>
      </c>
      <c r="G47" t="s">
        <v>650</v>
      </c>
      <c r="H47">
        <v>45</v>
      </c>
      <c r="I47" t="s">
        <v>644</v>
      </c>
      <c r="J47">
        <v>2600</v>
      </c>
      <c r="K47" s="1">
        <v>44631</v>
      </c>
      <c r="L47">
        <v>2022</v>
      </c>
      <c r="M47" t="str">
        <f>UPPER(TEXT(_2020_2022[[#This Row],[Data da Venda]],"mmm"))</f>
        <v>MAR</v>
      </c>
    </row>
    <row r="48" spans="1:13" x14ac:dyDescent="0.25">
      <c r="A48" t="s">
        <v>20</v>
      </c>
      <c r="B48">
        <v>2600</v>
      </c>
      <c r="C48">
        <v>2</v>
      </c>
      <c r="D48" t="s">
        <v>29</v>
      </c>
      <c r="E48" t="s">
        <v>641</v>
      </c>
      <c r="F48" t="s">
        <v>699</v>
      </c>
      <c r="G48" t="s">
        <v>650</v>
      </c>
      <c r="H48">
        <v>29</v>
      </c>
      <c r="I48" t="s">
        <v>651</v>
      </c>
      <c r="J48">
        <v>5200</v>
      </c>
      <c r="K48" s="1">
        <v>44755</v>
      </c>
      <c r="L48">
        <v>2022</v>
      </c>
      <c r="M48" t="str">
        <f>UPPER(TEXT(_2020_2022[[#This Row],[Data da Venda]],"mmm"))</f>
        <v>JUL</v>
      </c>
    </row>
    <row r="49" spans="1:13" x14ac:dyDescent="0.25">
      <c r="A49" t="s">
        <v>1443</v>
      </c>
      <c r="B49">
        <v>1550</v>
      </c>
      <c r="C49">
        <v>2</v>
      </c>
      <c r="D49" t="s">
        <v>34</v>
      </c>
      <c r="E49" t="s">
        <v>679</v>
      </c>
      <c r="F49" t="s">
        <v>700</v>
      </c>
      <c r="G49" t="s">
        <v>650</v>
      </c>
      <c r="H49">
        <v>40</v>
      </c>
      <c r="I49" t="s">
        <v>644</v>
      </c>
      <c r="J49">
        <v>3100</v>
      </c>
      <c r="K49" s="1">
        <v>44832</v>
      </c>
      <c r="L49">
        <v>2022</v>
      </c>
      <c r="M49" t="str">
        <f>UPPER(TEXT(_2020_2022[[#This Row],[Data da Venda]],"mmm"))</f>
        <v>SET</v>
      </c>
    </row>
    <row r="50" spans="1:13" x14ac:dyDescent="0.25">
      <c r="A50" t="s">
        <v>24</v>
      </c>
      <c r="B50">
        <v>2000</v>
      </c>
      <c r="C50">
        <v>4</v>
      </c>
      <c r="D50" t="s">
        <v>33</v>
      </c>
      <c r="E50" t="s">
        <v>641</v>
      </c>
      <c r="F50" t="s">
        <v>701</v>
      </c>
      <c r="G50" t="s">
        <v>643</v>
      </c>
      <c r="H50">
        <v>50</v>
      </c>
      <c r="I50" t="s">
        <v>644</v>
      </c>
      <c r="J50">
        <v>8000</v>
      </c>
      <c r="K50" s="1">
        <v>44832</v>
      </c>
      <c r="L50">
        <v>2022</v>
      </c>
      <c r="M50" t="str">
        <f>UPPER(TEXT(_2020_2022[[#This Row],[Data da Venda]],"mmm"))</f>
        <v>SET</v>
      </c>
    </row>
    <row r="51" spans="1:13" x14ac:dyDescent="0.25">
      <c r="A51" t="s">
        <v>1441</v>
      </c>
      <c r="B51">
        <v>1450</v>
      </c>
      <c r="C51">
        <v>2</v>
      </c>
      <c r="D51" t="s">
        <v>37</v>
      </c>
      <c r="E51" t="s">
        <v>645</v>
      </c>
      <c r="F51" t="s">
        <v>702</v>
      </c>
      <c r="G51" t="s">
        <v>643</v>
      </c>
      <c r="H51">
        <v>56</v>
      </c>
      <c r="I51" t="s">
        <v>647</v>
      </c>
      <c r="J51">
        <v>2900</v>
      </c>
      <c r="K51" s="1">
        <v>44715</v>
      </c>
      <c r="L51">
        <v>2022</v>
      </c>
      <c r="M51" t="str">
        <f>UPPER(TEXT(_2020_2022[[#This Row],[Data da Venda]],"mmm"))</f>
        <v>JUN</v>
      </c>
    </row>
    <row r="52" spans="1:13" x14ac:dyDescent="0.25">
      <c r="A52" t="s">
        <v>18</v>
      </c>
      <c r="B52">
        <v>3000</v>
      </c>
      <c r="C52">
        <v>5</v>
      </c>
      <c r="D52" t="s">
        <v>35</v>
      </c>
      <c r="E52" t="s">
        <v>666</v>
      </c>
      <c r="F52" t="s">
        <v>703</v>
      </c>
      <c r="G52" t="s">
        <v>643</v>
      </c>
      <c r="H52">
        <v>33</v>
      </c>
      <c r="I52" t="s">
        <v>644</v>
      </c>
      <c r="J52">
        <v>15000</v>
      </c>
      <c r="K52" s="1">
        <v>44848</v>
      </c>
      <c r="L52">
        <v>2022</v>
      </c>
      <c r="M52" t="str">
        <f>UPPER(TEXT(_2020_2022[[#This Row],[Data da Venda]],"mmm"))</f>
        <v>OUT</v>
      </c>
    </row>
    <row r="53" spans="1:13" x14ac:dyDescent="0.25">
      <c r="A53" t="s">
        <v>8</v>
      </c>
      <c r="B53">
        <v>5500</v>
      </c>
      <c r="C53">
        <v>2</v>
      </c>
      <c r="D53" t="s">
        <v>37</v>
      </c>
      <c r="E53" t="s">
        <v>645</v>
      </c>
      <c r="F53" t="s">
        <v>704</v>
      </c>
      <c r="G53" t="s">
        <v>643</v>
      </c>
      <c r="H53">
        <v>38</v>
      </c>
      <c r="I53" t="s">
        <v>644</v>
      </c>
      <c r="J53">
        <v>11000</v>
      </c>
      <c r="K53" s="1">
        <v>44761</v>
      </c>
      <c r="L53">
        <v>2022</v>
      </c>
      <c r="M53" t="str">
        <f>UPPER(TEXT(_2020_2022[[#This Row],[Data da Venda]],"mmm"))</f>
        <v>JUL</v>
      </c>
    </row>
    <row r="54" spans="1:13" x14ac:dyDescent="0.25">
      <c r="A54" t="s">
        <v>1440</v>
      </c>
      <c r="B54">
        <v>700</v>
      </c>
      <c r="C54">
        <v>3</v>
      </c>
      <c r="D54" t="s">
        <v>34</v>
      </c>
      <c r="E54" t="s">
        <v>679</v>
      </c>
      <c r="F54" t="s">
        <v>705</v>
      </c>
      <c r="G54" t="s">
        <v>650</v>
      </c>
      <c r="H54">
        <v>26</v>
      </c>
      <c r="I54" t="s">
        <v>651</v>
      </c>
      <c r="J54">
        <v>2100</v>
      </c>
      <c r="K54" s="1">
        <v>44660</v>
      </c>
      <c r="L54">
        <v>2022</v>
      </c>
      <c r="M54" t="str">
        <f>UPPER(TEXT(_2020_2022[[#This Row],[Data da Venda]],"mmm"))</f>
        <v>ABR</v>
      </c>
    </row>
    <row r="55" spans="1:13" x14ac:dyDescent="0.25">
      <c r="A55" t="s">
        <v>22</v>
      </c>
      <c r="B55">
        <v>5200</v>
      </c>
      <c r="C55">
        <v>3</v>
      </c>
      <c r="D55" t="s">
        <v>39</v>
      </c>
      <c r="E55" t="s">
        <v>641</v>
      </c>
      <c r="F55" t="s">
        <v>706</v>
      </c>
      <c r="G55" t="s">
        <v>650</v>
      </c>
      <c r="H55">
        <v>32</v>
      </c>
      <c r="I55" t="s">
        <v>644</v>
      </c>
      <c r="J55">
        <v>15600</v>
      </c>
      <c r="K55" s="1">
        <v>44694</v>
      </c>
      <c r="L55">
        <v>2022</v>
      </c>
      <c r="M55" t="str">
        <f>UPPER(TEXT(_2020_2022[[#This Row],[Data da Venda]],"mmm"))</f>
        <v>MAI</v>
      </c>
    </row>
    <row r="56" spans="1:13" x14ac:dyDescent="0.25">
      <c r="A56" t="s">
        <v>1444</v>
      </c>
      <c r="B56">
        <v>1500</v>
      </c>
      <c r="C56">
        <v>4</v>
      </c>
      <c r="D56" t="s">
        <v>35</v>
      </c>
      <c r="E56" t="s">
        <v>666</v>
      </c>
      <c r="F56" t="s">
        <v>707</v>
      </c>
      <c r="G56" t="s">
        <v>643</v>
      </c>
      <c r="H56">
        <v>60</v>
      </c>
      <c r="I56" t="s">
        <v>647</v>
      </c>
      <c r="J56">
        <v>6000</v>
      </c>
      <c r="K56" s="1">
        <v>44685</v>
      </c>
      <c r="L56">
        <v>2022</v>
      </c>
      <c r="M56" t="str">
        <f>UPPER(TEXT(_2020_2022[[#This Row],[Data da Venda]],"mmm"))</f>
        <v>MAI</v>
      </c>
    </row>
    <row r="57" spans="1:13" x14ac:dyDescent="0.25">
      <c r="A57" t="s">
        <v>1442</v>
      </c>
      <c r="B57">
        <v>1200</v>
      </c>
      <c r="C57">
        <v>3</v>
      </c>
      <c r="D57" t="s">
        <v>29</v>
      </c>
      <c r="E57" t="s">
        <v>641</v>
      </c>
      <c r="F57" t="s">
        <v>708</v>
      </c>
      <c r="G57" t="s">
        <v>650</v>
      </c>
      <c r="H57">
        <v>35</v>
      </c>
      <c r="I57" t="s">
        <v>644</v>
      </c>
      <c r="J57">
        <v>3600</v>
      </c>
      <c r="K57" s="1">
        <v>44612</v>
      </c>
      <c r="L57">
        <v>2022</v>
      </c>
      <c r="M57" t="str">
        <f>UPPER(TEXT(_2020_2022[[#This Row],[Data da Venda]],"mmm"))</f>
        <v>FEV</v>
      </c>
    </row>
    <row r="58" spans="1:13" x14ac:dyDescent="0.25">
      <c r="A58" t="s">
        <v>24</v>
      </c>
      <c r="B58">
        <v>2000</v>
      </c>
      <c r="C58">
        <v>4</v>
      </c>
      <c r="D58" t="s">
        <v>32</v>
      </c>
      <c r="E58" t="s">
        <v>652</v>
      </c>
      <c r="F58" t="s">
        <v>709</v>
      </c>
      <c r="G58" t="s">
        <v>650</v>
      </c>
      <c r="H58">
        <v>35</v>
      </c>
      <c r="I58" t="s">
        <v>644</v>
      </c>
      <c r="J58">
        <v>8000</v>
      </c>
      <c r="K58" s="1">
        <v>44715</v>
      </c>
      <c r="L58">
        <v>2022</v>
      </c>
      <c r="M58" t="str">
        <f>UPPER(TEXT(_2020_2022[[#This Row],[Data da Venda]],"mmm"))</f>
        <v>JUN</v>
      </c>
    </row>
    <row r="59" spans="1:13" x14ac:dyDescent="0.25">
      <c r="A59" t="s">
        <v>16</v>
      </c>
      <c r="B59">
        <v>1400</v>
      </c>
      <c r="C59">
        <v>1</v>
      </c>
      <c r="D59" t="s">
        <v>30</v>
      </c>
      <c r="E59" t="s">
        <v>645</v>
      </c>
      <c r="F59" t="s">
        <v>710</v>
      </c>
      <c r="G59" t="s">
        <v>643</v>
      </c>
      <c r="H59">
        <v>41</v>
      </c>
      <c r="I59" t="s">
        <v>644</v>
      </c>
      <c r="J59">
        <v>1400</v>
      </c>
      <c r="K59" s="1">
        <v>44922</v>
      </c>
      <c r="L59">
        <v>2022</v>
      </c>
      <c r="M59" t="str">
        <f>UPPER(TEXT(_2020_2022[[#This Row],[Data da Venda]],"mmm"))</f>
        <v>DEZ</v>
      </c>
    </row>
    <row r="60" spans="1:13" x14ac:dyDescent="0.25">
      <c r="A60" t="s">
        <v>14</v>
      </c>
      <c r="B60">
        <v>2000</v>
      </c>
      <c r="C60">
        <v>5</v>
      </c>
      <c r="D60" t="s">
        <v>29</v>
      </c>
      <c r="E60" t="s">
        <v>641</v>
      </c>
      <c r="F60" t="s">
        <v>711</v>
      </c>
      <c r="G60" t="s">
        <v>650</v>
      </c>
      <c r="H60">
        <v>55</v>
      </c>
      <c r="I60" t="s">
        <v>647</v>
      </c>
      <c r="J60">
        <v>10000</v>
      </c>
      <c r="K60" s="1">
        <v>44615</v>
      </c>
      <c r="L60">
        <v>2022</v>
      </c>
      <c r="M60" t="str">
        <f>UPPER(TEXT(_2020_2022[[#This Row],[Data da Venda]],"mmm"))</f>
        <v>FEV</v>
      </c>
    </row>
    <row r="61" spans="1:13" x14ac:dyDescent="0.25">
      <c r="A61" t="s">
        <v>21</v>
      </c>
      <c r="B61">
        <v>2400</v>
      </c>
      <c r="C61">
        <v>4</v>
      </c>
      <c r="D61" t="s">
        <v>39</v>
      </c>
      <c r="E61" t="s">
        <v>641</v>
      </c>
      <c r="F61" t="s">
        <v>712</v>
      </c>
      <c r="G61" t="s">
        <v>650</v>
      </c>
      <c r="H61">
        <v>45</v>
      </c>
      <c r="I61" t="s">
        <v>644</v>
      </c>
      <c r="J61">
        <v>9600</v>
      </c>
      <c r="K61" s="1">
        <v>44634</v>
      </c>
      <c r="L61">
        <v>2022</v>
      </c>
      <c r="M61" t="str">
        <f>UPPER(TEXT(_2020_2022[[#This Row],[Data da Venda]],"mmm"))</f>
        <v>MAR</v>
      </c>
    </row>
    <row r="62" spans="1:13" x14ac:dyDescent="0.25">
      <c r="A62" t="s">
        <v>5</v>
      </c>
      <c r="B62">
        <v>1750</v>
      </c>
      <c r="C62">
        <v>2</v>
      </c>
      <c r="D62" t="s">
        <v>40</v>
      </c>
      <c r="E62" t="s">
        <v>657</v>
      </c>
      <c r="F62" t="s">
        <v>713</v>
      </c>
      <c r="G62" t="s">
        <v>643</v>
      </c>
      <c r="H62">
        <v>58</v>
      </c>
      <c r="I62" t="s">
        <v>647</v>
      </c>
      <c r="J62">
        <v>3500</v>
      </c>
      <c r="K62" s="1">
        <v>44814</v>
      </c>
      <c r="L62">
        <v>2022</v>
      </c>
      <c r="M62" t="str">
        <f>UPPER(TEXT(_2020_2022[[#This Row],[Data da Venda]],"mmm"))</f>
        <v>SET</v>
      </c>
    </row>
    <row r="63" spans="1:13" x14ac:dyDescent="0.25">
      <c r="A63" t="s">
        <v>1440</v>
      </c>
      <c r="B63">
        <v>700</v>
      </c>
      <c r="C63">
        <v>5</v>
      </c>
      <c r="D63" t="s">
        <v>29</v>
      </c>
      <c r="E63" t="s">
        <v>641</v>
      </c>
      <c r="F63" t="s">
        <v>714</v>
      </c>
      <c r="G63" t="s">
        <v>650</v>
      </c>
      <c r="H63">
        <v>31</v>
      </c>
      <c r="I63" t="s">
        <v>644</v>
      </c>
      <c r="J63">
        <v>3500</v>
      </c>
      <c r="K63" s="1">
        <v>44664</v>
      </c>
      <c r="L63">
        <v>2022</v>
      </c>
      <c r="M63" t="str">
        <f>UPPER(TEXT(_2020_2022[[#This Row],[Data da Venda]],"mmm"))</f>
        <v>ABR</v>
      </c>
    </row>
    <row r="64" spans="1:13" x14ac:dyDescent="0.25">
      <c r="A64" t="s">
        <v>1440</v>
      </c>
      <c r="B64">
        <v>700</v>
      </c>
      <c r="C64">
        <v>1</v>
      </c>
      <c r="D64" t="s">
        <v>32</v>
      </c>
      <c r="E64" t="s">
        <v>652</v>
      </c>
      <c r="F64" t="s">
        <v>715</v>
      </c>
      <c r="G64" t="s">
        <v>643</v>
      </c>
      <c r="H64">
        <v>72</v>
      </c>
      <c r="I64" t="s">
        <v>647</v>
      </c>
      <c r="J64">
        <v>700</v>
      </c>
      <c r="K64" s="1">
        <v>44740</v>
      </c>
      <c r="L64">
        <v>2022</v>
      </c>
      <c r="M64" t="str">
        <f>UPPER(TEXT(_2020_2022[[#This Row],[Data da Venda]],"mmm"))</f>
        <v>JUN</v>
      </c>
    </row>
    <row r="65" spans="1:13" x14ac:dyDescent="0.25">
      <c r="A65" t="s">
        <v>16</v>
      </c>
      <c r="B65">
        <v>1400</v>
      </c>
      <c r="C65">
        <v>2</v>
      </c>
      <c r="D65" t="s">
        <v>40</v>
      </c>
      <c r="E65" t="s">
        <v>657</v>
      </c>
      <c r="F65" t="s">
        <v>716</v>
      </c>
      <c r="G65" t="s">
        <v>650</v>
      </c>
      <c r="H65">
        <v>52</v>
      </c>
      <c r="I65" t="s">
        <v>647</v>
      </c>
      <c r="J65">
        <v>2800</v>
      </c>
      <c r="K65" s="1">
        <v>44857</v>
      </c>
      <c r="L65">
        <v>2022</v>
      </c>
      <c r="M65" t="str">
        <f>UPPER(TEXT(_2020_2022[[#This Row],[Data da Venda]],"mmm"))</f>
        <v>OUT</v>
      </c>
    </row>
    <row r="66" spans="1:13" x14ac:dyDescent="0.25">
      <c r="A66" t="s">
        <v>12</v>
      </c>
      <c r="B66">
        <v>6500</v>
      </c>
      <c r="C66">
        <v>5</v>
      </c>
      <c r="D66" t="s">
        <v>38</v>
      </c>
      <c r="E66" t="s">
        <v>648</v>
      </c>
      <c r="F66" t="s">
        <v>717</v>
      </c>
      <c r="G66" t="s">
        <v>643</v>
      </c>
      <c r="H66">
        <v>64</v>
      </c>
      <c r="I66" t="s">
        <v>647</v>
      </c>
      <c r="J66">
        <v>32500</v>
      </c>
      <c r="K66" s="1">
        <v>44836</v>
      </c>
      <c r="L66">
        <v>2022</v>
      </c>
      <c r="M66" t="str">
        <f>UPPER(TEXT(_2020_2022[[#This Row],[Data da Venda]],"mmm"))</f>
        <v>OUT</v>
      </c>
    </row>
    <row r="67" spans="1:13" x14ac:dyDescent="0.25">
      <c r="A67" t="s">
        <v>1441</v>
      </c>
      <c r="B67">
        <v>1450</v>
      </c>
      <c r="C67">
        <v>5</v>
      </c>
      <c r="D67" t="s">
        <v>37</v>
      </c>
      <c r="E67" t="s">
        <v>645</v>
      </c>
      <c r="F67" t="s">
        <v>718</v>
      </c>
      <c r="G67" t="s">
        <v>650</v>
      </c>
      <c r="H67">
        <v>37</v>
      </c>
      <c r="I67" t="s">
        <v>644</v>
      </c>
      <c r="J67">
        <v>7250</v>
      </c>
      <c r="K67" s="1">
        <v>44776</v>
      </c>
      <c r="L67">
        <v>2022</v>
      </c>
      <c r="M67" t="str">
        <f>UPPER(TEXT(_2020_2022[[#This Row],[Data da Venda]],"mmm"))</f>
        <v>AGO</v>
      </c>
    </row>
    <row r="68" spans="1:13" x14ac:dyDescent="0.25">
      <c r="A68" t="s">
        <v>18</v>
      </c>
      <c r="B68">
        <v>3000</v>
      </c>
      <c r="C68">
        <v>5</v>
      </c>
      <c r="D68" t="s">
        <v>32</v>
      </c>
      <c r="E68" t="s">
        <v>652</v>
      </c>
      <c r="F68" t="s">
        <v>719</v>
      </c>
      <c r="G68" t="s">
        <v>643</v>
      </c>
      <c r="H68">
        <v>34</v>
      </c>
      <c r="I68" t="s">
        <v>644</v>
      </c>
      <c r="J68">
        <v>15000</v>
      </c>
      <c r="K68" s="1">
        <v>44914</v>
      </c>
      <c r="L68">
        <v>2022</v>
      </c>
      <c r="M68" t="str">
        <f>UPPER(TEXT(_2020_2022[[#This Row],[Data da Venda]],"mmm"))</f>
        <v>DEZ</v>
      </c>
    </row>
    <row r="69" spans="1:13" x14ac:dyDescent="0.25">
      <c r="A69" t="s">
        <v>1444</v>
      </c>
      <c r="B69">
        <v>1500</v>
      </c>
      <c r="C69">
        <v>5</v>
      </c>
      <c r="D69" t="s">
        <v>29</v>
      </c>
      <c r="E69" t="s">
        <v>641</v>
      </c>
      <c r="F69" t="s">
        <v>720</v>
      </c>
      <c r="G69" t="s">
        <v>650</v>
      </c>
      <c r="H69">
        <v>57</v>
      </c>
      <c r="I69" t="s">
        <v>647</v>
      </c>
      <c r="J69">
        <v>7500</v>
      </c>
      <c r="K69" s="1">
        <v>44732</v>
      </c>
      <c r="L69">
        <v>2022</v>
      </c>
      <c r="M69" t="str">
        <f>UPPER(TEXT(_2020_2022[[#This Row],[Data da Venda]],"mmm"))</f>
        <v>JUN</v>
      </c>
    </row>
    <row r="70" spans="1:13" x14ac:dyDescent="0.25">
      <c r="A70" t="s">
        <v>24</v>
      </c>
      <c r="B70">
        <v>2000</v>
      </c>
      <c r="C70">
        <v>2</v>
      </c>
      <c r="D70" t="s">
        <v>35</v>
      </c>
      <c r="E70" t="s">
        <v>666</v>
      </c>
      <c r="F70" t="s">
        <v>721</v>
      </c>
      <c r="G70" t="s">
        <v>650</v>
      </c>
      <c r="H70">
        <v>38</v>
      </c>
      <c r="I70" t="s">
        <v>644</v>
      </c>
      <c r="J70">
        <v>4000</v>
      </c>
      <c r="K70" s="1">
        <v>44881</v>
      </c>
      <c r="L70">
        <v>2022</v>
      </c>
      <c r="M70" t="str">
        <f>UPPER(TEXT(_2020_2022[[#This Row],[Data da Venda]],"mmm"))</f>
        <v>NOV</v>
      </c>
    </row>
    <row r="71" spans="1:13" x14ac:dyDescent="0.25">
      <c r="A71" t="s">
        <v>18</v>
      </c>
      <c r="B71">
        <v>3000</v>
      </c>
      <c r="C71">
        <v>2</v>
      </c>
      <c r="D71" t="s">
        <v>30</v>
      </c>
      <c r="E71" t="s">
        <v>645</v>
      </c>
      <c r="F71" t="s">
        <v>722</v>
      </c>
      <c r="G71" t="s">
        <v>643</v>
      </c>
      <c r="H71">
        <v>64</v>
      </c>
      <c r="I71" t="s">
        <v>647</v>
      </c>
      <c r="J71">
        <v>6000</v>
      </c>
      <c r="K71" s="1">
        <v>44745</v>
      </c>
      <c r="L71">
        <v>2022</v>
      </c>
      <c r="M71" t="str">
        <f>UPPER(TEXT(_2020_2022[[#This Row],[Data da Venda]],"mmm"))</f>
        <v>JUL</v>
      </c>
    </row>
    <row r="72" spans="1:13" x14ac:dyDescent="0.25">
      <c r="A72" t="s">
        <v>1444</v>
      </c>
      <c r="B72">
        <v>1500</v>
      </c>
      <c r="C72">
        <v>1</v>
      </c>
      <c r="D72" t="s">
        <v>33</v>
      </c>
      <c r="E72" t="s">
        <v>641</v>
      </c>
      <c r="F72" t="s">
        <v>723</v>
      </c>
      <c r="G72" t="s">
        <v>643</v>
      </c>
      <c r="H72">
        <v>41</v>
      </c>
      <c r="I72" t="s">
        <v>644</v>
      </c>
      <c r="J72">
        <v>1500</v>
      </c>
      <c r="K72" s="1">
        <v>44746</v>
      </c>
      <c r="L72">
        <v>2022</v>
      </c>
      <c r="M72" t="str">
        <f>UPPER(TEXT(_2020_2022[[#This Row],[Data da Venda]],"mmm"))</f>
        <v>JUL</v>
      </c>
    </row>
    <row r="73" spans="1:13" x14ac:dyDescent="0.25">
      <c r="A73" t="s">
        <v>1440</v>
      </c>
      <c r="B73">
        <v>700</v>
      </c>
      <c r="C73">
        <v>4</v>
      </c>
      <c r="D73" t="s">
        <v>35</v>
      </c>
      <c r="E73" t="s">
        <v>666</v>
      </c>
      <c r="F73" t="s">
        <v>724</v>
      </c>
      <c r="G73" t="s">
        <v>643</v>
      </c>
      <c r="H73">
        <v>55</v>
      </c>
      <c r="I73" t="s">
        <v>647</v>
      </c>
      <c r="J73">
        <v>2800</v>
      </c>
      <c r="K73" s="1">
        <v>44787</v>
      </c>
      <c r="L73">
        <v>2022</v>
      </c>
      <c r="M73" t="str">
        <f>UPPER(TEXT(_2020_2022[[#This Row],[Data da Venda]],"mmm"))</f>
        <v>AGO</v>
      </c>
    </row>
    <row r="74" spans="1:13" x14ac:dyDescent="0.25">
      <c r="A74" t="s">
        <v>1443</v>
      </c>
      <c r="B74">
        <v>1550</v>
      </c>
      <c r="C74">
        <v>3</v>
      </c>
      <c r="D74" t="s">
        <v>30</v>
      </c>
      <c r="E74" t="s">
        <v>645</v>
      </c>
      <c r="F74" t="s">
        <v>725</v>
      </c>
      <c r="G74" t="s">
        <v>650</v>
      </c>
      <c r="H74">
        <v>36</v>
      </c>
      <c r="I74" t="s">
        <v>644</v>
      </c>
      <c r="J74">
        <v>4650</v>
      </c>
      <c r="K74" s="1">
        <v>44877</v>
      </c>
      <c r="L74">
        <v>2022</v>
      </c>
      <c r="M74" t="str">
        <f>UPPER(TEXT(_2020_2022[[#This Row],[Data da Venda]],"mmm"))</f>
        <v>NOV</v>
      </c>
    </row>
    <row r="75" spans="1:13" x14ac:dyDescent="0.25">
      <c r="A75" t="s">
        <v>1440</v>
      </c>
      <c r="B75">
        <v>700</v>
      </c>
      <c r="C75">
        <v>2</v>
      </c>
      <c r="D75" t="s">
        <v>39</v>
      </c>
      <c r="E75" t="s">
        <v>641</v>
      </c>
      <c r="F75" t="s">
        <v>726</v>
      </c>
      <c r="G75" t="s">
        <v>643</v>
      </c>
      <c r="H75">
        <v>43</v>
      </c>
      <c r="I75" t="s">
        <v>644</v>
      </c>
      <c r="J75">
        <v>1400</v>
      </c>
      <c r="K75" s="1">
        <v>44637</v>
      </c>
      <c r="L75">
        <v>2022</v>
      </c>
      <c r="M75" t="str">
        <f>UPPER(TEXT(_2020_2022[[#This Row],[Data da Venda]],"mmm"))</f>
        <v>MAR</v>
      </c>
    </row>
    <row r="76" spans="1:13" x14ac:dyDescent="0.25">
      <c r="A76" t="s">
        <v>5</v>
      </c>
      <c r="B76">
        <v>1750</v>
      </c>
      <c r="C76">
        <v>5</v>
      </c>
      <c r="D76" t="s">
        <v>33</v>
      </c>
      <c r="E76" t="s">
        <v>641</v>
      </c>
      <c r="F76" t="s">
        <v>727</v>
      </c>
      <c r="G76" t="s">
        <v>643</v>
      </c>
      <c r="H76">
        <v>39</v>
      </c>
      <c r="I76" t="s">
        <v>644</v>
      </c>
      <c r="J76">
        <v>8750</v>
      </c>
      <c r="K76" s="1">
        <v>44665</v>
      </c>
      <c r="L76">
        <v>2022</v>
      </c>
      <c r="M76" t="str">
        <f>UPPER(TEXT(_2020_2022[[#This Row],[Data da Venda]],"mmm"))</f>
        <v>ABR</v>
      </c>
    </row>
    <row r="77" spans="1:13" x14ac:dyDescent="0.25">
      <c r="A77" t="s">
        <v>11</v>
      </c>
      <c r="B77">
        <v>4500</v>
      </c>
      <c r="C77">
        <v>3</v>
      </c>
      <c r="D77" t="s">
        <v>37</v>
      </c>
      <c r="E77" t="s">
        <v>645</v>
      </c>
      <c r="F77" t="s">
        <v>676</v>
      </c>
      <c r="G77" t="s">
        <v>650</v>
      </c>
      <c r="H77">
        <v>60</v>
      </c>
      <c r="I77" t="s">
        <v>647</v>
      </c>
      <c r="J77">
        <v>13500</v>
      </c>
      <c r="K77" s="1">
        <v>44816</v>
      </c>
      <c r="L77">
        <v>2022</v>
      </c>
      <c r="M77" t="str">
        <f>UPPER(TEXT(_2020_2022[[#This Row],[Data da Venda]],"mmm"))</f>
        <v>SET</v>
      </c>
    </row>
    <row r="78" spans="1:13" x14ac:dyDescent="0.25">
      <c r="A78" t="s">
        <v>1442</v>
      </c>
      <c r="B78">
        <v>1200</v>
      </c>
      <c r="C78">
        <v>4</v>
      </c>
      <c r="D78" t="s">
        <v>36</v>
      </c>
      <c r="E78" t="s">
        <v>677</v>
      </c>
      <c r="F78" t="s">
        <v>728</v>
      </c>
      <c r="G78" t="s">
        <v>643</v>
      </c>
      <c r="H78">
        <v>60</v>
      </c>
      <c r="I78" t="s">
        <v>647</v>
      </c>
      <c r="J78">
        <v>4800</v>
      </c>
      <c r="K78" s="1">
        <v>44803</v>
      </c>
      <c r="L78">
        <v>2022</v>
      </c>
      <c r="M78" t="str">
        <f>UPPER(TEXT(_2020_2022[[#This Row],[Data da Venda]],"mmm"))</f>
        <v>AGO</v>
      </c>
    </row>
    <row r="79" spans="1:13" x14ac:dyDescent="0.25">
      <c r="A79" t="s">
        <v>8</v>
      </c>
      <c r="B79">
        <v>5500</v>
      </c>
      <c r="C79">
        <v>2</v>
      </c>
      <c r="D79" t="s">
        <v>33</v>
      </c>
      <c r="E79" t="s">
        <v>641</v>
      </c>
      <c r="F79" t="s">
        <v>729</v>
      </c>
      <c r="G79" t="s">
        <v>650</v>
      </c>
      <c r="H79">
        <v>42</v>
      </c>
      <c r="I79" t="s">
        <v>644</v>
      </c>
      <c r="J79">
        <v>11000</v>
      </c>
      <c r="K79" s="1">
        <v>44768</v>
      </c>
      <c r="L79">
        <v>2022</v>
      </c>
      <c r="M79" t="str">
        <f>UPPER(TEXT(_2020_2022[[#This Row],[Data da Venda]],"mmm"))</f>
        <v>JUL</v>
      </c>
    </row>
    <row r="80" spans="1:13" x14ac:dyDescent="0.25">
      <c r="A80" t="s">
        <v>13</v>
      </c>
      <c r="B80">
        <v>2300</v>
      </c>
      <c r="C80">
        <v>3</v>
      </c>
      <c r="D80" t="s">
        <v>34</v>
      </c>
      <c r="E80" t="s">
        <v>679</v>
      </c>
      <c r="F80" t="s">
        <v>730</v>
      </c>
      <c r="G80" t="s">
        <v>643</v>
      </c>
      <c r="H80">
        <v>38</v>
      </c>
      <c r="I80" t="s">
        <v>644</v>
      </c>
      <c r="J80">
        <v>6900</v>
      </c>
      <c r="K80" s="1">
        <v>44664</v>
      </c>
      <c r="L80">
        <v>2022</v>
      </c>
      <c r="M80" t="str">
        <f>UPPER(TEXT(_2020_2022[[#This Row],[Data da Venda]],"mmm"))</f>
        <v>ABR</v>
      </c>
    </row>
    <row r="81" spans="1:13" x14ac:dyDescent="0.25">
      <c r="A81" t="s">
        <v>22</v>
      </c>
      <c r="B81">
        <v>5200</v>
      </c>
      <c r="C81">
        <v>2</v>
      </c>
      <c r="D81" t="s">
        <v>35</v>
      </c>
      <c r="E81" t="s">
        <v>666</v>
      </c>
      <c r="F81" t="s">
        <v>731</v>
      </c>
      <c r="G81" t="s">
        <v>643</v>
      </c>
      <c r="H81">
        <v>62</v>
      </c>
      <c r="I81" t="s">
        <v>647</v>
      </c>
      <c r="J81">
        <v>10400</v>
      </c>
      <c r="K81" s="1">
        <v>44649</v>
      </c>
      <c r="L81">
        <v>2022</v>
      </c>
      <c r="M81" t="str">
        <f>UPPER(TEXT(_2020_2022[[#This Row],[Data da Venda]],"mmm"))</f>
        <v>MAR</v>
      </c>
    </row>
    <row r="82" spans="1:13" x14ac:dyDescent="0.25">
      <c r="A82" t="s">
        <v>20</v>
      </c>
      <c r="B82">
        <v>2600</v>
      </c>
      <c r="C82">
        <v>3</v>
      </c>
      <c r="D82" t="s">
        <v>37</v>
      </c>
      <c r="E82" t="s">
        <v>645</v>
      </c>
      <c r="F82" t="s">
        <v>668</v>
      </c>
      <c r="G82" t="s">
        <v>650</v>
      </c>
      <c r="H82">
        <v>57</v>
      </c>
      <c r="I82" t="s">
        <v>647</v>
      </c>
      <c r="J82">
        <v>7800</v>
      </c>
      <c r="K82" s="1">
        <v>44697</v>
      </c>
      <c r="L82">
        <v>2022</v>
      </c>
      <c r="M82" t="str">
        <f>UPPER(TEXT(_2020_2022[[#This Row],[Data da Venda]],"mmm"))</f>
        <v>MAI</v>
      </c>
    </row>
    <row r="83" spans="1:13" x14ac:dyDescent="0.25">
      <c r="A83" t="s">
        <v>16</v>
      </c>
      <c r="B83">
        <v>1400</v>
      </c>
      <c r="C83">
        <v>2</v>
      </c>
      <c r="D83" t="s">
        <v>35</v>
      </c>
      <c r="E83" t="s">
        <v>666</v>
      </c>
      <c r="F83" t="s">
        <v>732</v>
      </c>
      <c r="G83" t="s">
        <v>650</v>
      </c>
      <c r="H83">
        <v>44</v>
      </c>
      <c r="I83" t="s">
        <v>644</v>
      </c>
      <c r="J83">
        <v>2800</v>
      </c>
      <c r="K83" s="1">
        <v>44901</v>
      </c>
      <c r="L83">
        <v>2022</v>
      </c>
      <c r="M83" t="str">
        <f>UPPER(TEXT(_2020_2022[[#This Row],[Data da Venda]],"mmm"))</f>
        <v>DEZ</v>
      </c>
    </row>
    <row r="84" spans="1:13" x14ac:dyDescent="0.25">
      <c r="A84" t="s">
        <v>24</v>
      </c>
      <c r="B84">
        <v>2000</v>
      </c>
      <c r="C84">
        <v>4</v>
      </c>
      <c r="D84" t="s">
        <v>36</v>
      </c>
      <c r="E84" t="s">
        <v>677</v>
      </c>
      <c r="F84" t="s">
        <v>733</v>
      </c>
      <c r="G84" t="s">
        <v>643</v>
      </c>
      <c r="H84">
        <v>75</v>
      </c>
      <c r="I84" t="s">
        <v>647</v>
      </c>
      <c r="J84">
        <v>8000</v>
      </c>
      <c r="K84" s="1">
        <v>44593</v>
      </c>
      <c r="L84">
        <v>2022</v>
      </c>
      <c r="M84" t="str">
        <f>UPPER(TEXT(_2020_2022[[#This Row],[Data da Venda]],"mmm"))</f>
        <v>FEV</v>
      </c>
    </row>
    <row r="85" spans="1:13" x14ac:dyDescent="0.25">
      <c r="A85" t="s">
        <v>8</v>
      </c>
      <c r="B85">
        <v>5500</v>
      </c>
      <c r="C85">
        <v>4</v>
      </c>
      <c r="D85" t="s">
        <v>29</v>
      </c>
      <c r="E85" t="s">
        <v>641</v>
      </c>
      <c r="F85" t="s">
        <v>734</v>
      </c>
      <c r="G85" t="s">
        <v>643</v>
      </c>
      <c r="H85">
        <v>52</v>
      </c>
      <c r="I85" t="s">
        <v>647</v>
      </c>
      <c r="J85">
        <v>22000</v>
      </c>
      <c r="K85" s="1">
        <v>44792</v>
      </c>
      <c r="L85">
        <v>2022</v>
      </c>
      <c r="M85" t="str">
        <f>UPPER(TEXT(_2020_2022[[#This Row],[Data da Venda]],"mmm"))</f>
        <v>AGO</v>
      </c>
    </row>
    <row r="86" spans="1:13" x14ac:dyDescent="0.25">
      <c r="A86" t="s">
        <v>15</v>
      </c>
      <c r="B86">
        <v>1900</v>
      </c>
      <c r="C86">
        <v>3</v>
      </c>
      <c r="D86" t="s">
        <v>37</v>
      </c>
      <c r="E86" t="s">
        <v>645</v>
      </c>
      <c r="F86" t="s">
        <v>735</v>
      </c>
      <c r="G86" t="s">
        <v>643</v>
      </c>
      <c r="H86">
        <v>29</v>
      </c>
      <c r="I86" t="s">
        <v>651</v>
      </c>
      <c r="J86">
        <v>5700</v>
      </c>
      <c r="K86" s="1">
        <v>44922</v>
      </c>
      <c r="L86">
        <v>2022</v>
      </c>
      <c r="M86" t="str">
        <f>UPPER(TEXT(_2020_2022[[#This Row],[Data da Venda]],"mmm"))</f>
        <v>DEZ</v>
      </c>
    </row>
    <row r="87" spans="1:13" x14ac:dyDescent="0.25">
      <c r="A87" t="s">
        <v>22</v>
      </c>
      <c r="B87">
        <v>5200</v>
      </c>
      <c r="C87">
        <v>5</v>
      </c>
      <c r="D87" t="s">
        <v>30</v>
      </c>
      <c r="E87" t="s">
        <v>645</v>
      </c>
      <c r="F87" t="s">
        <v>736</v>
      </c>
      <c r="G87" t="s">
        <v>643</v>
      </c>
      <c r="H87">
        <v>37</v>
      </c>
      <c r="I87" t="s">
        <v>644</v>
      </c>
      <c r="J87">
        <v>26000</v>
      </c>
      <c r="K87" s="1">
        <v>44675</v>
      </c>
      <c r="L87">
        <v>2022</v>
      </c>
      <c r="M87" t="str">
        <f>UPPER(TEXT(_2020_2022[[#This Row],[Data da Venda]],"mmm"))</f>
        <v>ABR</v>
      </c>
    </row>
    <row r="88" spans="1:13" x14ac:dyDescent="0.25">
      <c r="A88" t="s">
        <v>9</v>
      </c>
      <c r="B88">
        <v>1500</v>
      </c>
      <c r="C88">
        <v>5</v>
      </c>
      <c r="D88" t="s">
        <v>34</v>
      </c>
      <c r="E88" t="s">
        <v>679</v>
      </c>
      <c r="F88" t="s">
        <v>737</v>
      </c>
      <c r="G88" t="s">
        <v>650</v>
      </c>
      <c r="H88">
        <v>54</v>
      </c>
      <c r="I88" t="s">
        <v>647</v>
      </c>
      <c r="J88">
        <v>7500</v>
      </c>
      <c r="K88" s="1">
        <v>44827</v>
      </c>
      <c r="L88">
        <v>2022</v>
      </c>
      <c r="M88" t="str">
        <f>UPPER(TEXT(_2020_2022[[#This Row],[Data da Venda]],"mmm"))</f>
        <v>SET</v>
      </c>
    </row>
    <row r="89" spans="1:13" x14ac:dyDescent="0.25">
      <c r="A89" t="s">
        <v>12</v>
      </c>
      <c r="B89">
        <v>6500</v>
      </c>
      <c r="C89">
        <v>5</v>
      </c>
      <c r="D89" t="s">
        <v>33</v>
      </c>
      <c r="E89" t="s">
        <v>641</v>
      </c>
      <c r="F89" t="s">
        <v>738</v>
      </c>
      <c r="G89" t="s">
        <v>650</v>
      </c>
      <c r="H89">
        <v>73</v>
      </c>
      <c r="I89" t="s">
        <v>647</v>
      </c>
      <c r="J89">
        <v>32500</v>
      </c>
      <c r="K89" s="1">
        <v>44655</v>
      </c>
      <c r="L89">
        <v>2022</v>
      </c>
      <c r="M89" t="str">
        <f>UPPER(TEXT(_2020_2022[[#This Row],[Data da Venda]],"mmm"))</f>
        <v>ABR</v>
      </c>
    </row>
    <row r="90" spans="1:13" x14ac:dyDescent="0.25">
      <c r="A90" t="s">
        <v>24</v>
      </c>
      <c r="B90">
        <v>2000</v>
      </c>
      <c r="C90">
        <v>4</v>
      </c>
      <c r="D90" t="s">
        <v>37</v>
      </c>
      <c r="E90" t="s">
        <v>645</v>
      </c>
      <c r="F90" t="s">
        <v>739</v>
      </c>
      <c r="G90" t="s">
        <v>650</v>
      </c>
      <c r="H90">
        <v>63</v>
      </c>
      <c r="I90" t="s">
        <v>647</v>
      </c>
      <c r="J90">
        <v>8000</v>
      </c>
      <c r="K90" s="1">
        <v>44780</v>
      </c>
      <c r="L90">
        <v>2022</v>
      </c>
      <c r="M90" t="str">
        <f>UPPER(TEXT(_2020_2022[[#This Row],[Data da Venda]],"mmm"))</f>
        <v>AGO</v>
      </c>
    </row>
    <row r="91" spans="1:13" x14ac:dyDescent="0.25">
      <c r="A91" t="s">
        <v>11</v>
      </c>
      <c r="B91">
        <v>4500</v>
      </c>
      <c r="C91">
        <v>3</v>
      </c>
      <c r="D91" t="s">
        <v>34</v>
      </c>
      <c r="E91" t="s">
        <v>679</v>
      </c>
      <c r="F91" t="s">
        <v>740</v>
      </c>
      <c r="G91" t="s">
        <v>643</v>
      </c>
      <c r="H91">
        <v>40</v>
      </c>
      <c r="I91" t="s">
        <v>644</v>
      </c>
      <c r="J91">
        <v>13500</v>
      </c>
      <c r="K91" s="1">
        <v>44707</v>
      </c>
      <c r="L91">
        <v>2022</v>
      </c>
      <c r="M91" t="str">
        <f>UPPER(TEXT(_2020_2022[[#This Row],[Data da Venda]],"mmm"))</f>
        <v>MAI</v>
      </c>
    </row>
    <row r="92" spans="1:13" x14ac:dyDescent="0.25">
      <c r="A92" t="s">
        <v>1441</v>
      </c>
      <c r="B92">
        <v>1450</v>
      </c>
      <c r="C92">
        <v>3</v>
      </c>
      <c r="D92" t="s">
        <v>41</v>
      </c>
      <c r="E92" t="s">
        <v>681</v>
      </c>
      <c r="F92" t="s">
        <v>741</v>
      </c>
      <c r="G92" t="s">
        <v>650</v>
      </c>
      <c r="H92">
        <v>59</v>
      </c>
      <c r="I92" t="s">
        <v>647</v>
      </c>
      <c r="J92">
        <v>4350</v>
      </c>
      <c r="K92" s="1">
        <v>44660</v>
      </c>
      <c r="L92">
        <v>2022</v>
      </c>
      <c r="M92" t="str">
        <f>UPPER(TEXT(_2020_2022[[#This Row],[Data da Venda]],"mmm"))</f>
        <v>ABR</v>
      </c>
    </row>
    <row r="93" spans="1:13" x14ac:dyDescent="0.25">
      <c r="A93" t="s">
        <v>1445</v>
      </c>
      <c r="B93">
        <v>1500</v>
      </c>
      <c r="C93">
        <v>1</v>
      </c>
      <c r="D93" t="s">
        <v>34</v>
      </c>
      <c r="E93" t="s">
        <v>679</v>
      </c>
      <c r="F93" t="s">
        <v>742</v>
      </c>
      <c r="G93" t="s">
        <v>643</v>
      </c>
      <c r="H93">
        <v>26</v>
      </c>
      <c r="I93" t="s">
        <v>651</v>
      </c>
      <c r="J93">
        <v>1500</v>
      </c>
      <c r="K93" s="1">
        <v>44866</v>
      </c>
      <c r="L93">
        <v>2022</v>
      </c>
      <c r="M93" t="str">
        <f>UPPER(TEXT(_2020_2022[[#This Row],[Data da Venda]],"mmm"))</f>
        <v>NOV</v>
      </c>
    </row>
    <row r="94" spans="1:13" x14ac:dyDescent="0.25">
      <c r="A94" t="s">
        <v>26</v>
      </c>
      <c r="B94">
        <v>1100</v>
      </c>
      <c r="C94">
        <v>3</v>
      </c>
      <c r="D94" t="s">
        <v>29</v>
      </c>
      <c r="E94" t="s">
        <v>641</v>
      </c>
      <c r="F94" t="s">
        <v>720</v>
      </c>
      <c r="G94" t="s">
        <v>650</v>
      </c>
      <c r="H94">
        <v>57</v>
      </c>
      <c r="I94" t="s">
        <v>647</v>
      </c>
      <c r="J94">
        <v>3300</v>
      </c>
      <c r="K94" s="1">
        <v>44572</v>
      </c>
      <c r="L94">
        <v>2022</v>
      </c>
      <c r="M94" t="str">
        <f>UPPER(TEXT(_2020_2022[[#This Row],[Data da Venda]],"mmm"))</f>
        <v>JAN</v>
      </c>
    </row>
    <row r="95" spans="1:13" x14ac:dyDescent="0.25">
      <c r="A95" t="s">
        <v>15</v>
      </c>
      <c r="B95">
        <v>1900</v>
      </c>
      <c r="C95">
        <v>2</v>
      </c>
      <c r="D95" t="s">
        <v>41</v>
      </c>
      <c r="E95" t="s">
        <v>681</v>
      </c>
      <c r="F95" t="s">
        <v>743</v>
      </c>
      <c r="G95" t="s">
        <v>643</v>
      </c>
      <c r="H95">
        <v>41</v>
      </c>
      <c r="I95" t="s">
        <v>644</v>
      </c>
      <c r="J95">
        <v>3800</v>
      </c>
      <c r="K95" s="1">
        <v>44601</v>
      </c>
      <c r="L95">
        <v>2022</v>
      </c>
      <c r="M95" t="str">
        <f>UPPER(TEXT(_2020_2022[[#This Row],[Data da Venda]],"mmm"))</f>
        <v>FEV</v>
      </c>
    </row>
    <row r="96" spans="1:13" x14ac:dyDescent="0.25">
      <c r="A96" t="s">
        <v>12</v>
      </c>
      <c r="B96">
        <v>6500</v>
      </c>
      <c r="C96">
        <v>1</v>
      </c>
      <c r="D96" t="s">
        <v>32</v>
      </c>
      <c r="E96" t="s">
        <v>652</v>
      </c>
      <c r="F96" t="s">
        <v>744</v>
      </c>
      <c r="G96" t="s">
        <v>643</v>
      </c>
      <c r="H96">
        <v>65</v>
      </c>
      <c r="I96" t="s">
        <v>647</v>
      </c>
      <c r="J96">
        <v>6500</v>
      </c>
      <c r="K96" s="1">
        <v>44562</v>
      </c>
      <c r="L96">
        <v>2022</v>
      </c>
      <c r="M96" t="str">
        <f>UPPER(TEXT(_2020_2022[[#This Row],[Data da Venda]],"mmm"))</f>
        <v>JAN</v>
      </c>
    </row>
    <row r="97" spans="1:13" x14ac:dyDescent="0.25">
      <c r="A97" t="s">
        <v>13</v>
      </c>
      <c r="B97">
        <v>2300</v>
      </c>
      <c r="C97">
        <v>2</v>
      </c>
      <c r="D97" t="s">
        <v>32</v>
      </c>
      <c r="E97" t="s">
        <v>652</v>
      </c>
      <c r="F97" t="s">
        <v>745</v>
      </c>
      <c r="G97" t="s">
        <v>650</v>
      </c>
      <c r="H97">
        <v>64</v>
      </c>
      <c r="I97" t="s">
        <v>647</v>
      </c>
      <c r="J97">
        <v>4600</v>
      </c>
      <c r="K97" s="1">
        <v>44848</v>
      </c>
      <c r="L97">
        <v>2022</v>
      </c>
      <c r="M97" t="str">
        <f>UPPER(TEXT(_2020_2022[[#This Row],[Data da Venda]],"mmm"))</f>
        <v>OUT</v>
      </c>
    </row>
    <row r="98" spans="1:13" x14ac:dyDescent="0.25">
      <c r="A98" t="s">
        <v>9</v>
      </c>
      <c r="B98">
        <v>1500</v>
      </c>
      <c r="C98">
        <v>3</v>
      </c>
      <c r="D98" t="s">
        <v>37</v>
      </c>
      <c r="E98" t="s">
        <v>645</v>
      </c>
      <c r="F98" t="s">
        <v>746</v>
      </c>
      <c r="G98" t="s">
        <v>643</v>
      </c>
      <c r="H98">
        <v>45</v>
      </c>
      <c r="I98" t="s">
        <v>644</v>
      </c>
      <c r="J98">
        <v>4500</v>
      </c>
      <c r="K98" s="1">
        <v>44825</v>
      </c>
      <c r="L98">
        <v>2022</v>
      </c>
      <c r="M98" t="str">
        <f>UPPER(TEXT(_2020_2022[[#This Row],[Data da Venda]],"mmm"))</f>
        <v>SET</v>
      </c>
    </row>
    <row r="99" spans="1:13" x14ac:dyDescent="0.25">
      <c r="A99" t="s">
        <v>25</v>
      </c>
      <c r="B99">
        <v>2500</v>
      </c>
      <c r="C99">
        <v>2</v>
      </c>
      <c r="D99" t="s">
        <v>31</v>
      </c>
      <c r="E99" t="s">
        <v>645</v>
      </c>
      <c r="F99" t="s">
        <v>747</v>
      </c>
      <c r="G99" t="s">
        <v>650</v>
      </c>
      <c r="H99">
        <v>45</v>
      </c>
      <c r="I99" t="s">
        <v>644</v>
      </c>
      <c r="J99">
        <v>5000</v>
      </c>
      <c r="K99" s="1">
        <v>44807</v>
      </c>
      <c r="L99">
        <v>2022</v>
      </c>
      <c r="M99" t="str">
        <f>UPPER(TEXT(_2020_2022[[#This Row],[Data da Venda]],"mmm"))</f>
        <v>SET</v>
      </c>
    </row>
    <row r="100" spans="1:13" x14ac:dyDescent="0.25">
      <c r="A100" t="s">
        <v>1441</v>
      </c>
      <c r="B100">
        <v>1450</v>
      </c>
      <c r="C100">
        <v>2</v>
      </c>
      <c r="D100" t="s">
        <v>32</v>
      </c>
      <c r="E100" t="s">
        <v>652</v>
      </c>
      <c r="F100" t="s">
        <v>685</v>
      </c>
      <c r="G100" t="s">
        <v>643</v>
      </c>
      <c r="H100">
        <v>36</v>
      </c>
      <c r="I100" t="s">
        <v>644</v>
      </c>
      <c r="J100">
        <v>2900</v>
      </c>
      <c r="K100" s="1">
        <v>44694</v>
      </c>
      <c r="L100">
        <v>2022</v>
      </c>
      <c r="M100" t="str">
        <f>UPPER(TEXT(_2020_2022[[#This Row],[Data da Venda]],"mmm"))</f>
        <v>MAI</v>
      </c>
    </row>
    <row r="101" spans="1:13" x14ac:dyDescent="0.25">
      <c r="A101" t="s">
        <v>15</v>
      </c>
      <c r="B101">
        <v>1900</v>
      </c>
      <c r="C101">
        <v>5</v>
      </c>
      <c r="D101" t="s">
        <v>29</v>
      </c>
      <c r="E101" t="s">
        <v>641</v>
      </c>
      <c r="F101" t="s">
        <v>748</v>
      </c>
      <c r="G101" t="s">
        <v>643</v>
      </c>
      <c r="H101">
        <v>29</v>
      </c>
      <c r="I101" t="s">
        <v>651</v>
      </c>
      <c r="J101">
        <v>9500</v>
      </c>
      <c r="K101" s="1">
        <v>44782</v>
      </c>
      <c r="L101">
        <v>2022</v>
      </c>
      <c r="M101" t="str">
        <f>UPPER(TEXT(_2020_2022[[#This Row],[Data da Venda]],"mmm"))</f>
        <v>AGO</v>
      </c>
    </row>
    <row r="102" spans="1:13" x14ac:dyDescent="0.25">
      <c r="A102" t="s">
        <v>1443</v>
      </c>
      <c r="B102">
        <v>1550</v>
      </c>
      <c r="C102">
        <v>1</v>
      </c>
      <c r="D102" t="s">
        <v>38</v>
      </c>
      <c r="E102" t="s">
        <v>648</v>
      </c>
      <c r="F102" t="s">
        <v>749</v>
      </c>
      <c r="G102" t="s">
        <v>650</v>
      </c>
      <c r="H102">
        <v>41</v>
      </c>
      <c r="I102" t="s">
        <v>644</v>
      </c>
      <c r="J102">
        <v>1550</v>
      </c>
      <c r="K102" s="1">
        <v>44685</v>
      </c>
      <c r="L102">
        <v>2022</v>
      </c>
      <c r="M102" t="str">
        <f>UPPER(TEXT(_2020_2022[[#This Row],[Data da Venda]],"mmm"))</f>
        <v>MAI</v>
      </c>
    </row>
    <row r="103" spans="1:13" x14ac:dyDescent="0.25">
      <c r="A103" t="s">
        <v>1441</v>
      </c>
      <c r="B103">
        <v>1450</v>
      </c>
      <c r="C103">
        <v>5</v>
      </c>
      <c r="D103" t="s">
        <v>32</v>
      </c>
      <c r="E103" t="s">
        <v>652</v>
      </c>
      <c r="F103" t="s">
        <v>750</v>
      </c>
      <c r="G103" t="s">
        <v>650</v>
      </c>
      <c r="H103">
        <v>43</v>
      </c>
      <c r="I103" t="s">
        <v>644</v>
      </c>
      <c r="J103">
        <v>7250</v>
      </c>
      <c r="K103" s="1">
        <v>44720</v>
      </c>
      <c r="L103">
        <v>2022</v>
      </c>
      <c r="M103" t="str">
        <f>UPPER(TEXT(_2020_2022[[#This Row],[Data da Venda]],"mmm"))</f>
        <v>JUN</v>
      </c>
    </row>
    <row r="104" spans="1:13" x14ac:dyDescent="0.25">
      <c r="A104" t="s">
        <v>1440</v>
      </c>
      <c r="B104">
        <v>700</v>
      </c>
      <c r="C104">
        <v>3</v>
      </c>
      <c r="D104" t="s">
        <v>35</v>
      </c>
      <c r="E104" t="s">
        <v>666</v>
      </c>
      <c r="F104" t="s">
        <v>751</v>
      </c>
      <c r="G104" t="s">
        <v>650</v>
      </c>
      <c r="H104">
        <v>67</v>
      </c>
      <c r="I104" t="s">
        <v>647</v>
      </c>
      <c r="J104">
        <v>2100</v>
      </c>
      <c r="K104" s="1">
        <v>44858</v>
      </c>
      <c r="L104">
        <v>2022</v>
      </c>
      <c r="M104" t="str">
        <f>UPPER(TEXT(_2020_2022[[#This Row],[Data da Venda]],"mmm"))</f>
        <v>OUT</v>
      </c>
    </row>
    <row r="105" spans="1:13" x14ac:dyDescent="0.25">
      <c r="A105" t="s">
        <v>1440</v>
      </c>
      <c r="B105">
        <v>700</v>
      </c>
      <c r="C105">
        <v>1</v>
      </c>
      <c r="D105" t="s">
        <v>30</v>
      </c>
      <c r="E105" t="s">
        <v>645</v>
      </c>
      <c r="F105" t="s">
        <v>752</v>
      </c>
      <c r="G105" t="s">
        <v>650</v>
      </c>
      <c r="H105">
        <v>54</v>
      </c>
      <c r="I105" t="s">
        <v>647</v>
      </c>
      <c r="J105">
        <v>700</v>
      </c>
      <c r="K105" s="1">
        <v>44588</v>
      </c>
      <c r="L105">
        <v>2022</v>
      </c>
      <c r="M105" t="str">
        <f>UPPER(TEXT(_2020_2022[[#This Row],[Data da Venda]],"mmm"))</f>
        <v>JAN</v>
      </c>
    </row>
    <row r="106" spans="1:13" x14ac:dyDescent="0.25">
      <c r="A106" t="s">
        <v>1443</v>
      </c>
      <c r="B106">
        <v>1550</v>
      </c>
      <c r="C106">
        <v>5</v>
      </c>
      <c r="D106" t="s">
        <v>30</v>
      </c>
      <c r="E106" t="s">
        <v>645</v>
      </c>
      <c r="F106" t="s">
        <v>753</v>
      </c>
      <c r="G106" t="s">
        <v>650</v>
      </c>
      <c r="H106">
        <v>57</v>
      </c>
      <c r="I106" t="s">
        <v>647</v>
      </c>
      <c r="J106">
        <v>7750</v>
      </c>
      <c r="K106" s="1">
        <v>44734</v>
      </c>
      <c r="L106">
        <v>2022</v>
      </c>
      <c r="M106" t="str">
        <f>UPPER(TEXT(_2020_2022[[#This Row],[Data da Venda]],"mmm"))</f>
        <v>JUN</v>
      </c>
    </row>
    <row r="107" spans="1:13" x14ac:dyDescent="0.25">
      <c r="A107" t="s">
        <v>25</v>
      </c>
      <c r="B107">
        <v>2500</v>
      </c>
      <c r="C107">
        <v>1</v>
      </c>
      <c r="D107" t="s">
        <v>33</v>
      </c>
      <c r="E107" t="s">
        <v>641</v>
      </c>
      <c r="F107" t="s">
        <v>754</v>
      </c>
      <c r="G107" t="s">
        <v>643</v>
      </c>
      <c r="H107">
        <v>68</v>
      </c>
      <c r="I107" t="s">
        <v>647</v>
      </c>
      <c r="J107">
        <v>2500</v>
      </c>
      <c r="K107" s="1">
        <v>44623</v>
      </c>
      <c r="L107">
        <v>2022</v>
      </c>
      <c r="M107" t="str">
        <f>UPPER(TEXT(_2020_2022[[#This Row],[Data da Venda]],"mmm"))</f>
        <v>MAR</v>
      </c>
    </row>
    <row r="108" spans="1:13" x14ac:dyDescent="0.25">
      <c r="A108" t="s">
        <v>1441</v>
      </c>
      <c r="B108">
        <v>1450</v>
      </c>
      <c r="C108">
        <v>1</v>
      </c>
      <c r="D108" t="s">
        <v>36</v>
      </c>
      <c r="E108" t="s">
        <v>677</v>
      </c>
      <c r="F108" t="s">
        <v>755</v>
      </c>
      <c r="G108" t="s">
        <v>643</v>
      </c>
      <c r="H108">
        <v>48</v>
      </c>
      <c r="I108" t="s">
        <v>644</v>
      </c>
      <c r="J108">
        <v>1450</v>
      </c>
      <c r="K108" s="1">
        <v>44835</v>
      </c>
      <c r="L108">
        <v>2022</v>
      </c>
      <c r="M108" t="str">
        <f>UPPER(TEXT(_2020_2022[[#This Row],[Data da Venda]],"mmm"))</f>
        <v>OUT</v>
      </c>
    </row>
    <row r="109" spans="1:13" x14ac:dyDescent="0.25">
      <c r="A109" t="s">
        <v>25</v>
      </c>
      <c r="B109">
        <v>2500</v>
      </c>
      <c r="C109">
        <v>1</v>
      </c>
      <c r="D109" t="s">
        <v>36</v>
      </c>
      <c r="E109" t="s">
        <v>677</v>
      </c>
      <c r="F109" t="s">
        <v>756</v>
      </c>
      <c r="G109" t="s">
        <v>643</v>
      </c>
      <c r="H109">
        <v>59</v>
      </c>
      <c r="I109" t="s">
        <v>647</v>
      </c>
      <c r="J109">
        <v>2500</v>
      </c>
      <c r="K109" s="1">
        <v>44727</v>
      </c>
      <c r="L109">
        <v>2022</v>
      </c>
      <c r="M109" t="str">
        <f>UPPER(TEXT(_2020_2022[[#This Row],[Data da Venda]],"mmm"))</f>
        <v>JUN</v>
      </c>
    </row>
    <row r="110" spans="1:13" x14ac:dyDescent="0.25">
      <c r="A110" t="s">
        <v>8</v>
      </c>
      <c r="B110">
        <v>5500</v>
      </c>
      <c r="C110">
        <v>5</v>
      </c>
      <c r="D110" t="s">
        <v>29</v>
      </c>
      <c r="E110" t="s">
        <v>641</v>
      </c>
      <c r="F110" t="s">
        <v>757</v>
      </c>
      <c r="G110" t="s">
        <v>643</v>
      </c>
      <c r="H110">
        <v>30</v>
      </c>
      <c r="I110" t="s">
        <v>644</v>
      </c>
      <c r="J110">
        <v>27500</v>
      </c>
      <c r="K110" s="1">
        <v>44914</v>
      </c>
      <c r="L110">
        <v>2022</v>
      </c>
      <c r="M110" t="str">
        <f>UPPER(TEXT(_2020_2022[[#This Row],[Data da Venda]],"mmm"))</f>
        <v>DEZ</v>
      </c>
    </row>
    <row r="111" spans="1:13" x14ac:dyDescent="0.25">
      <c r="A111" t="s">
        <v>14</v>
      </c>
      <c r="B111">
        <v>2000</v>
      </c>
      <c r="C111">
        <v>2</v>
      </c>
      <c r="D111" t="s">
        <v>38</v>
      </c>
      <c r="E111" t="s">
        <v>648</v>
      </c>
      <c r="F111" t="s">
        <v>758</v>
      </c>
      <c r="G111" t="s">
        <v>643</v>
      </c>
      <c r="H111">
        <v>37</v>
      </c>
      <c r="I111" t="s">
        <v>644</v>
      </c>
      <c r="J111">
        <v>4000</v>
      </c>
      <c r="K111" s="1">
        <v>44563</v>
      </c>
      <c r="L111">
        <v>2022</v>
      </c>
      <c r="M111" t="str">
        <f>UPPER(TEXT(_2020_2022[[#This Row],[Data da Venda]],"mmm"))</f>
        <v>JAN</v>
      </c>
    </row>
    <row r="112" spans="1:13" x14ac:dyDescent="0.25">
      <c r="A112" t="s">
        <v>9</v>
      </c>
      <c r="B112">
        <v>1500</v>
      </c>
      <c r="C112">
        <v>4</v>
      </c>
      <c r="D112" t="s">
        <v>39</v>
      </c>
      <c r="E112" t="s">
        <v>641</v>
      </c>
      <c r="F112" t="s">
        <v>759</v>
      </c>
      <c r="G112" t="s">
        <v>643</v>
      </c>
      <c r="H112">
        <v>53</v>
      </c>
      <c r="I112" t="s">
        <v>647</v>
      </c>
      <c r="J112">
        <v>6000</v>
      </c>
      <c r="K112" s="1">
        <v>44697</v>
      </c>
      <c r="L112">
        <v>2022</v>
      </c>
      <c r="M112" t="str">
        <f>UPPER(TEXT(_2020_2022[[#This Row],[Data da Venda]],"mmm"))</f>
        <v>MAI</v>
      </c>
    </row>
    <row r="113" spans="1:13" x14ac:dyDescent="0.25">
      <c r="A113" t="s">
        <v>18</v>
      </c>
      <c r="B113">
        <v>3000</v>
      </c>
      <c r="C113">
        <v>2</v>
      </c>
      <c r="D113" t="s">
        <v>39</v>
      </c>
      <c r="E113" t="s">
        <v>641</v>
      </c>
      <c r="F113" t="s">
        <v>760</v>
      </c>
      <c r="G113" t="s">
        <v>643</v>
      </c>
      <c r="H113">
        <v>28</v>
      </c>
      <c r="I113" t="s">
        <v>651</v>
      </c>
      <c r="J113">
        <v>6000</v>
      </c>
      <c r="K113" s="1">
        <v>44881</v>
      </c>
      <c r="L113">
        <v>2022</v>
      </c>
      <c r="M113" t="str">
        <f>UPPER(TEXT(_2020_2022[[#This Row],[Data da Venda]],"mmm"))</f>
        <v>NOV</v>
      </c>
    </row>
    <row r="114" spans="1:13" x14ac:dyDescent="0.25">
      <c r="A114" t="s">
        <v>11</v>
      </c>
      <c r="B114">
        <v>4500</v>
      </c>
      <c r="C114">
        <v>5</v>
      </c>
      <c r="D114" t="s">
        <v>37</v>
      </c>
      <c r="E114" t="s">
        <v>645</v>
      </c>
      <c r="F114" t="s">
        <v>702</v>
      </c>
      <c r="G114" t="s">
        <v>643</v>
      </c>
      <c r="H114">
        <v>56</v>
      </c>
      <c r="I114" t="s">
        <v>647</v>
      </c>
      <c r="J114">
        <v>22500</v>
      </c>
      <c r="K114" s="1">
        <v>44693</v>
      </c>
      <c r="L114">
        <v>2022</v>
      </c>
      <c r="M114" t="str">
        <f>UPPER(TEXT(_2020_2022[[#This Row],[Data da Venda]],"mmm"))</f>
        <v>MAI</v>
      </c>
    </row>
    <row r="115" spans="1:13" x14ac:dyDescent="0.25">
      <c r="A115" t="s">
        <v>15</v>
      </c>
      <c r="B115">
        <v>1900</v>
      </c>
      <c r="C115">
        <v>5</v>
      </c>
      <c r="D115" t="s">
        <v>32</v>
      </c>
      <c r="E115" t="s">
        <v>652</v>
      </c>
      <c r="F115" t="s">
        <v>761</v>
      </c>
      <c r="G115" t="s">
        <v>643</v>
      </c>
      <c r="H115">
        <v>26</v>
      </c>
      <c r="I115" t="s">
        <v>651</v>
      </c>
      <c r="J115">
        <v>9500</v>
      </c>
      <c r="K115" s="1">
        <v>44797</v>
      </c>
      <c r="L115">
        <v>2022</v>
      </c>
      <c r="M115" t="str">
        <f>UPPER(TEXT(_2020_2022[[#This Row],[Data da Venda]],"mmm"))</f>
        <v>AGO</v>
      </c>
    </row>
    <row r="116" spans="1:13" x14ac:dyDescent="0.25">
      <c r="A116" t="s">
        <v>1444</v>
      </c>
      <c r="B116">
        <v>1500</v>
      </c>
      <c r="C116">
        <v>5</v>
      </c>
      <c r="D116" t="s">
        <v>37</v>
      </c>
      <c r="E116" t="s">
        <v>645</v>
      </c>
      <c r="F116" t="s">
        <v>762</v>
      </c>
      <c r="G116" t="s">
        <v>650</v>
      </c>
      <c r="H116">
        <v>63</v>
      </c>
      <c r="I116" t="s">
        <v>647</v>
      </c>
      <c r="J116">
        <v>7500</v>
      </c>
      <c r="K116" s="1">
        <v>44769</v>
      </c>
      <c r="L116">
        <v>2022</v>
      </c>
      <c r="M116" t="str">
        <f>UPPER(TEXT(_2020_2022[[#This Row],[Data da Venda]],"mmm"))</f>
        <v>JUL</v>
      </c>
    </row>
    <row r="117" spans="1:13" x14ac:dyDescent="0.25">
      <c r="A117" t="s">
        <v>8</v>
      </c>
      <c r="B117">
        <v>5500</v>
      </c>
      <c r="C117">
        <v>5</v>
      </c>
      <c r="D117" t="s">
        <v>36</v>
      </c>
      <c r="E117" t="s">
        <v>677</v>
      </c>
      <c r="F117" t="s">
        <v>763</v>
      </c>
      <c r="G117" t="s">
        <v>643</v>
      </c>
      <c r="H117">
        <v>33</v>
      </c>
      <c r="I117" t="s">
        <v>644</v>
      </c>
      <c r="J117">
        <v>27500</v>
      </c>
      <c r="K117" s="1">
        <v>44824</v>
      </c>
      <c r="L117">
        <v>2022</v>
      </c>
      <c r="M117" t="str">
        <f>UPPER(TEXT(_2020_2022[[#This Row],[Data da Venda]],"mmm"))</f>
        <v>SET</v>
      </c>
    </row>
    <row r="118" spans="1:13" x14ac:dyDescent="0.25">
      <c r="A118" t="s">
        <v>26</v>
      </c>
      <c r="B118">
        <v>1100</v>
      </c>
      <c r="C118">
        <v>5</v>
      </c>
      <c r="D118" t="s">
        <v>41</v>
      </c>
      <c r="E118" t="s">
        <v>681</v>
      </c>
      <c r="F118" t="s">
        <v>764</v>
      </c>
      <c r="G118" t="s">
        <v>643</v>
      </c>
      <c r="H118">
        <v>26</v>
      </c>
      <c r="I118" t="s">
        <v>651</v>
      </c>
      <c r="J118">
        <v>5500</v>
      </c>
      <c r="K118" s="1">
        <v>44637</v>
      </c>
      <c r="L118">
        <v>2022</v>
      </c>
      <c r="M118" t="str">
        <f>UPPER(TEXT(_2020_2022[[#This Row],[Data da Venda]],"mmm"))</f>
        <v>MAR</v>
      </c>
    </row>
    <row r="119" spans="1:13" x14ac:dyDescent="0.25">
      <c r="A119" t="s">
        <v>18</v>
      </c>
      <c r="B119">
        <v>3000</v>
      </c>
      <c r="C119">
        <v>4</v>
      </c>
      <c r="D119" t="s">
        <v>30</v>
      </c>
      <c r="E119" t="s">
        <v>645</v>
      </c>
      <c r="F119" t="s">
        <v>765</v>
      </c>
      <c r="G119" t="s">
        <v>650</v>
      </c>
      <c r="H119">
        <v>73</v>
      </c>
      <c r="I119" t="s">
        <v>647</v>
      </c>
      <c r="J119">
        <v>12000</v>
      </c>
      <c r="K119" s="1">
        <v>44892</v>
      </c>
      <c r="L119">
        <v>2022</v>
      </c>
      <c r="M119" t="str">
        <f>UPPER(TEXT(_2020_2022[[#This Row],[Data da Venda]],"mmm"))</f>
        <v>NOV</v>
      </c>
    </row>
    <row r="120" spans="1:13" x14ac:dyDescent="0.25">
      <c r="A120" t="s">
        <v>7</v>
      </c>
      <c r="B120">
        <v>750</v>
      </c>
      <c r="C120">
        <v>4</v>
      </c>
      <c r="D120" t="s">
        <v>40</v>
      </c>
      <c r="E120" t="s">
        <v>657</v>
      </c>
      <c r="F120" t="s">
        <v>766</v>
      </c>
      <c r="G120" t="s">
        <v>650</v>
      </c>
      <c r="H120">
        <v>41</v>
      </c>
      <c r="I120" t="s">
        <v>644</v>
      </c>
      <c r="J120">
        <v>3000</v>
      </c>
      <c r="K120" s="1">
        <v>44830</v>
      </c>
      <c r="L120">
        <v>2022</v>
      </c>
      <c r="M120" t="str">
        <f>UPPER(TEXT(_2020_2022[[#This Row],[Data da Venda]],"mmm"))</f>
        <v>SET</v>
      </c>
    </row>
    <row r="121" spans="1:13" x14ac:dyDescent="0.25">
      <c r="A121" t="s">
        <v>28</v>
      </c>
      <c r="B121">
        <v>1400</v>
      </c>
      <c r="C121">
        <v>2</v>
      </c>
      <c r="D121" t="s">
        <v>35</v>
      </c>
      <c r="E121" t="s">
        <v>666</v>
      </c>
      <c r="F121" t="s">
        <v>767</v>
      </c>
      <c r="G121" t="s">
        <v>643</v>
      </c>
      <c r="H121">
        <v>62</v>
      </c>
      <c r="I121" t="s">
        <v>647</v>
      </c>
      <c r="J121">
        <v>2800</v>
      </c>
      <c r="K121" s="1">
        <v>44717</v>
      </c>
      <c r="L121">
        <v>2022</v>
      </c>
      <c r="M121" t="str">
        <f>UPPER(TEXT(_2020_2022[[#This Row],[Data da Venda]],"mmm"))</f>
        <v>JUN</v>
      </c>
    </row>
    <row r="122" spans="1:13" x14ac:dyDescent="0.25">
      <c r="A122" t="s">
        <v>22</v>
      </c>
      <c r="B122">
        <v>5200</v>
      </c>
      <c r="C122">
        <v>3</v>
      </c>
      <c r="D122" t="s">
        <v>32</v>
      </c>
      <c r="E122" t="s">
        <v>652</v>
      </c>
      <c r="F122" t="s">
        <v>768</v>
      </c>
      <c r="G122" t="s">
        <v>643</v>
      </c>
      <c r="H122">
        <v>56</v>
      </c>
      <c r="I122" t="s">
        <v>647</v>
      </c>
      <c r="J122">
        <v>15600</v>
      </c>
      <c r="K122" s="1">
        <v>44726</v>
      </c>
      <c r="L122">
        <v>2022</v>
      </c>
      <c r="M122" t="str">
        <f>UPPER(TEXT(_2020_2022[[#This Row],[Data da Venda]],"mmm"))</f>
        <v>JUN</v>
      </c>
    </row>
    <row r="123" spans="1:13" x14ac:dyDescent="0.25">
      <c r="A123" t="s">
        <v>1442</v>
      </c>
      <c r="B123">
        <v>1200</v>
      </c>
      <c r="C123">
        <v>5</v>
      </c>
      <c r="D123" t="s">
        <v>38</v>
      </c>
      <c r="E123" t="s">
        <v>648</v>
      </c>
      <c r="F123" t="s">
        <v>769</v>
      </c>
      <c r="G123" t="s">
        <v>643</v>
      </c>
      <c r="H123">
        <v>28</v>
      </c>
      <c r="I123" t="s">
        <v>651</v>
      </c>
      <c r="J123">
        <v>6000</v>
      </c>
      <c r="K123" s="1">
        <v>44701</v>
      </c>
      <c r="L123">
        <v>2022</v>
      </c>
      <c r="M123" t="str">
        <f>UPPER(TEXT(_2020_2022[[#This Row],[Data da Venda]],"mmm"))</f>
        <v>MAI</v>
      </c>
    </row>
    <row r="124" spans="1:13" x14ac:dyDescent="0.25">
      <c r="A124" t="s">
        <v>9</v>
      </c>
      <c r="B124">
        <v>1500</v>
      </c>
      <c r="C124">
        <v>4</v>
      </c>
      <c r="D124" t="s">
        <v>40</v>
      </c>
      <c r="E124" t="s">
        <v>657</v>
      </c>
      <c r="F124" t="s">
        <v>770</v>
      </c>
      <c r="G124" t="s">
        <v>643</v>
      </c>
      <c r="H124">
        <v>31</v>
      </c>
      <c r="I124" t="s">
        <v>644</v>
      </c>
      <c r="J124">
        <v>6000</v>
      </c>
      <c r="K124" s="1">
        <v>44604</v>
      </c>
      <c r="L124">
        <v>2022</v>
      </c>
      <c r="M124" t="str">
        <f>UPPER(TEXT(_2020_2022[[#This Row],[Data da Venda]],"mmm"))</f>
        <v>FEV</v>
      </c>
    </row>
    <row r="125" spans="1:13" x14ac:dyDescent="0.25">
      <c r="A125" t="s">
        <v>26</v>
      </c>
      <c r="B125">
        <v>1100</v>
      </c>
      <c r="C125">
        <v>4</v>
      </c>
      <c r="D125" t="s">
        <v>40</v>
      </c>
      <c r="E125" t="s">
        <v>657</v>
      </c>
      <c r="F125" t="s">
        <v>771</v>
      </c>
      <c r="G125" t="s">
        <v>643</v>
      </c>
      <c r="H125">
        <v>33</v>
      </c>
      <c r="I125" t="s">
        <v>644</v>
      </c>
      <c r="J125">
        <v>4400</v>
      </c>
      <c r="K125" s="1">
        <v>44667</v>
      </c>
      <c r="L125">
        <v>2022</v>
      </c>
      <c r="M125" t="str">
        <f>UPPER(TEXT(_2020_2022[[#This Row],[Data da Venda]],"mmm"))</f>
        <v>ABR</v>
      </c>
    </row>
    <row r="126" spans="1:13" x14ac:dyDescent="0.25">
      <c r="A126" t="s">
        <v>26</v>
      </c>
      <c r="B126">
        <v>1100</v>
      </c>
      <c r="C126">
        <v>3</v>
      </c>
      <c r="D126" t="s">
        <v>35</v>
      </c>
      <c r="E126" t="s">
        <v>666</v>
      </c>
      <c r="F126" t="s">
        <v>772</v>
      </c>
      <c r="G126" t="s">
        <v>643</v>
      </c>
      <c r="H126">
        <v>44</v>
      </c>
      <c r="I126" t="s">
        <v>644</v>
      </c>
      <c r="J126">
        <v>3300</v>
      </c>
      <c r="K126" s="1">
        <v>44859</v>
      </c>
      <c r="L126">
        <v>2022</v>
      </c>
      <c r="M126" t="str">
        <f>UPPER(TEXT(_2020_2022[[#This Row],[Data da Venda]],"mmm"))</f>
        <v>OUT</v>
      </c>
    </row>
    <row r="127" spans="1:13" x14ac:dyDescent="0.25">
      <c r="A127" t="s">
        <v>14</v>
      </c>
      <c r="B127">
        <v>2000</v>
      </c>
      <c r="C127">
        <v>1</v>
      </c>
      <c r="D127" t="s">
        <v>40</v>
      </c>
      <c r="E127" t="s">
        <v>657</v>
      </c>
      <c r="F127" t="s">
        <v>773</v>
      </c>
      <c r="G127" t="s">
        <v>643</v>
      </c>
      <c r="H127">
        <v>27</v>
      </c>
      <c r="I127" t="s">
        <v>651</v>
      </c>
      <c r="J127">
        <v>2000</v>
      </c>
      <c r="K127" s="1">
        <v>44587</v>
      </c>
      <c r="L127">
        <v>2022</v>
      </c>
      <c r="M127" t="str">
        <f>UPPER(TEXT(_2020_2022[[#This Row],[Data da Venda]],"mmm"))</f>
        <v>JAN</v>
      </c>
    </row>
    <row r="128" spans="1:13" x14ac:dyDescent="0.25">
      <c r="A128" t="s">
        <v>18</v>
      </c>
      <c r="B128">
        <v>3000</v>
      </c>
      <c r="C128">
        <v>4</v>
      </c>
      <c r="D128" t="s">
        <v>34</v>
      </c>
      <c r="E128" t="s">
        <v>679</v>
      </c>
      <c r="F128" t="s">
        <v>774</v>
      </c>
      <c r="G128" t="s">
        <v>643</v>
      </c>
      <c r="H128">
        <v>45</v>
      </c>
      <c r="I128" t="s">
        <v>644</v>
      </c>
      <c r="J128">
        <v>12000</v>
      </c>
      <c r="K128" s="1">
        <v>44845</v>
      </c>
      <c r="L128">
        <v>2022</v>
      </c>
      <c r="M128" t="str">
        <f>UPPER(TEXT(_2020_2022[[#This Row],[Data da Venda]],"mmm"))</f>
        <v>OUT</v>
      </c>
    </row>
    <row r="129" spans="1:13" x14ac:dyDescent="0.25">
      <c r="A129" t="s">
        <v>9</v>
      </c>
      <c r="B129">
        <v>1500</v>
      </c>
      <c r="C129">
        <v>5</v>
      </c>
      <c r="D129" t="s">
        <v>38</v>
      </c>
      <c r="E129" t="s">
        <v>648</v>
      </c>
      <c r="F129" t="s">
        <v>775</v>
      </c>
      <c r="G129" t="s">
        <v>643</v>
      </c>
      <c r="H129">
        <v>28</v>
      </c>
      <c r="I129" t="s">
        <v>651</v>
      </c>
      <c r="J129">
        <v>7500</v>
      </c>
      <c r="K129" s="1">
        <v>44911</v>
      </c>
      <c r="L129">
        <v>2022</v>
      </c>
      <c r="M129" t="str">
        <f>UPPER(TEXT(_2020_2022[[#This Row],[Data da Venda]],"mmm"))</f>
        <v>DEZ</v>
      </c>
    </row>
    <row r="130" spans="1:13" x14ac:dyDescent="0.25">
      <c r="A130" t="s">
        <v>5</v>
      </c>
      <c r="B130">
        <v>1750</v>
      </c>
      <c r="C130">
        <v>3</v>
      </c>
      <c r="D130" t="s">
        <v>31</v>
      </c>
      <c r="E130" t="s">
        <v>645</v>
      </c>
      <c r="F130" t="s">
        <v>776</v>
      </c>
      <c r="G130" t="s">
        <v>643</v>
      </c>
      <c r="H130">
        <v>29</v>
      </c>
      <c r="I130" t="s">
        <v>651</v>
      </c>
      <c r="J130">
        <v>5250</v>
      </c>
      <c r="K130" s="1">
        <v>44587</v>
      </c>
      <c r="L130">
        <v>2022</v>
      </c>
      <c r="M130" t="str">
        <f>UPPER(TEXT(_2020_2022[[#This Row],[Data da Venda]],"mmm"))</f>
        <v>JAN</v>
      </c>
    </row>
    <row r="131" spans="1:13" x14ac:dyDescent="0.25">
      <c r="A131" t="s">
        <v>14</v>
      </c>
      <c r="B131">
        <v>2000</v>
      </c>
      <c r="C131">
        <v>5</v>
      </c>
      <c r="D131" t="s">
        <v>29</v>
      </c>
      <c r="E131" t="s">
        <v>641</v>
      </c>
      <c r="F131" t="s">
        <v>777</v>
      </c>
      <c r="G131" t="s">
        <v>643</v>
      </c>
      <c r="H131">
        <v>29</v>
      </c>
      <c r="I131" t="s">
        <v>651</v>
      </c>
      <c r="J131">
        <v>10000</v>
      </c>
      <c r="K131" s="1">
        <v>44727</v>
      </c>
      <c r="L131">
        <v>2022</v>
      </c>
      <c r="M131" t="str">
        <f>UPPER(TEXT(_2020_2022[[#This Row],[Data da Venda]],"mmm"))</f>
        <v>JUN</v>
      </c>
    </row>
    <row r="132" spans="1:13" x14ac:dyDescent="0.25">
      <c r="A132" t="s">
        <v>21</v>
      </c>
      <c r="B132">
        <v>2400</v>
      </c>
      <c r="C132">
        <v>5</v>
      </c>
      <c r="D132" t="s">
        <v>37</v>
      </c>
      <c r="E132" t="s">
        <v>645</v>
      </c>
      <c r="F132" t="s">
        <v>778</v>
      </c>
      <c r="G132" t="s">
        <v>650</v>
      </c>
      <c r="H132">
        <v>67</v>
      </c>
      <c r="I132" t="s">
        <v>647</v>
      </c>
      <c r="J132">
        <v>12000</v>
      </c>
      <c r="K132" s="1">
        <v>44742</v>
      </c>
      <c r="L132">
        <v>2022</v>
      </c>
      <c r="M132" t="str">
        <f>UPPER(TEXT(_2020_2022[[#This Row],[Data da Venda]],"mmm"))</f>
        <v>JUN</v>
      </c>
    </row>
    <row r="133" spans="1:13" x14ac:dyDescent="0.25">
      <c r="A133" t="s">
        <v>15</v>
      </c>
      <c r="B133">
        <v>1900</v>
      </c>
      <c r="C133">
        <v>2</v>
      </c>
      <c r="D133" t="s">
        <v>35</v>
      </c>
      <c r="E133" t="s">
        <v>666</v>
      </c>
      <c r="F133" t="s">
        <v>779</v>
      </c>
      <c r="G133" t="s">
        <v>650</v>
      </c>
      <c r="H133">
        <v>32</v>
      </c>
      <c r="I133" t="s">
        <v>644</v>
      </c>
      <c r="J133">
        <v>3800</v>
      </c>
      <c r="K133" s="1">
        <v>44635</v>
      </c>
      <c r="L133">
        <v>2022</v>
      </c>
      <c r="M133" t="str">
        <f>UPPER(TEXT(_2020_2022[[#This Row],[Data da Venda]],"mmm"))</f>
        <v>MAR</v>
      </c>
    </row>
    <row r="134" spans="1:13" x14ac:dyDescent="0.25">
      <c r="A134" t="s">
        <v>11</v>
      </c>
      <c r="B134">
        <v>4500</v>
      </c>
      <c r="C134">
        <v>4</v>
      </c>
      <c r="D134" t="s">
        <v>35</v>
      </c>
      <c r="E134" t="s">
        <v>666</v>
      </c>
      <c r="F134" t="s">
        <v>780</v>
      </c>
      <c r="G134" t="s">
        <v>650</v>
      </c>
      <c r="H134">
        <v>56</v>
      </c>
      <c r="I134" t="s">
        <v>647</v>
      </c>
      <c r="J134">
        <v>18000</v>
      </c>
      <c r="K134" s="1">
        <v>44637</v>
      </c>
      <c r="L134">
        <v>2022</v>
      </c>
      <c r="M134" t="str">
        <f>UPPER(TEXT(_2020_2022[[#This Row],[Data da Venda]],"mmm"))</f>
        <v>MAR</v>
      </c>
    </row>
    <row r="135" spans="1:13" x14ac:dyDescent="0.25">
      <c r="A135" t="s">
        <v>22</v>
      </c>
      <c r="B135">
        <v>5200</v>
      </c>
      <c r="C135">
        <v>2</v>
      </c>
      <c r="D135" t="s">
        <v>36</v>
      </c>
      <c r="E135" t="s">
        <v>677</v>
      </c>
      <c r="F135" t="s">
        <v>678</v>
      </c>
      <c r="G135" t="s">
        <v>650</v>
      </c>
      <c r="H135">
        <v>65</v>
      </c>
      <c r="I135" t="s">
        <v>647</v>
      </c>
      <c r="J135">
        <v>10400</v>
      </c>
      <c r="K135" s="1">
        <v>44793</v>
      </c>
      <c r="L135">
        <v>2022</v>
      </c>
      <c r="M135" t="str">
        <f>UPPER(TEXT(_2020_2022[[#This Row],[Data da Venda]],"mmm"))</f>
        <v>AGO</v>
      </c>
    </row>
    <row r="136" spans="1:13" x14ac:dyDescent="0.25">
      <c r="A136" t="s">
        <v>1444</v>
      </c>
      <c r="B136">
        <v>1500</v>
      </c>
      <c r="C136">
        <v>2</v>
      </c>
      <c r="D136" t="s">
        <v>41</v>
      </c>
      <c r="E136" t="s">
        <v>681</v>
      </c>
      <c r="F136" t="s">
        <v>781</v>
      </c>
      <c r="G136" t="s">
        <v>643</v>
      </c>
      <c r="H136">
        <v>67</v>
      </c>
      <c r="I136" t="s">
        <v>647</v>
      </c>
      <c r="J136">
        <v>3000</v>
      </c>
      <c r="K136" s="1">
        <v>44615</v>
      </c>
      <c r="L136">
        <v>2022</v>
      </c>
      <c r="M136" t="str">
        <f>UPPER(TEXT(_2020_2022[[#This Row],[Data da Venda]],"mmm"))</f>
        <v>FEV</v>
      </c>
    </row>
    <row r="137" spans="1:13" x14ac:dyDescent="0.25">
      <c r="A137" t="s">
        <v>9</v>
      </c>
      <c r="B137">
        <v>1500</v>
      </c>
      <c r="C137">
        <v>2</v>
      </c>
      <c r="D137" t="s">
        <v>30</v>
      </c>
      <c r="E137" t="s">
        <v>645</v>
      </c>
      <c r="F137" t="s">
        <v>782</v>
      </c>
      <c r="G137" t="s">
        <v>643</v>
      </c>
      <c r="H137">
        <v>50</v>
      </c>
      <c r="I137" t="s">
        <v>644</v>
      </c>
      <c r="J137">
        <v>3000</v>
      </c>
      <c r="K137" s="1">
        <v>44677</v>
      </c>
      <c r="L137">
        <v>2022</v>
      </c>
      <c r="M137" t="str">
        <f>UPPER(TEXT(_2020_2022[[#This Row],[Data da Venda]],"mmm"))</f>
        <v>ABR</v>
      </c>
    </row>
    <row r="138" spans="1:13" x14ac:dyDescent="0.25">
      <c r="A138" t="s">
        <v>8</v>
      </c>
      <c r="B138">
        <v>5500</v>
      </c>
      <c r="C138">
        <v>5</v>
      </c>
      <c r="D138" t="s">
        <v>33</v>
      </c>
      <c r="E138" t="s">
        <v>641</v>
      </c>
      <c r="F138" t="s">
        <v>754</v>
      </c>
      <c r="G138" t="s">
        <v>643</v>
      </c>
      <c r="H138">
        <v>68</v>
      </c>
      <c r="I138" t="s">
        <v>647</v>
      </c>
      <c r="J138">
        <v>27500</v>
      </c>
      <c r="K138" s="1">
        <v>44766</v>
      </c>
      <c r="L138">
        <v>2022</v>
      </c>
      <c r="M138" t="str">
        <f>UPPER(TEXT(_2020_2022[[#This Row],[Data da Venda]],"mmm"))</f>
        <v>JUL</v>
      </c>
    </row>
    <row r="139" spans="1:13" x14ac:dyDescent="0.25">
      <c r="A139" t="s">
        <v>1442</v>
      </c>
      <c r="B139">
        <v>1200</v>
      </c>
      <c r="C139">
        <v>4</v>
      </c>
      <c r="D139" t="s">
        <v>33</v>
      </c>
      <c r="E139" t="s">
        <v>641</v>
      </c>
      <c r="F139" t="s">
        <v>783</v>
      </c>
      <c r="G139" t="s">
        <v>650</v>
      </c>
      <c r="H139">
        <v>66</v>
      </c>
      <c r="I139" t="s">
        <v>647</v>
      </c>
      <c r="J139">
        <v>4800</v>
      </c>
      <c r="K139" s="1">
        <v>44888</v>
      </c>
      <c r="L139">
        <v>2022</v>
      </c>
      <c r="M139" t="str">
        <f>UPPER(TEXT(_2020_2022[[#This Row],[Data da Venda]],"mmm"))</f>
        <v>NOV</v>
      </c>
    </row>
    <row r="140" spans="1:13" x14ac:dyDescent="0.25">
      <c r="A140" t="s">
        <v>16</v>
      </c>
      <c r="B140">
        <v>1400</v>
      </c>
      <c r="C140">
        <v>4</v>
      </c>
      <c r="D140" t="s">
        <v>40</v>
      </c>
      <c r="E140" t="s">
        <v>657</v>
      </c>
      <c r="F140" t="s">
        <v>784</v>
      </c>
      <c r="G140" t="s">
        <v>650</v>
      </c>
      <c r="H140">
        <v>41</v>
      </c>
      <c r="I140" t="s">
        <v>644</v>
      </c>
      <c r="J140">
        <v>5600</v>
      </c>
      <c r="K140" s="1">
        <v>44613</v>
      </c>
      <c r="L140">
        <v>2022</v>
      </c>
      <c r="M140" t="str">
        <f>UPPER(TEXT(_2020_2022[[#This Row],[Data da Venda]],"mmm"))</f>
        <v>FEV</v>
      </c>
    </row>
    <row r="141" spans="1:13" x14ac:dyDescent="0.25">
      <c r="A141" t="s">
        <v>18</v>
      </c>
      <c r="B141">
        <v>3000</v>
      </c>
      <c r="C141">
        <v>2</v>
      </c>
      <c r="D141" t="s">
        <v>29</v>
      </c>
      <c r="E141" t="s">
        <v>641</v>
      </c>
      <c r="F141" t="s">
        <v>785</v>
      </c>
      <c r="G141" t="s">
        <v>643</v>
      </c>
      <c r="H141">
        <v>41</v>
      </c>
      <c r="I141" t="s">
        <v>644</v>
      </c>
      <c r="J141">
        <v>6000</v>
      </c>
      <c r="K141" s="1">
        <v>44843</v>
      </c>
      <c r="L141">
        <v>2022</v>
      </c>
      <c r="M141" t="str">
        <f>UPPER(TEXT(_2020_2022[[#This Row],[Data da Venda]],"mmm"))</f>
        <v>OUT</v>
      </c>
    </row>
    <row r="142" spans="1:13" x14ac:dyDescent="0.25">
      <c r="A142" t="s">
        <v>25</v>
      </c>
      <c r="B142">
        <v>2500</v>
      </c>
      <c r="C142">
        <v>4</v>
      </c>
      <c r="D142" t="s">
        <v>32</v>
      </c>
      <c r="E142" t="s">
        <v>652</v>
      </c>
      <c r="F142" t="s">
        <v>786</v>
      </c>
      <c r="G142" t="s">
        <v>643</v>
      </c>
      <c r="H142">
        <v>36</v>
      </c>
      <c r="I142" t="s">
        <v>644</v>
      </c>
      <c r="J142">
        <v>10000</v>
      </c>
      <c r="K142" s="1">
        <v>44647</v>
      </c>
      <c r="L142">
        <v>2022</v>
      </c>
      <c r="M142" t="str">
        <f>UPPER(TEXT(_2020_2022[[#This Row],[Data da Venda]],"mmm"))</f>
        <v>MAR</v>
      </c>
    </row>
    <row r="143" spans="1:13" x14ac:dyDescent="0.25">
      <c r="A143" t="s">
        <v>1444</v>
      </c>
      <c r="B143">
        <v>1500</v>
      </c>
      <c r="C143">
        <v>5</v>
      </c>
      <c r="D143" t="s">
        <v>29</v>
      </c>
      <c r="E143" t="s">
        <v>641</v>
      </c>
      <c r="F143" t="s">
        <v>787</v>
      </c>
      <c r="G143" t="s">
        <v>650</v>
      </c>
      <c r="H143">
        <v>68</v>
      </c>
      <c r="I143" t="s">
        <v>647</v>
      </c>
      <c r="J143">
        <v>7500</v>
      </c>
      <c r="K143" s="1">
        <v>44906</v>
      </c>
      <c r="L143">
        <v>2022</v>
      </c>
      <c r="M143" t="str">
        <f>UPPER(TEXT(_2020_2022[[#This Row],[Data da Venda]],"mmm"))</f>
        <v>DEZ</v>
      </c>
    </row>
    <row r="144" spans="1:13" x14ac:dyDescent="0.25">
      <c r="A144" t="s">
        <v>14</v>
      </c>
      <c r="B144">
        <v>2000</v>
      </c>
      <c r="C144">
        <v>3</v>
      </c>
      <c r="D144" t="s">
        <v>33</v>
      </c>
      <c r="E144" t="s">
        <v>641</v>
      </c>
      <c r="F144" t="s">
        <v>788</v>
      </c>
      <c r="G144" t="s">
        <v>643</v>
      </c>
      <c r="H144">
        <v>49</v>
      </c>
      <c r="I144" t="s">
        <v>644</v>
      </c>
      <c r="J144">
        <v>6000</v>
      </c>
      <c r="K144" s="1">
        <v>44713</v>
      </c>
      <c r="L144">
        <v>2022</v>
      </c>
      <c r="M144" t="str">
        <f>UPPER(TEXT(_2020_2022[[#This Row],[Data da Venda]],"mmm"))</f>
        <v>JUN</v>
      </c>
    </row>
    <row r="145" spans="1:13" x14ac:dyDescent="0.25">
      <c r="A145" t="s">
        <v>15</v>
      </c>
      <c r="B145">
        <v>1900</v>
      </c>
      <c r="C145">
        <v>5</v>
      </c>
      <c r="D145" t="s">
        <v>29</v>
      </c>
      <c r="E145" t="s">
        <v>641</v>
      </c>
      <c r="F145" t="s">
        <v>789</v>
      </c>
      <c r="G145" t="s">
        <v>650</v>
      </c>
      <c r="H145">
        <v>28</v>
      </c>
      <c r="I145" t="s">
        <v>651</v>
      </c>
      <c r="J145">
        <v>9500</v>
      </c>
      <c r="K145" s="1">
        <v>44821</v>
      </c>
      <c r="L145">
        <v>2022</v>
      </c>
      <c r="M145" t="str">
        <f>UPPER(TEXT(_2020_2022[[#This Row],[Data da Venda]],"mmm"))</f>
        <v>SET</v>
      </c>
    </row>
    <row r="146" spans="1:13" x14ac:dyDescent="0.25">
      <c r="A146" t="s">
        <v>12</v>
      </c>
      <c r="B146">
        <v>6500</v>
      </c>
      <c r="C146">
        <v>4</v>
      </c>
      <c r="D146" t="s">
        <v>40</v>
      </c>
      <c r="E146" t="s">
        <v>657</v>
      </c>
      <c r="F146" t="s">
        <v>790</v>
      </c>
      <c r="G146" t="s">
        <v>650</v>
      </c>
      <c r="H146">
        <v>36</v>
      </c>
      <c r="I146" t="s">
        <v>644</v>
      </c>
      <c r="J146">
        <v>26000</v>
      </c>
      <c r="K146" s="1">
        <v>44923</v>
      </c>
      <c r="L146">
        <v>2022</v>
      </c>
      <c r="M146" t="str">
        <f>UPPER(TEXT(_2020_2022[[#This Row],[Data da Venda]],"mmm"))</f>
        <v>DEZ</v>
      </c>
    </row>
    <row r="147" spans="1:13" x14ac:dyDescent="0.25">
      <c r="A147" t="s">
        <v>26</v>
      </c>
      <c r="B147">
        <v>1100</v>
      </c>
      <c r="C147">
        <v>3</v>
      </c>
      <c r="D147" t="s">
        <v>31</v>
      </c>
      <c r="E147" t="s">
        <v>645</v>
      </c>
      <c r="F147" t="s">
        <v>791</v>
      </c>
      <c r="G147" t="s">
        <v>643</v>
      </c>
      <c r="H147">
        <v>73</v>
      </c>
      <c r="I147" t="s">
        <v>647</v>
      </c>
      <c r="J147">
        <v>3300</v>
      </c>
      <c r="K147" s="1">
        <v>44665</v>
      </c>
      <c r="L147">
        <v>2022</v>
      </c>
      <c r="M147" t="str">
        <f>UPPER(TEXT(_2020_2022[[#This Row],[Data da Venda]],"mmm"))</f>
        <v>ABR</v>
      </c>
    </row>
    <row r="148" spans="1:13" x14ac:dyDescent="0.25">
      <c r="A148" t="s">
        <v>14</v>
      </c>
      <c r="B148">
        <v>2000</v>
      </c>
      <c r="C148">
        <v>2</v>
      </c>
      <c r="D148" t="s">
        <v>30</v>
      </c>
      <c r="E148" t="s">
        <v>645</v>
      </c>
      <c r="F148" t="s">
        <v>654</v>
      </c>
      <c r="G148" t="s">
        <v>650</v>
      </c>
      <c r="H148">
        <v>62</v>
      </c>
      <c r="I148" t="s">
        <v>647</v>
      </c>
      <c r="J148">
        <v>4000</v>
      </c>
      <c r="K148" s="1">
        <v>44849</v>
      </c>
      <c r="L148">
        <v>2022</v>
      </c>
      <c r="M148" t="str">
        <f>UPPER(TEXT(_2020_2022[[#This Row],[Data da Venda]],"mmm"))</f>
        <v>OUT</v>
      </c>
    </row>
    <row r="149" spans="1:13" x14ac:dyDescent="0.25">
      <c r="A149" t="s">
        <v>5</v>
      </c>
      <c r="B149">
        <v>1750</v>
      </c>
      <c r="C149">
        <v>1</v>
      </c>
      <c r="D149" t="s">
        <v>37</v>
      </c>
      <c r="E149" t="s">
        <v>645</v>
      </c>
      <c r="F149" t="s">
        <v>792</v>
      </c>
      <c r="G149" t="s">
        <v>643</v>
      </c>
      <c r="H149">
        <v>48</v>
      </c>
      <c r="I149" t="s">
        <v>644</v>
      </c>
      <c r="J149">
        <v>1750</v>
      </c>
      <c r="K149" s="1">
        <v>44842</v>
      </c>
      <c r="L149">
        <v>2022</v>
      </c>
      <c r="M149" t="str">
        <f>UPPER(TEXT(_2020_2022[[#This Row],[Data da Venda]],"mmm"))</f>
        <v>OUT</v>
      </c>
    </row>
    <row r="150" spans="1:13" x14ac:dyDescent="0.25">
      <c r="A150" t="s">
        <v>28</v>
      </c>
      <c r="B150">
        <v>1400</v>
      </c>
      <c r="C150">
        <v>2</v>
      </c>
      <c r="D150" t="s">
        <v>33</v>
      </c>
      <c r="E150" t="s">
        <v>641</v>
      </c>
      <c r="F150" t="s">
        <v>793</v>
      </c>
      <c r="G150" t="s">
        <v>643</v>
      </c>
      <c r="H150">
        <v>25</v>
      </c>
      <c r="I150" t="s">
        <v>651</v>
      </c>
      <c r="J150">
        <v>2800</v>
      </c>
      <c r="K150" s="1">
        <v>44573</v>
      </c>
      <c r="L150">
        <v>2022</v>
      </c>
      <c r="M150" t="str">
        <f>UPPER(TEXT(_2020_2022[[#This Row],[Data da Venda]],"mmm"))</f>
        <v>JAN</v>
      </c>
    </row>
    <row r="151" spans="1:13" x14ac:dyDescent="0.25">
      <c r="A151" t="s">
        <v>1442</v>
      </c>
      <c r="B151">
        <v>1200</v>
      </c>
      <c r="C151">
        <v>3</v>
      </c>
      <c r="D151" t="s">
        <v>35</v>
      </c>
      <c r="E151" t="s">
        <v>666</v>
      </c>
      <c r="F151" t="s">
        <v>794</v>
      </c>
      <c r="G151" t="s">
        <v>650</v>
      </c>
      <c r="H151">
        <v>25</v>
      </c>
      <c r="I151" t="s">
        <v>651</v>
      </c>
      <c r="J151">
        <v>3600</v>
      </c>
      <c r="K151" s="1">
        <v>44693</v>
      </c>
      <c r="L151">
        <v>2022</v>
      </c>
      <c r="M151" t="str">
        <f>UPPER(TEXT(_2020_2022[[#This Row],[Data da Venda]],"mmm"))</f>
        <v>MAI</v>
      </c>
    </row>
    <row r="152" spans="1:13" x14ac:dyDescent="0.25">
      <c r="A152" t="s">
        <v>26</v>
      </c>
      <c r="B152">
        <v>1100</v>
      </c>
      <c r="C152">
        <v>5</v>
      </c>
      <c r="D152" t="s">
        <v>29</v>
      </c>
      <c r="E152" t="s">
        <v>641</v>
      </c>
      <c r="F152" t="s">
        <v>795</v>
      </c>
      <c r="G152" t="s">
        <v>643</v>
      </c>
      <c r="H152">
        <v>67</v>
      </c>
      <c r="I152" t="s">
        <v>647</v>
      </c>
      <c r="J152">
        <v>5500</v>
      </c>
      <c r="K152" s="1">
        <v>44676</v>
      </c>
      <c r="L152">
        <v>2022</v>
      </c>
      <c r="M152" t="str">
        <f>UPPER(TEXT(_2020_2022[[#This Row],[Data da Venda]],"mmm"))</f>
        <v>ABR</v>
      </c>
    </row>
    <row r="153" spans="1:13" x14ac:dyDescent="0.25">
      <c r="A153" t="s">
        <v>1445</v>
      </c>
      <c r="B153">
        <v>1500</v>
      </c>
      <c r="C153">
        <v>2</v>
      </c>
      <c r="D153" t="s">
        <v>36</v>
      </c>
      <c r="E153" t="s">
        <v>677</v>
      </c>
      <c r="F153" t="s">
        <v>796</v>
      </c>
      <c r="G153" t="s">
        <v>643</v>
      </c>
      <c r="H153">
        <v>33</v>
      </c>
      <c r="I153" t="s">
        <v>644</v>
      </c>
      <c r="J153">
        <v>3000</v>
      </c>
      <c r="K153" s="1">
        <v>44612</v>
      </c>
      <c r="L153">
        <v>2022</v>
      </c>
      <c r="M153" t="str">
        <f>UPPER(TEXT(_2020_2022[[#This Row],[Data da Venda]],"mmm"))</f>
        <v>FEV</v>
      </c>
    </row>
    <row r="154" spans="1:13" x14ac:dyDescent="0.25">
      <c r="A154" t="s">
        <v>26</v>
      </c>
      <c r="B154">
        <v>1100</v>
      </c>
      <c r="C154">
        <v>5</v>
      </c>
      <c r="D154" t="s">
        <v>32</v>
      </c>
      <c r="E154" t="s">
        <v>652</v>
      </c>
      <c r="F154" t="s">
        <v>797</v>
      </c>
      <c r="G154" t="s">
        <v>643</v>
      </c>
      <c r="H154">
        <v>56</v>
      </c>
      <c r="I154" t="s">
        <v>647</v>
      </c>
      <c r="J154">
        <v>5500</v>
      </c>
      <c r="K154" s="1">
        <v>44752</v>
      </c>
      <c r="L154">
        <v>2022</v>
      </c>
      <c r="M154" t="str">
        <f>UPPER(TEXT(_2020_2022[[#This Row],[Data da Venda]],"mmm"))</f>
        <v>JUL</v>
      </c>
    </row>
    <row r="155" spans="1:13" x14ac:dyDescent="0.25">
      <c r="A155" t="s">
        <v>1441</v>
      </c>
      <c r="B155">
        <v>1450</v>
      </c>
      <c r="C155">
        <v>5</v>
      </c>
      <c r="D155" t="s">
        <v>29</v>
      </c>
      <c r="E155" t="s">
        <v>641</v>
      </c>
      <c r="F155" t="s">
        <v>798</v>
      </c>
      <c r="G155" t="s">
        <v>650</v>
      </c>
      <c r="H155">
        <v>69</v>
      </c>
      <c r="I155" t="s">
        <v>647</v>
      </c>
      <c r="J155">
        <v>7250</v>
      </c>
      <c r="K155" s="1">
        <v>44708</v>
      </c>
      <c r="L155">
        <v>2022</v>
      </c>
      <c r="M155" t="str">
        <f>UPPER(TEXT(_2020_2022[[#This Row],[Data da Venda]],"mmm"))</f>
        <v>MAI</v>
      </c>
    </row>
    <row r="156" spans="1:13" x14ac:dyDescent="0.25">
      <c r="A156" t="s">
        <v>21</v>
      </c>
      <c r="B156">
        <v>2400</v>
      </c>
      <c r="C156">
        <v>1</v>
      </c>
      <c r="D156" t="s">
        <v>35</v>
      </c>
      <c r="E156" t="s">
        <v>666</v>
      </c>
      <c r="F156" t="s">
        <v>667</v>
      </c>
      <c r="G156" t="s">
        <v>643</v>
      </c>
      <c r="H156">
        <v>72</v>
      </c>
      <c r="I156" t="s">
        <v>647</v>
      </c>
      <c r="J156">
        <v>2400</v>
      </c>
      <c r="K156" s="1">
        <v>44688</v>
      </c>
      <c r="L156">
        <v>2022</v>
      </c>
      <c r="M156" t="str">
        <f>UPPER(TEXT(_2020_2022[[#This Row],[Data da Venda]],"mmm"))</f>
        <v>MAI</v>
      </c>
    </row>
    <row r="157" spans="1:13" x14ac:dyDescent="0.25">
      <c r="A157" t="s">
        <v>15</v>
      </c>
      <c r="B157">
        <v>1900</v>
      </c>
      <c r="C157">
        <v>1</v>
      </c>
      <c r="D157" t="s">
        <v>36</v>
      </c>
      <c r="E157" t="s">
        <v>677</v>
      </c>
      <c r="F157" t="s">
        <v>799</v>
      </c>
      <c r="G157" t="s">
        <v>650</v>
      </c>
      <c r="H157">
        <v>50</v>
      </c>
      <c r="I157" t="s">
        <v>644</v>
      </c>
      <c r="J157">
        <v>1900</v>
      </c>
      <c r="K157" s="1">
        <v>44753</v>
      </c>
      <c r="L157">
        <v>2022</v>
      </c>
      <c r="M157" t="str">
        <f>UPPER(TEXT(_2020_2022[[#This Row],[Data da Venda]],"mmm"))</f>
        <v>JUL</v>
      </c>
    </row>
    <row r="158" spans="1:13" x14ac:dyDescent="0.25">
      <c r="A158" t="s">
        <v>24</v>
      </c>
      <c r="B158">
        <v>2000</v>
      </c>
      <c r="C158">
        <v>2</v>
      </c>
      <c r="D158" t="s">
        <v>40</v>
      </c>
      <c r="E158" t="s">
        <v>657</v>
      </c>
      <c r="F158" t="s">
        <v>800</v>
      </c>
      <c r="G158" t="s">
        <v>650</v>
      </c>
      <c r="H158">
        <v>58</v>
      </c>
      <c r="I158" t="s">
        <v>647</v>
      </c>
      <c r="J158">
        <v>4000</v>
      </c>
      <c r="K158" s="1">
        <v>44652</v>
      </c>
      <c r="L158">
        <v>2022</v>
      </c>
      <c r="M158" t="str">
        <f>UPPER(TEXT(_2020_2022[[#This Row],[Data da Venda]],"mmm"))</f>
        <v>ABR</v>
      </c>
    </row>
    <row r="159" spans="1:13" x14ac:dyDescent="0.25">
      <c r="A159" t="s">
        <v>20</v>
      </c>
      <c r="B159">
        <v>2600</v>
      </c>
      <c r="C159">
        <v>5</v>
      </c>
      <c r="D159" t="s">
        <v>36</v>
      </c>
      <c r="E159" t="s">
        <v>677</v>
      </c>
      <c r="F159" t="s">
        <v>801</v>
      </c>
      <c r="G159" t="s">
        <v>650</v>
      </c>
      <c r="H159">
        <v>64</v>
      </c>
      <c r="I159" t="s">
        <v>647</v>
      </c>
      <c r="J159">
        <v>13000</v>
      </c>
      <c r="K159" s="1">
        <v>44899</v>
      </c>
      <c r="L159">
        <v>2022</v>
      </c>
      <c r="M159" t="str">
        <f>UPPER(TEXT(_2020_2022[[#This Row],[Data da Venda]],"mmm"))</f>
        <v>DEZ</v>
      </c>
    </row>
    <row r="160" spans="1:13" x14ac:dyDescent="0.25">
      <c r="A160" t="s">
        <v>1440</v>
      </c>
      <c r="B160">
        <v>700</v>
      </c>
      <c r="C160">
        <v>4</v>
      </c>
      <c r="D160" t="s">
        <v>33</v>
      </c>
      <c r="E160" t="s">
        <v>641</v>
      </c>
      <c r="F160" t="s">
        <v>802</v>
      </c>
      <c r="G160" t="s">
        <v>650</v>
      </c>
      <c r="H160">
        <v>31</v>
      </c>
      <c r="I160" t="s">
        <v>644</v>
      </c>
      <c r="J160">
        <v>2800</v>
      </c>
      <c r="K160" s="1">
        <v>44831</v>
      </c>
      <c r="L160">
        <v>2022</v>
      </c>
      <c r="M160" t="str">
        <f>UPPER(TEXT(_2020_2022[[#This Row],[Data da Venda]],"mmm"))</f>
        <v>SET</v>
      </c>
    </row>
    <row r="161" spans="1:13" x14ac:dyDescent="0.25">
      <c r="A161" t="s">
        <v>16</v>
      </c>
      <c r="B161">
        <v>1400</v>
      </c>
      <c r="C161">
        <v>2</v>
      </c>
      <c r="D161" t="s">
        <v>29</v>
      </c>
      <c r="E161" t="s">
        <v>641</v>
      </c>
      <c r="F161" t="s">
        <v>803</v>
      </c>
      <c r="G161" t="s">
        <v>650</v>
      </c>
      <c r="H161">
        <v>35</v>
      </c>
      <c r="I161" t="s">
        <v>644</v>
      </c>
      <c r="J161">
        <v>2800</v>
      </c>
      <c r="K161" s="1">
        <v>44682</v>
      </c>
      <c r="L161">
        <v>2022</v>
      </c>
      <c r="M161" t="str">
        <f>UPPER(TEXT(_2020_2022[[#This Row],[Data da Venda]],"mmm"))</f>
        <v>MAI</v>
      </c>
    </row>
    <row r="162" spans="1:13" x14ac:dyDescent="0.25">
      <c r="A162" t="s">
        <v>28</v>
      </c>
      <c r="B162">
        <v>1400</v>
      </c>
      <c r="C162">
        <v>3</v>
      </c>
      <c r="D162" t="s">
        <v>32</v>
      </c>
      <c r="E162" t="s">
        <v>652</v>
      </c>
      <c r="F162" t="s">
        <v>804</v>
      </c>
      <c r="G162" t="s">
        <v>643</v>
      </c>
      <c r="H162">
        <v>75</v>
      </c>
      <c r="I162" t="s">
        <v>647</v>
      </c>
      <c r="J162">
        <v>4200</v>
      </c>
      <c r="K162" s="1">
        <v>44805</v>
      </c>
      <c r="L162">
        <v>2022</v>
      </c>
      <c r="M162" t="str">
        <f>UPPER(TEXT(_2020_2022[[#This Row],[Data da Venda]],"mmm"))</f>
        <v>SET</v>
      </c>
    </row>
    <row r="163" spans="1:13" x14ac:dyDescent="0.25">
      <c r="A163" t="s">
        <v>1444</v>
      </c>
      <c r="B163">
        <v>1500</v>
      </c>
      <c r="C163">
        <v>4</v>
      </c>
      <c r="D163" t="s">
        <v>36</v>
      </c>
      <c r="E163" t="s">
        <v>677</v>
      </c>
      <c r="F163" t="s">
        <v>805</v>
      </c>
      <c r="G163" t="s">
        <v>650</v>
      </c>
      <c r="H163">
        <v>47</v>
      </c>
      <c r="I163" t="s">
        <v>644</v>
      </c>
      <c r="J163">
        <v>6000</v>
      </c>
      <c r="K163" s="1">
        <v>44772</v>
      </c>
      <c r="L163">
        <v>2022</v>
      </c>
      <c r="M163" t="str">
        <f>UPPER(TEXT(_2020_2022[[#This Row],[Data da Venda]],"mmm"))</f>
        <v>JUL</v>
      </c>
    </row>
    <row r="164" spans="1:13" x14ac:dyDescent="0.25">
      <c r="A164" t="s">
        <v>25</v>
      </c>
      <c r="B164">
        <v>2500</v>
      </c>
      <c r="C164">
        <v>1</v>
      </c>
      <c r="D164" t="s">
        <v>32</v>
      </c>
      <c r="E164" t="s">
        <v>652</v>
      </c>
      <c r="F164" t="s">
        <v>806</v>
      </c>
      <c r="G164" t="s">
        <v>650</v>
      </c>
      <c r="H164">
        <v>63</v>
      </c>
      <c r="I164" t="s">
        <v>647</v>
      </c>
      <c r="J164">
        <v>2500</v>
      </c>
      <c r="K164" s="1">
        <v>44761</v>
      </c>
      <c r="L164">
        <v>2022</v>
      </c>
      <c r="M164" t="str">
        <f>UPPER(TEXT(_2020_2022[[#This Row],[Data da Venda]],"mmm"))</f>
        <v>JUL</v>
      </c>
    </row>
    <row r="165" spans="1:13" x14ac:dyDescent="0.25">
      <c r="A165" t="s">
        <v>11</v>
      </c>
      <c r="B165">
        <v>4500</v>
      </c>
      <c r="C165">
        <v>5</v>
      </c>
      <c r="D165" t="s">
        <v>29</v>
      </c>
      <c r="E165" t="s">
        <v>641</v>
      </c>
      <c r="F165" t="s">
        <v>757</v>
      </c>
      <c r="G165" t="s">
        <v>643</v>
      </c>
      <c r="H165">
        <v>30</v>
      </c>
      <c r="I165" t="s">
        <v>644</v>
      </c>
      <c r="J165">
        <v>22500</v>
      </c>
      <c r="K165" s="1">
        <v>44924</v>
      </c>
      <c r="L165">
        <v>2022</v>
      </c>
      <c r="M165" t="str">
        <f>UPPER(TEXT(_2020_2022[[#This Row],[Data da Venda]],"mmm"))</f>
        <v>DEZ</v>
      </c>
    </row>
    <row r="166" spans="1:13" x14ac:dyDescent="0.25">
      <c r="A166" t="s">
        <v>1445</v>
      </c>
      <c r="B166">
        <v>1500</v>
      </c>
      <c r="C166">
        <v>3</v>
      </c>
      <c r="D166" t="s">
        <v>29</v>
      </c>
      <c r="E166" t="s">
        <v>641</v>
      </c>
      <c r="F166" t="s">
        <v>807</v>
      </c>
      <c r="G166" t="s">
        <v>643</v>
      </c>
      <c r="H166">
        <v>28</v>
      </c>
      <c r="I166" t="s">
        <v>651</v>
      </c>
      <c r="J166">
        <v>4500</v>
      </c>
      <c r="K166" s="1">
        <v>44829</v>
      </c>
      <c r="L166">
        <v>2022</v>
      </c>
      <c r="M166" t="str">
        <f>UPPER(TEXT(_2020_2022[[#This Row],[Data da Venda]],"mmm"))</f>
        <v>SET</v>
      </c>
    </row>
    <row r="167" spans="1:13" x14ac:dyDescent="0.25">
      <c r="A167" t="s">
        <v>26</v>
      </c>
      <c r="B167">
        <v>1100</v>
      </c>
      <c r="C167">
        <v>1</v>
      </c>
      <c r="D167" t="s">
        <v>32</v>
      </c>
      <c r="E167" t="s">
        <v>652</v>
      </c>
      <c r="F167" t="s">
        <v>786</v>
      </c>
      <c r="G167" t="s">
        <v>643</v>
      </c>
      <c r="H167">
        <v>36</v>
      </c>
      <c r="I167" t="s">
        <v>644</v>
      </c>
      <c r="J167">
        <v>1100</v>
      </c>
      <c r="K167" s="1">
        <v>44837</v>
      </c>
      <c r="L167">
        <v>2022</v>
      </c>
      <c r="M167" t="str">
        <f>UPPER(TEXT(_2020_2022[[#This Row],[Data da Venda]],"mmm"))</f>
        <v>OUT</v>
      </c>
    </row>
    <row r="168" spans="1:13" x14ac:dyDescent="0.25">
      <c r="A168" t="s">
        <v>15</v>
      </c>
      <c r="B168">
        <v>1900</v>
      </c>
      <c r="C168">
        <v>1</v>
      </c>
      <c r="D168" t="s">
        <v>32</v>
      </c>
      <c r="E168" t="s">
        <v>652</v>
      </c>
      <c r="F168" t="s">
        <v>808</v>
      </c>
      <c r="G168" t="s">
        <v>650</v>
      </c>
      <c r="H168">
        <v>57</v>
      </c>
      <c r="I168" t="s">
        <v>647</v>
      </c>
      <c r="J168">
        <v>1900</v>
      </c>
      <c r="K168" s="1">
        <v>44781</v>
      </c>
      <c r="L168">
        <v>2022</v>
      </c>
      <c r="M168" t="str">
        <f>UPPER(TEXT(_2020_2022[[#This Row],[Data da Venda]],"mmm"))</f>
        <v>AGO</v>
      </c>
    </row>
    <row r="169" spans="1:13" x14ac:dyDescent="0.25">
      <c r="A169" t="s">
        <v>1445</v>
      </c>
      <c r="B169">
        <v>1500</v>
      </c>
      <c r="C169">
        <v>3</v>
      </c>
      <c r="D169" t="s">
        <v>39</v>
      </c>
      <c r="E169" t="s">
        <v>641</v>
      </c>
      <c r="F169" t="s">
        <v>809</v>
      </c>
      <c r="G169" t="s">
        <v>643</v>
      </c>
      <c r="H169">
        <v>47</v>
      </c>
      <c r="I169" t="s">
        <v>644</v>
      </c>
      <c r="J169">
        <v>4500</v>
      </c>
      <c r="K169" s="1">
        <v>44863</v>
      </c>
      <c r="L169">
        <v>2022</v>
      </c>
      <c r="M169" t="str">
        <f>UPPER(TEXT(_2020_2022[[#This Row],[Data da Venda]],"mmm"))</f>
        <v>OUT</v>
      </c>
    </row>
    <row r="170" spans="1:13" x14ac:dyDescent="0.25">
      <c r="A170" t="s">
        <v>15</v>
      </c>
      <c r="B170">
        <v>1900</v>
      </c>
      <c r="C170">
        <v>1</v>
      </c>
      <c r="D170" t="s">
        <v>30</v>
      </c>
      <c r="E170" t="s">
        <v>645</v>
      </c>
      <c r="F170" t="s">
        <v>810</v>
      </c>
      <c r="G170" t="s">
        <v>643</v>
      </c>
      <c r="H170">
        <v>74</v>
      </c>
      <c r="I170" t="s">
        <v>647</v>
      </c>
      <c r="J170">
        <v>1900</v>
      </c>
      <c r="K170" s="1">
        <v>44803</v>
      </c>
      <c r="L170">
        <v>2022</v>
      </c>
      <c r="M170" t="str">
        <f>UPPER(TEXT(_2020_2022[[#This Row],[Data da Venda]],"mmm"))</f>
        <v>AGO</v>
      </c>
    </row>
    <row r="171" spans="1:13" x14ac:dyDescent="0.25">
      <c r="A171" t="s">
        <v>22</v>
      </c>
      <c r="B171">
        <v>5200</v>
      </c>
      <c r="C171">
        <v>1</v>
      </c>
      <c r="D171" t="s">
        <v>31</v>
      </c>
      <c r="E171" t="s">
        <v>645</v>
      </c>
      <c r="F171" t="s">
        <v>811</v>
      </c>
      <c r="G171" t="s">
        <v>650</v>
      </c>
      <c r="H171">
        <v>56</v>
      </c>
      <c r="I171" t="s">
        <v>647</v>
      </c>
      <c r="J171">
        <v>5200</v>
      </c>
      <c r="K171" s="1">
        <v>44750</v>
      </c>
      <c r="L171">
        <v>2022</v>
      </c>
      <c r="M171" t="str">
        <f>UPPER(TEXT(_2020_2022[[#This Row],[Data da Venda]],"mmm"))</f>
        <v>JUL</v>
      </c>
    </row>
    <row r="172" spans="1:13" x14ac:dyDescent="0.25">
      <c r="A172" t="s">
        <v>1440</v>
      </c>
      <c r="B172">
        <v>700</v>
      </c>
      <c r="C172">
        <v>1</v>
      </c>
      <c r="D172" t="s">
        <v>29</v>
      </c>
      <c r="E172" t="s">
        <v>641</v>
      </c>
      <c r="F172" t="s">
        <v>812</v>
      </c>
      <c r="G172" t="s">
        <v>643</v>
      </c>
      <c r="H172">
        <v>55</v>
      </c>
      <c r="I172" t="s">
        <v>647</v>
      </c>
      <c r="J172">
        <v>700</v>
      </c>
      <c r="K172" s="1">
        <v>44740</v>
      </c>
      <c r="L172">
        <v>2022</v>
      </c>
      <c r="M172" t="str">
        <f>UPPER(TEXT(_2020_2022[[#This Row],[Data da Venda]],"mmm"))</f>
        <v>JUN</v>
      </c>
    </row>
    <row r="173" spans="1:13" x14ac:dyDescent="0.25">
      <c r="A173" t="s">
        <v>1444</v>
      </c>
      <c r="B173">
        <v>1500</v>
      </c>
      <c r="C173">
        <v>4</v>
      </c>
      <c r="D173" t="s">
        <v>29</v>
      </c>
      <c r="E173" t="s">
        <v>641</v>
      </c>
      <c r="F173" t="s">
        <v>813</v>
      </c>
      <c r="G173" t="s">
        <v>650</v>
      </c>
      <c r="H173">
        <v>40</v>
      </c>
      <c r="I173" t="s">
        <v>644</v>
      </c>
      <c r="J173">
        <v>6000</v>
      </c>
      <c r="K173" s="1">
        <v>44893</v>
      </c>
      <c r="L173">
        <v>2022</v>
      </c>
      <c r="M173" t="str">
        <f>UPPER(TEXT(_2020_2022[[#This Row],[Data da Venda]],"mmm"))</f>
        <v>NOV</v>
      </c>
    </row>
    <row r="174" spans="1:13" x14ac:dyDescent="0.25">
      <c r="A174" t="s">
        <v>28</v>
      </c>
      <c r="B174">
        <v>1400</v>
      </c>
      <c r="C174">
        <v>3</v>
      </c>
      <c r="D174" t="s">
        <v>39</v>
      </c>
      <c r="E174" t="s">
        <v>641</v>
      </c>
      <c r="F174" t="s">
        <v>814</v>
      </c>
      <c r="G174" t="s">
        <v>650</v>
      </c>
      <c r="H174">
        <v>66</v>
      </c>
      <c r="I174" t="s">
        <v>647</v>
      </c>
      <c r="J174">
        <v>4200</v>
      </c>
      <c r="K174" s="1">
        <v>44730</v>
      </c>
      <c r="L174">
        <v>2022</v>
      </c>
      <c r="M174" t="str">
        <f>UPPER(TEXT(_2020_2022[[#This Row],[Data da Venda]],"mmm"))</f>
        <v>JUN</v>
      </c>
    </row>
    <row r="175" spans="1:13" x14ac:dyDescent="0.25">
      <c r="A175" t="s">
        <v>12</v>
      </c>
      <c r="B175">
        <v>6500</v>
      </c>
      <c r="C175">
        <v>5</v>
      </c>
      <c r="D175" t="s">
        <v>31</v>
      </c>
      <c r="E175" t="s">
        <v>645</v>
      </c>
      <c r="F175" t="s">
        <v>815</v>
      </c>
      <c r="G175" t="s">
        <v>643</v>
      </c>
      <c r="H175">
        <v>59</v>
      </c>
      <c r="I175" t="s">
        <v>647</v>
      </c>
      <c r="J175">
        <v>32500</v>
      </c>
      <c r="K175" s="1">
        <v>44783</v>
      </c>
      <c r="L175">
        <v>2022</v>
      </c>
      <c r="M175" t="str">
        <f>UPPER(TEXT(_2020_2022[[#This Row],[Data da Venda]],"mmm"))</f>
        <v>AGO</v>
      </c>
    </row>
    <row r="176" spans="1:13" x14ac:dyDescent="0.25">
      <c r="A176" t="s">
        <v>9</v>
      </c>
      <c r="B176">
        <v>1500</v>
      </c>
      <c r="C176">
        <v>4</v>
      </c>
      <c r="D176" t="s">
        <v>29</v>
      </c>
      <c r="E176" t="s">
        <v>641</v>
      </c>
      <c r="F176" t="s">
        <v>816</v>
      </c>
      <c r="G176" t="s">
        <v>643</v>
      </c>
      <c r="H176">
        <v>27</v>
      </c>
      <c r="I176" t="s">
        <v>651</v>
      </c>
      <c r="J176">
        <v>6000</v>
      </c>
      <c r="K176" s="1">
        <v>44720</v>
      </c>
      <c r="L176">
        <v>2022</v>
      </c>
      <c r="M176" t="str">
        <f>UPPER(TEXT(_2020_2022[[#This Row],[Data da Venda]],"mmm"))</f>
        <v>JUN</v>
      </c>
    </row>
    <row r="177" spans="1:13" x14ac:dyDescent="0.25">
      <c r="A177" t="s">
        <v>13</v>
      </c>
      <c r="B177">
        <v>2300</v>
      </c>
      <c r="C177">
        <v>4</v>
      </c>
      <c r="D177" t="s">
        <v>31</v>
      </c>
      <c r="E177" t="s">
        <v>645</v>
      </c>
      <c r="F177" t="s">
        <v>817</v>
      </c>
      <c r="G177" t="s">
        <v>643</v>
      </c>
      <c r="H177">
        <v>32</v>
      </c>
      <c r="I177" t="s">
        <v>644</v>
      </c>
      <c r="J177">
        <v>9200</v>
      </c>
      <c r="K177" s="1">
        <v>44591</v>
      </c>
      <c r="L177">
        <v>2022</v>
      </c>
      <c r="M177" t="str">
        <f>UPPER(TEXT(_2020_2022[[#This Row],[Data da Venda]],"mmm"))</f>
        <v>JAN</v>
      </c>
    </row>
    <row r="178" spans="1:13" x14ac:dyDescent="0.25">
      <c r="A178" t="s">
        <v>22</v>
      </c>
      <c r="B178">
        <v>5200</v>
      </c>
      <c r="C178">
        <v>2</v>
      </c>
      <c r="D178" t="s">
        <v>39</v>
      </c>
      <c r="E178" t="s">
        <v>641</v>
      </c>
      <c r="F178" t="s">
        <v>818</v>
      </c>
      <c r="G178" t="s">
        <v>643</v>
      </c>
      <c r="H178">
        <v>71</v>
      </c>
      <c r="I178" t="s">
        <v>647</v>
      </c>
      <c r="J178">
        <v>10400</v>
      </c>
      <c r="K178" s="1">
        <v>44796</v>
      </c>
      <c r="L178">
        <v>2022</v>
      </c>
      <c r="M178" t="str">
        <f>UPPER(TEXT(_2020_2022[[#This Row],[Data da Venda]],"mmm"))</f>
        <v>AGO</v>
      </c>
    </row>
    <row r="179" spans="1:13" x14ac:dyDescent="0.25">
      <c r="A179" t="s">
        <v>24</v>
      </c>
      <c r="B179">
        <v>2000</v>
      </c>
      <c r="C179">
        <v>5</v>
      </c>
      <c r="D179" t="s">
        <v>36</v>
      </c>
      <c r="E179" t="s">
        <v>677</v>
      </c>
      <c r="F179" t="s">
        <v>819</v>
      </c>
      <c r="G179" t="s">
        <v>643</v>
      </c>
      <c r="H179">
        <v>63</v>
      </c>
      <c r="I179" t="s">
        <v>647</v>
      </c>
      <c r="J179">
        <v>10000</v>
      </c>
      <c r="K179" s="1">
        <v>44633</v>
      </c>
      <c r="L179">
        <v>2022</v>
      </c>
      <c r="M179" t="str">
        <f>UPPER(TEXT(_2020_2022[[#This Row],[Data da Venda]],"mmm"))</f>
        <v>MAR</v>
      </c>
    </row>
    <row r="180" spans="1:13" x14ac:dyDescent="0.25">
      <c r="A180" t="s">
        <v>7</v>
      </c>
      <c r="B180">
        <v>750</v>
      </c>
      <c r="C180">
        <v>3</v>
      </c>
      <c r="D180" t="s">
        <v>37</v>
      </c>
      <c r="E180" t="s">
        <v>645</v>
      </c>
      <c r="F180" t="s">
        <v>718</v>
      </c>
      <c r="G180" t="s">
        <v>650</v>
      </c>
      <c r="H180">
        <v>37</v>
      </c>
      <c r="I180" t="s">
        <v>644</v>
      </c>
      <c r="J180">
        <v>2250</v>
      </c>
      <c r="K180" s="1">
        <v>44624</v>
      </c>
      <c r="L180">
        <v>2022</v>
      </c>
      <c r="M180" t="str">
        <f>UPPER(TEXT(_2020_2022[[#This Row],[Data da Venda]],"mmm"))</f>
        <v>MAR</v>
      </c>
    </row>
    <row r="181" spans="1:13" x14ac:dyDescent="0.25">
      <c r="A181" t="s">
        <v>15</v>
      </c>
      <c r="B181">
        <v>1900</v>
      </c>
      <c r="C181">
        <v>1</v>
      </c>
      <c r="D181" t="s">
        <v>39</v>
      </c>
      <c r="E181" t="s">
        <v>641</v>
      </c>
      <c r="F181" t="s">
        <v>820</v>
      </c>
      <c r="G181" t="s">
        <v>650</v>
      </c>
      <c r="H181">
        <v>44</v>
      </c>
      <c r="I181" t="s">
        <v>644</v>
      </c>
      <c r="J181">
        <v>1900</v>
      </c>
      <c r="K181" s="1">
        <v>44566</v>
      </c>
      <c r="L181">
        <v>2022</v>
      </c>
      <c r="M181" t="str">
        <f>UPPER(TEXT(_2020_2022[[#This Row],[Data da Venda]],"mmm"))</f>
        <v>JAN</v>
      </c>
    </row>
    <row r="182" spans="1:13" x14ac:dyDescent="0.25">
      <c r="A182" t="s">
        <v>1444</v>
      </c>
      <c r="B182">
        <v>1500</v>
      </c>
      <c r="C182">
        <v>5</v>
      </c>
      <c r="D182" t="s">
        <v>37</v>
      </c>
      <c r="E182" t="s">
        <v>645</v>
      </c>
      <c r="F182" t="s">
        <v>704</v>
      </c>
      <c r="G182" t="s">
        <v>643</v>
      </c>
      <c r="H182">
        <v>38</v>
      </c>
      <c r="I182" t="s">
        <v>644</v>
      </c>
      <c r="J182">
        <v>7500</v>
      </c>
      <c r="K182" s="1">
        <v>44807</v>
      </c>
      <c r="L182">
        <v>2022</v>
      </c>
      <c r="M182" t="str">
        <f>UPPER(TEXT(_2020_2022[[#This Row],[Data da Venda]],"mmm"))</f>
        <v>SET</v>
      </c>
    </row>
    <row r="183" spans="1:13" x14ac:dyDescent="0.25">
      <c r="A183" t="s">
        <v>8</v>
      </c>
      <c r="B183">
        <v>5500</v>
      </c>
      <c r="C183">
        <v>5</v>
      </c>
      <c r="D183" t="s">
        <v>36</v>
      </c>
      <c r="E183" t="s">
        <v>677</v>
      </c>
      <c r="F183" t="s">
        <v>821</v>
      </c>
      <c r="G183" t="s">
        <v>643</v>
      </c>
      <c r="H183">
        <v>56</v>
      </c>
      <c r="I183" t="s">
        <v>647</v>
      </c>
      <c r="J183">
        <v>27500</v>
      </c>
      <c r="K183" s="1">
        <v>44820</v>
      </c>
      <c r="L183">
        <v>2022</v>
      </c>
      <c r="M183" t="str">
        <f>UPPER(TEXT(_2020_2022[[#This Row],[Data da Venda]],"mmm"))</f>
        <v>SET</v>
      </c>
    </row>
    <row r="184" spans="1:13" x14ac:dyDescent="0.25">
      <c r="A184" t="s">
        <v>13</v>
      </c>
      <c r="B184">
        <v>2300</v>
      </c>
      <c r="C184">
        <v>2</v>
      </c>
      <c r="D184" t="s">
        <v>34</v>
      </c>
      <c r="E184" t="s">
        <v>679</v>
      </c>
      <c r="F184" t="s">
        <v>822</v>
      </c>
      <c r="G184" t="s">
        <v>643</v>
      </c>
      <c r="H184">
        <v>54</v>
      </c>
      <c r="I184" t="s">
        <v>647</v>
      </c>
      <c r="J184">
        <v>4600</v>
      </c>
      <c r="K184" s="1">
        <v>44713</v>
      </c>
      <c r="L184">
        <v>2022</v>
      </c>
      <c r="M184" t="str">
        <f>UPPER(TEXT(_2020_2022[[#This Row],[Data da Venda]],"mmm"))</f>
        <v>JUN</v>
      </c>
    </row>
    <row r="185" spans="1:13" x14ac:dyDescent="0.25">
      <c r="A185" t="s">
        <v>25</v>
      </c>
      <c r="B185">
        <v>2500</v>
      </c>
      <c r="C185">
        <v>2</v>
      </c>
      <c r="D185" t="s">
        <v>30</v>
      </c>
      <c r="E185" t="s">
        <v>645</v>
      </c>
      <c r="F185" t="s">
        <v>823</v>
      </c>
      <c r="G185" t="s">
        <v>643</v>
      </c>
      <c r="H185">
        <v>68</v>
      </c>
      <c r="I185" t="s">
        <v>647</v>
      </c>
      <c r="J185">
        <v>5000</v>
      </c>
      <c r="K185" s="1">
        <v>44801</v>
      </c>
      <c r="L185">
        <v>2022</v>
      </c>
      <c r="M185" t="str">
        <f>UPPER(TEXT(_2020_2022[[#This Row],[Data da Venda]],"mmm"))</f>
        <v>AGO</v>
      </c>
    </row>
    <row r="186" spans="1:13" x14ac:dyDescent="0.25">
      <c r="A186" t="s">
        <v>1445</v>
      </c>
      <c r="B186">
        <v>1500</v>
      </c>
      <c r="C186">
        <v>5</v>
      </c>
      <c r="D186" t="s">
        <v>37</v>
      </c>
      <c r="E186" t="s">
        <v>645</v>
      </c>
      <c r="F186" t="s">
        <v>824</v>
      </c>
      <c r="G186" t="s">
        <v>643</v>
      </c>
      <c r="H186">
        <v>32</v>
      </c>
      <c r="I186" t="s">
        <v>644</v>
      </c>
      <c r="J186">
        <v>7500</v>
      </c>
      <c r="K186" s="1">
        <v>44704</v>
      </c>
      <c r="L186">
        <v>2022</v>
      </c>
      <c r="M186" t="str">
        <f>UPPER(TEXT(_2020_2022[[#This Row],[Data da Venda]],"mmm"))</f>
        <v>MAI</v>
      </c>
    </row>
    <row r="187" spans="1:13" x14ac:dyDescent="0.25">
      <c r="A187" t="s">
        <v>1442</v>
      </c>
      <c r="B187">
        <v>1200</v>
      </c>
      <c r="C187">
        <v>3</v>
      </c>
      <c r="D187" t="s">
        <v>36</v>
      </c>
      <c r="E187" t="s">
        <v>677</v>
      </c>
      <c r="F187" t="s">
        <v>825</v>
      </c>
      <c r="G187" t="s">
        <v>643</v>
      </c>
      <c r="H187">
        <v>27</v>
      </c>
      <c r="I187" t="s">
        <v>651</v>
      </c>
      <c r="J187">
        <v>3600</v>
      </c>
      <c r="K187" s="1">
        <v>44713</v>
      </c>
      <c r="L187">
        <v>2022</v>
      </c>
      <c r="M187" t="str">
        <f>UPPER(TEXT(_2020_2022[[#This Row],[Data da Venda]],"mmm"))</f>
        <v>JUN</v>
      </c>
    </row>
    <row r="188" spans="1:13" x14ac:dyDescent="0.25">
      <c r="A188" t="s">
        <v>28</v>
      </c>
      <c r="B188">
        <v>1400</v>
      </c>
      <c r="C188">
        <v>1</v>
      </c>
      <c r="D188" t="s">
        <v>38</v>
      </c>
      <c r="E188" t="s">
        <v>648</v>
      </c>
      <c r="F188" t="s">
        <v>826</v>
      </c>
      <c r="G188" t="s">
        <v>643</v>
      </c>
      <c r="H188">
        <v>53</v>
      </c>
      <c r="I188" t="s">
        <v>647</v>
      </c>
      <c r="J188">
        <v>1400</v>
      </c>
      <c r="K188" s="1">
        <v>44649</v>
      </c>
      <c r="L188">
        <v>2022</v>
      </c>
      <c r="M188" t="str">
        <f>UPPER(TEXT(_2020_2022[[#This Row],[Data da Venda]],"mmm"))</f>
        <v>MAR</v>
      </c>
    </row>
    <row r="189" spans="1:13" x14ac:dyDescent="0.25">
      <c r="A189" t="s">
        <v>9</v>
      </c>
      <c r="B189">
        <v>1500</v>
      </c>
      <c r="C189">
        <v>2</v>
      </c>
      <c r="D189" t="s">
        <v>29</v>
      </c>
      <c r="E189" t="s">
        <v>641</v>
      </c>
      <c r="F189" t="s">
        <v>827</v>
      </c>
      <c r="G189" t="s">
        <v>650</v>
      </c>
      <c r="H189">
        <v>54</v>
      </c>
      <c r="I189" t="s">
        <v>647</v>
      </c>
      <c r="J189">
        <v>3000</v>
      </c>
      <c r="K189" s="1">
        <v>44751</v>
      </c>
      <c r="L189">
        <v>2022</v>
      </c>
      <c r="M189" t="str">
        <f>UPPER(TEXT(_2020_2022[[#This Row],[Data da Venda]],"mmm"))</f>
        <v>JUL</v>
      </c>
    </row>
    <row r="190" spans="1:13" x14ac:dyDescent="0.25">
      <c r="A190" t="s">
        <v>1443</v>
      </c>
      <c r="B190">
        <v>1550</v>
      </c>
      <c r="C190">
        <v>4</v>
      </c>
      <c r="D190" t="s">
        <v>37</v>
      </c>
      <c r="E190" t="s">
        <v>645</v>
      </c>
      <c r="F190" t="s">
        <v>828</v>
      </c>
      <c r="G190" t="s">
        <v>650</v>
      </c>
      <c r="H190">
        <v>63</v>
      </c>
      <c r="I190" t="s">
        <v>647</v>
      </c>
      <c r="J190">
        <v>6200</v>
      </c>
      <c r="K190" s="1">
        <v>44770</v>
      </c>
      <c r="L190">
        <v>2022</v>
      </c>
      <c r="M190" t="str">
        <f>UPPER(TEXT(_2020_2022[[#This Row],[Data da Venda]],"mmm"))</f>
        <v>JUL</v>
      </c>
    </row>
    <row r="191" spans="1:13" x14ac:dyDescent="0.25">
      <c r="A191" t="s">
        <v>1442</v>
      </c>
      <c r="B191">
        <v>1200</v>
      </c>
      <c r="C191">
        <v>2</v>
      </c>
      <c r="D191" t="s">
        <v>33</v>
      </c>
      <c r="E191" t="s">
        <v>641</v>
      </c>
      <c r="F191" t="s">
        <v>829</v>
      </c>
      <c r="G191" t="s">
        <v>650</v>
      </c>
      <c r="H191">
        <v>48</v>
      </c>
      <c r="I191" t="s">
        <v>644</v>
      </c>
      <c r="J191">
        <v>2400</v>
      </c>
      <c r="K191" s="1">
        <v>44794</v>
      </c>
      <c r="L191">
        <v>2022</v>
      </c>
      <c r="M191" t="str">
        <f>UPPER(TEXT(_2020_2022[[#This Row],[Data da Venda]],"mmm"))</f>
        <v>AGO</v>
      </c>
    </row>
    <row r="192" spans="1:13" x14ac:dyDescent="0.25">
      <c r="A192" t="s">
        <v>26</v>
      </c>
      <c r="B192">
        <v>1100</v>
      </c>
      <c r="C192">
        <v>1</v>
      </c>
      <c r="D192" t="s">
        <v>30</v>
      </c>
      <c r="E192" t="s">
        <v>645</v>
      </c>
      <c r="F192" t="s">
        <v>830</v>
      </c>
      <c r="G192" t="s">
        <v>643</v>
      </c>
      <c r="H192">
        <v>28</v>
      </c>
      <c r="I192" t="s">
        <v>651</v>
      </c>
      <c r="J192">
        <v>1100</v>
      </c>
      <c r="K192" s="1">
        <v>44757</v>
      </c>
      <c r="L192">
        <v>2022</v>
      </c>
      <c r="M192" t="str">
        <f>UPPER(TEXT(_2020_2022[[#This Row],[Data da Venda]],"mmm"))</f>
        <v>JUL</v>
      </c>
    </row>
    <row r="193" spans="1:13" x14ac:dyDescent="0.25">
      <c r="A193" t="s">
        <v>12</v>
      </c>
      <c r="B193">
        <v>6500</v>
      </c>
      <c r="C193">
        <v>4</v>
      </c>
      <c r="D193" t="s">
        <v>39</v>
      </c>
      <c r="E193" t="s">
        <v>641</v>
      </c>
      <c r="F193" t="s">
        <v>831</v>
      </c>
      <c r="G193" t="s">
        <v>643</v>
      </c>
      <c r="H193">
        <v>26</v>
      </c>
      <c r="I193" t="s">
        <v>651</v>
      </c>
      <c r="J193">
        <v>26000</v>
      </c>
      <c r="K193" s="1">
        <v>44578</v>
      </c>
      <c r="L193">
        <v>2022</v>
      </c>
      <c r="M193" t="str">
        <f>UPPER(TEXT(_2020_2022[[#This Row],[Data da Venda]],"mmm"))</f>
        <v>JAN</v>
      </c>
    </row>
    <row r="194" spans="1:13" x14ac:dyDescent="0.25">
      <c r="A194" t="s">
        <v>1441</v>
      </c>
      <c r="B194">
        <v>1450</v>
      </c>
      <c r="C194">
        <v>4</v>
      </c>
      <c r="D194" t="s">
        <v>36</v>
      </c>
      <c r="E194" t="s">
        <v>677</v>
      </c>
      <c r="F194" t="s">
        <v>805</v>
      </c>
      <c r="G194" t="s">
        <v>650</v>
      </c>
      <c r="H194">
        <v>47</v>
      </c>
      <c r="I194" t="s">
        <v>644</v>
      </c>
      <c r="J194">
        <v>5800</v>
      </c>
      <c r="K194" s="1">
        <v>44844</v>
      </c>
      <c r="L194">
        <v>2022</v>
      </c>
      <c r="M194" t="str">
        <f>UPPER(TEXT(_2020_2022[[#This Row],[Data da Venda]],"mmm"))</f>
        <v>OUT</v>
      </c>
    </row>
    <row r="195" spans="1:13" x14ac:dyDescent="0.25">
      <c r="A195" t="s">
        <v>26</v>
      </c>
      <c r="B195">
        <v>1100</v>
      </c>
      <c r="C195">
        <v>5</v>
      </c>
      <c r="D195" t="s">
        <v>41</v>
      </c>
      <c r="E195" t="s">
        <v>681</v>
      </c>
      <c r="F195" t="s">
        <v>832</v>
      </c>
      <c r="G195" t="s">
        <v>643</v>
      </c>
      <c r="H195">
        <v>25</v>
      </c>
      <c r="I195" t="s">
        <v>651</v>
      </c>
      <c r="J195">
        <v>5500</v>
      </c>
      <c r="K195" s="1">
        <v>44572</v>
      </c>
      <c r="L195">
        <v>2022</v>
      </c>
      <c r="M195" t="str">
        <f>UPPER(TEXT(_2020_2022[[#This Row],[Data da Venda]],"mmm"))</f>
        <v>JAN</v>
      </c>
    </row>
    <row r="196" spans="1:13" x14ac:dyDescent="0.25">
      <c r="A196" t="s">
        <v>1443</v>
      </c>
      <c r="B196">
        <v>1550</v>
      </c>
      <c r="C196">
        <v>5</v>
      </c>
      <c r="D196" t="s">
        <v>34</v>
      </c>
      <c r="E196" t="s">
        <v>679</v>
      </c>
      <c r="F196" t="s">
        <v>833</v>
      </c>
      <c r="G196" t="s">
        <v>643</v>
      </c>
      <c r="H196">
        <v>71</v>
      </c>
      <c r="I196" t="s">
        <v>647</v>
      </c>
      <c r="J196">
        <v>7750</v>
      </c>
      <c r="K196" s="1">
        <v>44776</v>
      </c>
      <c r="L196">
        <v>2022</v>
      </c>
      <c r="M196" t="str">
        <f>UPPER(TEXT(_2020_2022[[#This Row],[Data da Venda]],"mmm"))</f>
        <v>AGO</v>
      </c>
    </row>
    <row r="197" spans="1:13" x14ac:dyDescent="0.25">
      <c r="A197" t="s">
        <v>16</v>
      </c>
      <c r="B197">
        <v>1400</v>
      </c>
      <c r="C197">
        <v>5</v>
      </c>
      <c r="D197" t="s">
        <v>35</v>
      </c>
      <c r="E197" t="s">
        <v>666</v>
      </c>
      <c r="F197" t="s">
        <v>834</v>
      </c>
      <c r="G197" t="s">
        <v>643</v>
      </c>
      <c r="H197">
        <v>55</v>
      </c>
      <c r="I197" t="s">
        <v>647</v>
      </c>
      <c r="J197">
        <v>7000</v>
      </c>
      <c r="K197" s="1">
        <v>44678</v>
      </c>
      <c r="L197">
        <v>2022</v>
      </c>
      <c r="M197" t="str">
        <f>UPPER(TEXT(_2020_2022[[#This Row],[Data da Venda]],"mmm"))</f>
        <v>ABR</v>
      </c>
    </row>
    <row r="198" spans="1:13" x14ac:dyDescent="0.25">
      <c r="A198" t="s">
        <v>12</v>
      </c>
      <c r="B198">
        <v>6500</v>
      </c>
      <c r="C198">
        <v>4</v>
      </c>
      <c r="D198" t="s">
        <v>35</v>
      </c>
      <c r="E198" t="s">
        <v>666</v>
      </c>
      <c r="F198" t="s">
        <v>767</v>
      </c>
      <c r="G198" t="s">
        <v>643</v>
      </c>
      <c r="H198">
        <v>62</v>
      </c>
      <c r="I198" t="s">
        <v>647</v>
      </c>
      <c r="J198">
        <v>26000</v>
      </c>
      <c r="K198" s="1">
        <v>44700</v>
      </c>
      <c r="L198">
        <v>2022</v>
      </c>
      <c r="M198" t="str">
        <f>UPPER(TEXT(_2020_2022[[#This Row],[Data da Venda]],"mmm"))</f>
        <v>MAI</v>
      </c>
    </row>
    <row r="199" spans="1:13" x14ac:dyDescent="0.25">
      <c r="A199" t="s">
        <v>1444</v>
      </c>
      <c r="B199">
        <v>1500</v>
      </c>
      <c r="C199">
        <v>1</v>
      </c>
      <c r="D199" t="s">
        <v>32</v>
      </c>
      <c r="E199" t="s">
        <v>652</v>
      </c>
      <c r="F199" t="s">
        <v>662</v>
      </c>
      <c r="G199" t="s">
        <v>650</v>
      </c>
      <c r="H199">
        <v>59</v>
      </c>
      <c r="I199" t="s">
        <v>647</v>
      </c>
      <c r="J199">
        <v>1500</v>
      </c>
      <c r="K199" s="1">
        <v>44756</v>
      </c>
      <c r="L199">
        <v>2022</v>
      </c>
      <c r="M199" t="str">
        <f>UPPER(TEXT(_2020_2022[[#This Row],[Data da Venda]],"mmm"))</f>
        <v>JUL</v>
      </c>
    </row>
    <row r="200" spans="1:13" x14ac:dyDescent="0.25">
      <c r="A200" t="s">
        <v>28</v>
      </c>
      <c r="B200">
        <v>1400</v>
      </c>
      <c r="C200">
        <v>1</v>
      </c>
      <c r="D200" t="s">
        <v>30</v>
      </c>
      <c r="E200" t="s">
        <v>645</v>
      </c>
      <c r="F200" t="s">
        <v>835</v>
      </c>
      <c r="G200" t="s">
        <v>650</v>
      </c>
      <c r="H200">
        <v>61</v>
      </c>
      <c r="I200" t="s">
        <v>647</v>
      </c>
      <c r="J200">
        <v>1400</v>
      </c>
      <c r="K200" s="1">
        <v>44840</v>
      </c>
      <c r="L200">
        <v>2022</v>
      </c>
      <c r="M200" t="str">
        <f>UPPER(TEXT(_2020_2022[[#This Row],[Data da Venda]],"mmm"))</f>
        <v>OUT</v>
      </c>
    </row>
    <row r="201" spans="1:13" x14ac:dyDescent="0.25">
      <c r="A201" t="s">
        <v>28</v>
      </c>
      <c r="B201">
        <v>1400</v>
      </c>
      <c r="C201">
        <v>4</v>
      </c>
      <c r="D201" t="s">
        <v>32</v>
      </c>
      <c r="E201" t="s">
        <v>652</v>
      </c>
      <c r="F201" t="s">
        <v>761</v>
      </c>
      <c r="G201" t="s">
        <v>643</v>
      </c>
      <c r="H201">
        <v>26</v>
      </c>
      <c r="I201" t="s">
        <v>651</v>
      </c>
      <c r="J201">
        <v>5600</v>
      </c>
      <c r="K201" s="1">
        <v>44926</v>
      </c>
      <c r="L201">
        <v>2022</v>
      </c>
      <c r="M201" t="str">
        <f>UPPER(TEXT(_2020_2022[[#This Row],[Data da Venda]],"mmm"))</f>
        <v>DEZ</v>
      </c>
    </row>
    <row r="202" spans="1:13" x14ac:dyDescent="0.25">
      <c r="A202" t="s">
        <v>8</v>
      </c>
      <c r="B202">
        <v>5500</v>
      </c>
      <c r="C202">
        <v>4</v>
      </c>
      <c r="D202" t="s">
        <v>35</v>
      </c>
      <c r="E202" t="s">
        <v>666</v>
      </c>
      <c r="F202" t="s">
        <v>731</v>
      </c>
      <c r="G202" t="s">
        <v>643</v>
      </c>
      <c r="H202">
        <v>62</v>
      </c>
      <c r="I202" t="s">
        <v>647</v>
      </c>
      <c r="J202">
        <v>22000</v>
      </c>
      <c r="K202" s="1">
        <v>44919</v>
      </c>
      <c r="L202">
        <v>2022</v>
      </c>
      <c r="M202" t="str">
        <f>UPPER(TEXT(_2020_2022[[#This Row],[Data da Venda]],"mmm"))</f>
        <v>DEZ</v>
      </c>
    </row>
    <row r="203" spans="1:13" x14ac:dyDescent="0.25">
      <c r="A203" t="s">
        <v>12</v>
      </c>
      <c r="B203">
        <v>6500</v>
      </c>
      <c r="C203">
        <v>3</v>
      </c>
      <c r="D203" t="s">
        <v>35</v>
      </c>
      <c r="E203" t="s">
        <v>666</v>
      </c>
      <c r="F203" t="s">
        <v>836</v>
      </c>
      <c r="G203" t="s">
        <v>650</v>
      </c>
      <c r="H203">
        <v>58</v>
      </c>
      <c r="I203" t="s">
        <v>647</v>
      </c>
      <c r="J203">
        <v>19500</v>
      </c>
      <c r="K203" s="1">
        <v>44685</v>
      </c>
      <c r="L203">
        <v>2022</v>
      </c>
      <c r="M203" t="str">
        <f>UPPER(TEXT(_2020_2022[[#This Row],[Data da Venda]],"mmm"))</f>
        <v>MAI</v>
      </c>
    </row>
    <row r="204" spans="1:13" x14ac:dyDescent="0.25">
      <c r="A204" t="s">
        <v>18</v>
      </c>
      <c r="B204">
        <v>3000</v>
      </c>
      <c r="C204">
        <v>3</v>
      </c>
      <c r="D204" t="s">
        <v>38</v>
      </c>
      <c r="E204" t="s">
        <v>648</v>
      </c>
      <c r="F204" t="s">
        <v>837</v>
      </c>
      <c r="G204" t="s">
        <v>650</v>
      </c>
      <c r="H204">
        <v>63</v>
      </c>
      <c r="I204" t="s">
        <v>647</v>
      </c>
      <c r="J204">
        <v>9000</v>
      </c>
      <c r="K204" s="1">
        <v>44723</v>
      </c>
      <c r="L204">
        <v>2022</v>
      </c>
      <c r="M204" t="str">
        <f>UPPER(TEXT(_2020_2022[[#This Row],[Data da Venda]],"mmm"))</f>
        <v>JUN</v>
      </c>
    </row>
    <row r="205" spans="1:13" x14ac:dyDescent="0.25">
      <c r="A205" t="s">
        <v>16</v>
      </c>
      <c r="B205">
        <v>1400</v>
      </c>
      <c r="C205">
        <v>3</v>
      </c>
      <c r="D205" t="s">
        <v>36</v>
      </c>
      <c r="E205" t="s">
        <v>677</v>
      </c>
      <c r="F205" t="s">
        <v>838</v>
      </c>
      <c r="G205" t="s">
        <v>643</v>
      </c>
      <c r="H205">
        <v>53</v>
      </c>
      <c r="I205" t="s">
        <v>647</v>
      </c>
      <c r="J205">
        <v>4200</v>
      </c>
      <c r="K205" s="1">
        <v>44907</v>
      </c>
      <c r="L205">
        <v>2022</v>
      </c>
      <c r="M205" t="str">
        <f>UPPER(TEXT(_2020_2022[[#This Row],[Data da Venda]],"mmm"))</f>
        <v>DEZ</v>
      </c>
    </row>
    <row r="206" spans="1:13" x14ac:dyDescent="0.25">
      <c r="A206" t="s">
        <v>9</v>
      </c>
      <c r="B206">
        <v>1500</v>
      </c>
      <c r="C206">
        <v>1</v>
      </c>
      <c r="D206" t="s">
        <v>37</v>
      </c>
      <c r="E206" t="s">
        <v>645</v>
      </c>
      <c r="F206" t="s">
        <v>838</v>
      </c>
      <c r="G206" t="s">
        <v>643</v>
      </c>
      <c r="H206">
        <v>54</v>
      </c>
      <c r="I206" t="s">
        <v>647</v>
      </c>
      <c r="J206">
        <v>1500</v>
      </c>
      <c r="K206" s="1">
        <v>44609</v>
      </c>
      <c r="L206">
        <v>2022</v>
      </c>
      <c r="M206" t="str">
        <f>UPPER(TEXT(_2020_2022[[#This Row],[Data da Venda]],"mmm"))</f>
        <v>FEV</v>
      </c>
    </row>
    <row r="207" spans="1:13" x14ac:dyDescent="0.25">
      <c r="A207" t="s">
        <v>1443</v>
      </c>
      <c r="B207">
        <v>1550</v>
      </c>
      <c r="C207">
        <v>5</v>
      </c>
      <c r="D207" t="s">
        <v>41</v>
      </c>
      <c r="E207" t="s">
        <v>681</v>
      </c>
      <c r="F207" t="s">
        <v>839</v>
      </c>
      <c r="G207" t="s">
        <v>643</v>
      </c>
      <c r="H207">
        <v>66</v>
      </c>
      <c r="I207" t="s">
        <v>647</v>
      </c>
      <c r="J207">
        <v>7750</v>
      </c>
      <c r="K207" s="1">
        <v>44571</v>
      </c>
      <c r="L207">
        <v>2022</v>
      </c>
      <c r="M207" t="str">
        <f>UPPER(TEXT(_2020_2022[[#This Row],[Data da Venda]],"mmm"))</f>
        <v>JAN</v>
      </c>
    </row>
    <row r="208" spans="1:13" x14ac:dyDescent="0.25">
      <c r="A208" t="s">
        <v>9</v>
      </c>
      <c r="B208">
        <v>1500</v>
      </c>
      <c r="C208">
        <v>5</v>
      </c>
      <c r="D208" t="s">
        <v>33</v>
      </c>
      <c r="E208" t="s">
        <v>641</v>
      </c>
      <c r="F208" t="s">
        <v>840</v>
      </c>
      <c r="G208" t="s">
        <v>650</v>
      </c>
      <c r="H208">
        <v>64</v>
      </c>
      <c r="I208" t="s">
        <v>647</v>
      </c>
      <c r="J208">
        <v>7500</v>
      </c>
      <c r="K208" s="1">
        <v>44867</v>
      </c>
      <c r="L208">
        <v>2022</v>
      </c>
      <c r="M208" t="str">
        <f>UPPER(TEXT(_2020_2022[[#This Row],[Data da Venda]],"mmm"))</f>
        <v>NOV</v>
      </c>
    </row>
    <row r="209" spans="1:13" x14ac:dyDescent="0.25">
      <c r="A209" t="s">
        <v>12</v>
      </c>
      <c r="B209">
        <v>6500</v>
      </c>
      <c r="C209">
        <v>1</v>
      </c>
      <c r="D209" t="s">
        <v>29</v>
      </c>
      <c r="E209" t="s">
        <v>641</v>
      </c>
      <c r="F209" t="s">
        <v>841</v>
      </c>
      <c r="G209" t="s">
        <v>650</v>
      </c>
      <c r="H209">
        <v>27</v>
      </c>
      <c r="I209" t="s">
        <v>651</v>
      </c>
      <c r="J209">
        <v>6500</v>
      </c>
      <c r="K209" s="1">
        <v>44764</v>
      </c>
      <c r="L209">
        <v>2022</v>
      </c>
      <c r="M209" t="str">
        <f>UPPER(TEXT(_2020_2022[[#This Row],[Data da Venda]],"mmm"))</f>
        <v>JUL</v>
      </c>
    </row>
    <row r="210" spans="1:13" x14ac:dyDescent="0.25">
      <c r="A210" t="s">
        <v>11</v>
      </c>
      <c r="B210">
        <v>4500</v>
      </c>
      <c r="C210">
        <v>4</v>
      </c>
      <c r="D210" t="s">
        <v>36</v>
      </c>
      <c r="E210" t="s">
        <v>677</v>
      </c>
      <c r="F210" t="s">
        <v>842</v>
      </c>
      <c r="G210" t="s">
        <v>643</v>
      </c>
      <c r="H210">
        <v>49</v>
      </c>
      <c r="I210" t="s">
        <v>644</v>
      </c>
      <c r="J210">
        <v>18000</v>
      </c>
      <c r="K210" s="1">
        <v>44757</v>
      </c>
      <c r="L210">
        <v>2022</v>
      </c>
      <c r="M210" t="str">
        <f>UPPER(TEXT(_2020_2022[[#This Row],[Data da Venda]],"mmm"))</f>
        <v>JUL</v>
      </c>
    </row>
    <row r="211" spans="1:13" x14ac:dyDescent="0.25">
      <c r="A211" t="s">
        <v>21</v>
      </c>
      <c r="B211">
        <v>2400</v>
      </c>
      <c r="C211">
        <v>5</v>
      </c>
      <c r="D211" t="s">
        <v>29</v>
      </c>
      <c r="E211" t="s">
        <v>641</v>
      </c>
      <c r="F211" t="s">
        <v>843</v>
      </c>
      <c r="G211" t="s">
        <v>650</v>
      </c>
      <c r="H211">
        <v>73</v>
      </c>
      <c r="I211" t="s">
        <v>647</v>
      </c>
      <c r="J211">
        <v>12000</v>
      </c>
      <c r="K211" s="1">
        <v>44902</v>
      </c>
      <c r="L211">
        <v>2022</v>
      </c>
      <c r="M211" t="str">
        <f>UPPER(TEXT(_2020_2022[[#This Row],[Data da Venda]],"mmm"))</f>
        <v>DEZ</v>
      </c>
    </row>
    <row r="212" spans="1:13" x14ac:dyDescent="0.25">
      <c r="A212" t="s">
        <v>1443</v>
      </c>
      <c r="B212">
        <v>1550</v>
      </c>
      <c r="C212">
        <v>4</v>
      </c>
      <c r="D212" t="s">
        <v>39</v>
      </c>
      <c r="E212" t="s">
        <v>641</v>
      </c>
      <c r="F212" t="s">
        <v>844</v>
      </c>
      <c r="G212" t="s">
        <v>650</v>
      </c>
      <c r="H212">
        <v>30</v>
      </c>
      <c r="I212" t="s">
        <v>644</v>
      </c>
      <c r="J212">
        <v>6200</v>
      </c>
      <c r="K212" s="1">
        <v>44747</v>
      </c>
      <c r="L212">
        <v>2022</v>
      </c>
      <c r="M212" t="str">
        <f>UPPER(TEXT(_2020_2022[[#This Row],[Data da Venda]],"mmm"))</f>
        <v>JUL</v>
      </c>
    </row>
    <row r="213" spans="1:13" x14ac:dyDescent="0.25">
      <c r="A213" t="s">
        <v>28</v>
      </c>
      <c r="B213">
        <v>1400</v>
      </c>
      <c r="C213">
        <v>5</v>
      </c>
      <c r="D213" t="s">
        <v>38</v>
      </c>
      <c r="E213" t="s">
        <v>648</v>
      </c>
      <c r="F213" t="s">
        <v>845</v>
      </c>
      <c r="G213" t="s">
        <v>643</v>
      </c>
      <c r="H213">
        <v>75</v>
      </c>
      <c r="I213" t="s">
        <v>647</v>
      </c>
      <c r="J213">
        <v>7000</v>
      </c>
      <c r="K213" s="1">
        <v>44744</v>
      </c>
      <c r="L213">
        <v>2022</v>
      </c>
      <c r="M213" t="str">
        <f>UPPER(TEXT(_2020_2022[[#This Row],[Data da Venda]],"mmm"))</f>
        <v>JUL</v>
      </c>
    </row>
    <row r="214" spans="1:13" x14ac:dyDescent="0.25">
      <c r="A214" t="s">
        <v>1443</v>
      </c>
      <c r="B214">
        <v>1550</v>
      </c>
      <c r="C214">
        <v>2</v>
      </c>
      <c r="D214" t="s">
        <v>41</v>
      </c>
      <c r="E214" t="s">
        <v>681</v>
      </c>
      <c r="F214" t="s">
        <v>734</v>
      </c>
      <c r="G214" t="s">
        <v>643</v>
      </c>
      <c r="H214">
        <v>31</v>
      </c>
      <c r="I214" t="s">
        <v>644</v>
      </c>
      <c r="J214">
        <v>3100</v>
      </c>
      <c r="K214" s="1">
        <v>44772</v>
      </c>
      <c r="L214">
        <v>2022</v>
      </c>
      <c r="M214" t="str">
        <f>UPPER(TEXT(_2020_2022[[#This Row],[Data da Venda]],"mmm"))</f>
        <v>JUL</v>
      </c>
    </row>
    <row r="215" spans="1:13" x14ac:dyDescent="0.25">
      <c r="A215" t="s">
        <v>13</v>
      </c>
      <c r="B215">
        <v>2300</v>
      </c>
      <c r="C215">
        <v>2</v>
      </c>
      <c r="D215" t="s">
        <v>36</v>
      </c>
      <c r="E215" t="s">
        <v>677</v>
      </c>
      <c r="F215" t="s">
        <v>796</v>
      </c>
      <c r="G215" t="s">
        <v>643</v>
      </c>
      <c r="H215">
        <v>33</v>
      </c>
      <c r="I215" t="s">
        <v>644</v>
      </c>
      <c r="J215">
        <v>4600</v>
      </c>
      <c r="K215" s="1">
        <v>44834</v>
      </c>
      <c r="L215">
        <v>2022</v>
      </c>
      <c r="M215" t="str">
        <f>UPPER(TEXT(_2020_2022[[#This Row],[Data da Venda]],"mmm"))</f>
        <v>SET</v>
      </c>
    </row>
    <row r="216" spans="1:13" x14ac:dyDescent="0.25">
      <c r="A216" t="s">
        <v>1445</v>
      </c>
      <c r="B216">
        <v>1500</v>
      </c>
      <c r="C216">
        <v>3</v>
      </c>
      <c r="D216" t="s">
        <v>31</v>
      </c>
      <c r="E216" t="s">
        <v>645</v>
      </c>
      <c r="F216" t="s">
        <v>846</v>
      </c>
      <c r="G216" t="s">
        <v>643</v>
      </c>
      <c r="H216">
        <v>35</v>
      </c>
      <c r="I216" t="s">
        <v>644</v>
      </c>
      <c r="J216">
        <v>4500</v>
      </c>
      <c r="K216" s="1">
        <v>44893</v>
      </c>
      <c r="L216">
        <v>2022</v>
      </c>
      <c r="M216" t="str">
        <f>UPPER(TEXT(_2020_2022[[#This Row],[Data da Venda]],"mmm"))</f>
        <v>NOV</v>
      </c>
    </row>
    <row r="217" spans="1:13" x14ac:dyDescent="0.25">
      <c r="A217" t="s">
        <v>24</v>
      </c>
      <c r="B217">
        <v>2000</v>
      </c>
      <c r="C217">
        <v>2</v>
      </c>
      <c r="D217" t="s">
        <v>38</v>
      </c>
      <c r="E217" t="s">
        <v>648</v>
      </c>
      <c r="F217" t="s">
        <v>847</v>
      </c>
      <c r="G217" t="s">
        <v>643</v>
      </c>
      <c r="H217">
        <v>37</v>
      </c>
      <c r="I217" t="s">
        <v>644</v>
      </c>
      <c r="J217">
        <v>4000</v>
      </c>
      <c r="K217" s="1">
        <v>44730</v>
      </c>
      <c r="L217">
        <v>2022</v>
      </c>
      <c r="M217" t="str">
        <f>UPPER(TEXT(_2020_2022[[#This Row],[Data da Venda]],"mmm"))</f>
        <v>JUN</v>
      </c>
    </row>
    <row r="218" spans="1:13" x14ac:dyDescent="0.25">
      <c r="A218" t="s">
        <v>1441</v>
      </c>
      <c r="B218">
        <v>1450</v>
      </c>
      <c r="C218">
        <v>3</v>
      </c>
      <c r="D218" t="s">
        <v>37</v>
      </c>
      <c r="E218" t="s">
        <v>645</v>
      </c>
      <c r="F218" t="s">
        <v>848</v>
      </c>
      <c r="G218" t="s">
        <v>650</v>
      </c>
      <c r="H218">
        <v>26</v>
      </c>
      <c r="I218" t="s">
        <v>651</v>
      </c>
      <c r="J218">
        <v>4350</v>
      </c>
      <c r="K218" s="1">
        <v>44566</v>
      </c>
      <c r="L218">
        <v>2022</v>
      </c>
      <c r="M218" t="str">
        <f>UPPER(TEXT(_2020_2022[[#This Row],[Data da Venda]],"mmm"))</f>
        <v>JAN</v>
      </c>
    </row>
    <row r="219" spans="1:13" x14ac:dyDescent="0.25">
      <c r="A219" t="s">
        <v>14</v>
      </c>
      <c r="B219">
        <v>2000</v>
      </c>
      <c r="C219">
        <v>4</v>
      </c>
      <c r="D219" t="s">
        <v>39</v>
      </c>
      <c r="E219" t="s">
        <v>641</v>
      </c>
      <c r="F219" t="s">
        <v>670</v>
      </c>
      <c r="G219" t="s">
        <v>643</v>
      </c>
      <c r="H219">
        <v>37</v>
      </c>
      <c r="I219" t="s">
        <v>644</v>
      </c>
      <c r="J219">
        <v>8000</v>
      </c>
      <c r="K219" s="1">
        <v>44849</v>
      </c>
      <c r="L219">
        <v>2022</v>
      </c>
      <c r="M219" t="str">
        <f>UPPER(TEXT(_2020_2022[[#This Row],[Data da Venda]],"mmm"))</f>
        <v>OUT</v>
      </c>
    </row>
    <row r="220" spans="1:13" x14ac:dyDescent="0.25">
      <c r="A220" t="s">
        <v>24</v>
      </c>
      <c r="B220">
        <v>2000</v>
      </c>
      <c r="C220">
        <v>2</v>
      </c>
      <c r="D220" t="s">
        <v>32</v>
      </c>
      <c r="E220" t="s">
        <v>652</v>
      </c>
      <c r="F220" t="s">
        <v>849</v>
      </c>
      <c r="G220" t="s">
        <v>650</v>
      </c>
      <c r="H220">
        <v>42</v>
      </c>
      <c r="I220" t="s">
        <v>644</v>
      </c>
      <c r="J220">
        <v>4000</v>
      </c>
      <c r="K220" s="1">
        <v>44635</v>
      </c>
      <c r="L220">
        <v>2022</v>
      </c>
      <c r="M220" t="str">
        <f>UPPER(TEXT(_2020_2022[[#This Row],[Data da Venda]],"mmm"))</f>
        <v>MAR</v>
      </c>
    </row>
    <row r="221" spans="1:13" x14ac:dyDescent="0.25">
      <c r="A221" t="s">
        <v>15</v>
      </c>
      <c r="B221">
        <v>1900</v>
      </c>
      <c r="C221">
        <v>4</v>
      </c>
      <c r="D221" t="s">
        <v>31</v>
      </c>
      <c r="E221" t="s">
        <v>645</v>
      </c>
      <c r="F221" t="s">
        <v>747</v>
      </c>
      <c r="G221" t="s">
        <v>650</v>
      </c>
      <c r="H221">
        <v>45</v>
      </c>
      <c r="I221" t="s">
        <v>644</v>
      </c>
      <c r="J221">
        <v>7600</v>
      </c>
      <c r="K221" s="1">
        <v>44575</v>
      </c>
      <c r="L221">
        <v>2022</v>
      </c>
      <c r="M221" t="str">
        <f>UPPER(TEXT(_2020_2022[[#This Row],[Data da Venda]],"mmm"))</f>
        <v>JAN</v>
      </c>
    </row>
    <row r="222" spans="1:13" x14ac:dyDescent="0.25">
      <c r="A222" t="s">
        <v>5</v>
      </c>
      <c r="B222">
        <v>1750</v>
      </c>
      <c r="C222">
        <v>2</v>
      </c>
      <c r="D222" t="s">
        <v>30</v>
      </c>
      <c r="E222" t="s">
        <v>645</v>
      </c>
      <c r="F222" t="s">
        <v>850</v>
      </c>
      <c r="G222" t="s">
        <v>650</v>
      </c>
      <c r="H222">
        <v>33</v>
      </c>
      <c r="I222" t="s">
        <v>644</v>
      </c>
      <c r="J222">
        <v>3500</v>
      </c>
      <c r="K222" s="1">
        <v>44594</v>
      </c>
      <c r="L222">
        <v>2022</v>
      </c>
      <c r="M222" t="str">
        <f>UPPER(TEXT(_2020_2022[[#This Row],[Data da Venda]],"mmm"))</f>
        <v>FEV</v>
      </c>
    </row>
    <row r="223" spans="1:13" x14ac:dyDescent="0.25">
      <c r="A223" t="s">
        <v>9</v>
      </c>
      <c r="B223">
        <v>1500</v>
      </c>
      <c r="C223">
        <v>5</v>
      </c>
      <c r="D223" t="s">
        <v>33</v>
      </c>
      <c r="E223" t="s">
        <v>641</v>
      </c>
      <c r="F223" t="s">
        <v>851</v>
      </c>
      <c r="G223" t="s">
        <v>650</v>
      </c>
      <c r="H223">
        <v>72</v>
      </c>
      <c r="I223" t="s">
        <v>647</v>
      </c>
      <c r="J223">
        <v>7500</v>
      </c>
      <c r="K223" s="1">
        <v>44837</v>
      </c>
      <c r="L223">
        <v>2022</v>
      </c>
      <c r="M223" t="str">
        <f>UPPER(TEXT(_2020_2022[[#This Row],[Data da Venda]],"mmm"))</f>
        <v>OUT</v>
      </c>
    </row>
    <row r="224" spans="1:13" x14ac:dyDescent="0.25">
      <c r="A224" t="s">
        <v>28</v>
      </c>
      <c r="B224">
        <v>1400</v>
      </c>
      <c r="C224">
        <v>4</v>
      </c>
      <c r="D224" t="s">
        <v>37</v>
      </c>
      <c r="E224" t="s">
        <v>645</v>
      </c>
      <c r="F224" t="s">
        <v>852</v>
      </c>
      <c r="G224" t="s">
        <v>650</v>
      </c>
      <c r="H224">
        <v>28</v>
      </c>
      <c r="I224" t="s">
        <v>651</v>
      </c>
      <c r="J224">
        <v>5600</v>
      </c>
      <c r="K224" s="1">
        <v>44603</v>
      </c>
      <c r="L224">
        <v>2022</v>
      </c>
      <c r="M224" t="str">
        <f>UPPER(TEXT(_2020_2022[[#This Row],[Data da Venda]],"mmm"))</f>
        <v>FEV</v>
      </c>
    </row>
    <row r="225" spans="1:13" x14ac:dyDescent="0.25">
      <c r="A225" t="s">
        <v>1445</v>
      </c>
      <c r="B225">
        <v>1500</v>
      </c>
      <c r="C225">
        <v>4</v>
      </c>
      <c r="D225" t="s">
        <v>33</v>
      </c>
      <c r="E225" t="s">
        <v>641</v>
      </c>
      <c r="F225" t="s">
        <v>853</v>
      </c>
      <c r="G225" t="s">
        <v>643</v>
      </c>
      <c r="H225">
        <v>42</v>
      </c>
      <c r="I225" t="s">
        <v>644</v>
      </c>
      <c r="J225">
        <v>6000</v>
      </c>
      <c r="K225" s="1">
        <v>44758</v>
      </c>
      <c r="L225">
        <v>2022</v>
      </c>
      <c r="M225" t="str">
        <f>UPPER(TEXT(_2020_2022[[#This Row],[Data da Venda]],"mmm"))</f>
        <v>JUL</v>
      </c>
    </row>
    <row r="226" spans="1:13" x14ac:dyDescent="0.25">
      <c r="A226" t="s">
        <v>24</v>
      </c>
      <c r="B226">
        <v>2000</v>
      </c>
      <c r="C226">
        <v>2</v>
      </c>
      <c r="D226" t="s">
        <v>33</v>
      </c>
      <c r="E226" t="s">
        <v>641</v>
      </c>
      <c r="F226" t="s">
        <v>854</v>
      </c>
      <c r="G226" t="s">
        <v>643</v>
      </c>
      <c r="H226">
        <v>46</v>
      </c>
      <c r="I226" t="s">
        <v>644</v>
      </c>
      <c r="J226">
        <v>4000</v>
      </c>
      <c r="K226" s="1">
        <v>44871</v>
      </c>
      <c r="L226">
        <v>2022</v>
      </c>
      <c r="M226" t="str">
        <f>UPPER(TEXT(_2020_2022[[#This Row],[Data da Venda]],"mmm"))</f>
        <v>NOV</v>
      </c>
    </row>
    <row r="227" spans="1:13" x14ac:dyDescent="0.25">
      <c r="A227" t="s">
        <v>20</v>
      </c>
      <c r="B227">
        <v>2600</v>
      </c>
      <c r="C227">
        <v>1</v>
      </c>
      <c r="D227" t="s">
        <v>35</v>
      </c>
      <c r="E227" t="s">
        <v>666</v>
      </c>
      <c r="F227" t="s">
        <v>855</v>
      </c>
      <c r="G227" t="s">
        <v>643</v>
      </c>
      <c r="H227">
        <v>33</v>
      </c>
      <c r="I227" t="s">
        <v>644</v>
      </c>
      <c r="J227">
        <v>2600</v>
      </c>
      <c r="K227" s="1">
        <v>44765</v>
      </c>
      <c r="L227">
        <v>2022</v>
      </c>
      <c r="M227" t="str">
        <f>UPPER(TEXT(_2020_2022[[#This Row],[Data da Venda]],"mmm"))</f>
        <v>JUL</v>
      </c>
    </row>
    <row r="228" spans="1:13" x14ac:dyDescent="0.25">
      <c r="A228" t="s">
        <v>24</v>
      </c>
      <c r="B228">
        <v>2000</v>
      </c>
      <c r="C228">
        <v>4</v>
      </c>
      <c r="D228" t="s">
        <v>36</v>
      </c>
      <c r="E228" t="s">
        <v>677</v>
      </c>
      <c r="F228" t="s">
        <v>856</v>
      </c>
      <c r="G228" t="s">
        <v>643</v>
      </c>
      <c r="H228">
        <v>76</v>
      </c>
      <c r="I228" t="s">
        <v>647</v>
      </c>
      <c r="J228">
        <v>8000</v>
      </c>
      <c r="K228" s="1">
        <v>44754</v>
      </c>
      <c r="L228">
        <v>2022</v>
      </c>
      <c r="M228" t="str">
        <f>UPPER(TEXT(_2020_2022[[#This Row],[Data da Venda]],"mmm"))</f>
        <v>JUL</v>
      </c>
    </row>
    <row r="229" spans="1:13" x14ac:dyDescent="0.25">
      <c r="A229" t="s">
        <v>25</v>
      </c>
      <c r="B229">
        <v>2500</v>
      </c>
      <c r="C229">
        <v>4</v>
      </c>
      <c r="D229" t="s">
        <v>36</v>
      </c>
      <c r="E229" t="s">
        <v>677</v>
      </c>
      <c r="F229" t="s">
        <v>799</v>
      </c>
      <c r="G229" t="s">
        <v>650</v>
      </c>
      <c r="H229">
        <v>50</v>
      </c>
      <c r="I229" t="s">
        <v>644</v>
      </c>
      <c r="J229">
        <v>10000</v>
      </c>
      <c r="K229" s="1">
        <v>44771</v>
      </c>
      <c r="L229">
        <v>2022</v>
      </c>
      <c r="M229" t="str">
        <f>UPPER(TEXT(_2020_2022[[#This Row],[Data da Venda]],"mmm"))</f>
        <v>JUL</v>
      </c>
    </row>
    <row r="230" spans="1:13" x14ac:dyDescent="0.25">
      <c r="A230" t="s">
        <v>8</v>
      </c>
      <c r="B230">
        <v>5500</v>
      </c>
      <c r="C230">
        <v>3</v>
      </c>
      <c r="D230" t="s">
        <v>40</v>
      </c>
      <c r="E230" t="s">
        <v>657</v>
      </c>
      <c r="F230" t="s">
        <v>857</v>
      </c>
      <c r="G230" t="s">
        <v>643</v>
      </c>
      <c r="H230">
        <v>56</v>
      </c>
      <c r="I230" t="s">
        <v>647</v>
      </c>
      <c r="J230">
        <v>16500</v>
      </c>
      <c r="K230" s="1">
        <v>44783</v>
      </c>
      <c r="L230">
        <v>2022</v>
      </c>
      <c r="M230" t="str">
        <f>UPPER(TEXT(_2020_2022[[#This Row],[Data da Venda]],"mmm"))</f>
        <v>AGO</v>
      </c>
    </row>
    <row r="231" spans="1:13" x14ac:dyDescent="0.25">
      <c r="A231" t="s">
        <v>7</v>
      </c>
      <c r="B231">
        <v>750</v>
      </c>
      <c r="C231">
        <v>5</v>
      </c>
      <c r="D231" t="s">
        <v>32</v>
      </c>
      <c r="E231" t="s">
        <v>652</v>
      </c>
      <c r="F231" t="s">
        <v>858</v>
      </c>
      <c r="G231" t="s">
        <v>650</v>
      </c>
      <c r="H231">
        <v>34</v>
      </c>
      <c r="I231" t="s">
        <v>644</v>
      </c>
      <c r="J231">
        <v>3750</v>
      </c>
      <c r="K231" s="1">
        <v>44625</v>
      </c>
      <c r="L231">
        <v>2022</v>
      </c>
      <c r="M231" t="str">
        <f>UPPER(TEXT(_2020_2022[[#This Row],[Data da Venda]],"mmm"))</f>
        <v>MAR</v>
      </c>
    </row>
    <row r="232" spans="1:13" x14ac:dyDescent="0.25">
      <c r="A232" t="s">
        <v>21</v>
      </c>
      <c r="B232">
        <v>2400</v>
      </c>
      <c r="C232">
        <v>5</v>
      </c>
      <c r="D232" t="s">
        <v>38</v>
      </c>
      <c r="E232" t="s">
        <v>648</v>
      </c>
      <c r="F232" t="s">
        <v>859</v>
      </c>
      <c r="G232" t="s">
        <v>650</v>
      </c>
      <c r="H232">
        <v>42</v>
      </c>
      <c r="I232" t="s">
        <v>644</v>
      </c>
      <c r="J232">
        <v>12000</v>
      </c>
      <c r="K232" s="1">
        <v>44719</v>
      </c>
      <c r="L232">
        <v>2022</v>
      </c>
      <c r="M232" t="str">
        <f>UPPER(TEXT(_2020_2022[[#This Row],[Data da Venda]],"mmm"))</f>
        <v>JUN</v>
      </c>
    </row>
    <row r="233" spans="1:13" x14ac:dyDescent="0.25">
      <c r="A233" t="s">
        <v>16</v>
      </c>
      <c r="B233">
        <v>1400</v>
      </c>
      <c r="C233">
        <v>1</v>
      </c>
      <c r="D233" t="s">
        <v>30</v>
      </c>
      <c r="E233" t="s">
        <v>645</v>
      </c>
      <c r="F233" t="s">
        <v>654</v>
      </c>
      <c r="G233" t="s">
        <v>650</v>
      </c>
      <c r="H233">
        <v>62</v>
      </c>
      <c r="I233" t="s">
        <v>647</v>
      </c>
      <c r="J233">
        <v>1400</v>
      </c>
      <c r="K233" s="1">
        <v>44656</v>
      </c>
      <c r="L233">
        <v>2022</v>
      </c>
      <c r="M233" t="str">
        <f>UPPER(TEXT(_2020_2022[[#This Row],[Data da Venda]],"mmm"))</f>
        <v>ABR</v>
      </c>
    </row>
    <row r="234" spans="1:13" x14ac:dyDescent="0.25">
      <c r="A234" t="s">
        <v>15</v>
      </c>
      <c r="B234">
        <v>1900</v>
      </c>
      <c r="C234">
        <v>2</v>
      </c>
      <c r="D234" t="s">
        <v>41</v>
      </c>
      <c r="E234" t="s">
        <v>681</v>
      </c>
      <c r="F234" t="s">
        <v>860</v>
      </c>
      <c r="G234" t="s">
        <v>643</v>
      </c>
      <c r="H234">
        <v>42</v>
      </c>
      <c r="I234" t="s">
        <v>644</v>
      </c>
      <c r="J234">
        <v>3800</v>
      </c>
      <c r="K234" s="1">
        <v>44662</v>
      </c>
      <c r="L234">
        <v>2022</v>
      </c>
      <c r="M234" t="str">
        <f>UPPER(TEXT(_2020_2022[[#This Row],[Data da Venda]],"mmm"))</f>
        <v>ABR</v>
      </c>
    </row>
    <row r="235" spans="1:13" x14ac:dyDescent="0.25">
      <c r="A235" t="s">
        <v>8</v>
      </c>
      <c r="B235">
        <v>5500</v>
      </c>
      <c r="C235">
        <v>1</v>
      </c>
      <c r="D235" t="s">
        <v>32</v>
      </c>
      <c r="E235" t="s">
        <v>652</v>
      </c>
      <c r="F235" t="s">
        <v>861</v>
      </c>
      <c r="G235" t="s">
        <v>650</v>
      </c>
      <c r="H235">
        <v>34</v>
      </c>
      <c r="I235" t="s">
        <v>644</v>
      </c>
      <c r="J235">
        <v>5500</v>
      </c>
      <c r="K235" s="1">
        <v>44714</v>
      </c>
      <c r="L235">
        <v>2022</v>
      </c>
      <c r="M235" t="str">
        <f>UPPER(TEXT(_2020_2022[[#This Row],[Data da Venda]],"mmm"))</f>
        <v>JUN</v>
      </c>
    </row>
    <row r="236" spans="1:13" x14ac:dyDescent="0.25">
      <c r="A236" t="s">
        <v>1444</v>
      </c>
      <c r="B236">
        <v>1500</v>
      </c>
      <c r="C236">
        <v>5</v>
      </c>
      <c r="D236" t="s">
        <v>31</v>
      </c>
      <c r="E236" t="s">
        <v>645</v>
      </c>
      <c r="F236" t="s">
        <v>862</v>
      </c>
      <c r="G236" t="s">
        <v>650</v>
      </c>
      <c r="H236">
        <v>71</v>
      </c>
      <c r="I236" t="s">
        <v>647</v>
      </c>
      <c r="J236">
        <v>7500</v>
      </c>
      <c r="K236" s="1">
        <v>44705</v>
      </c>
      <c r="L236">
        <v>2022</v>
      </c>
      <c r="M236" t="str">
        <f>UPPER(TEXT(_2020_2022[[#This Row],[Data da Venda]],"mmm"))</f>
        <v>MAI</v>
      </c>
    </row>
    <row r="237" spans="1:13" x14ac:dyDescent="0.25">
      <c r="A237" t="s">
        <v>20</v>
      </c>
      <c r="B237">
        <v>2600</v>
      </c>
      <c r="C237">
        <v>3</v>
      </c>
      <c r="D237" t="s">
        <v>29</v>
      </c>
      <c r="E237" t="s">
        <v>641</v>
      </c>
      <c r="F237" t="s">
        <v>711</v>
      </c>
      <c r="G237" t="s">
        <v>650</v>
      </c>
      <c r="H237">
        <v>55</v>
      </c>
      <c r="I237" t="s">
        <v>647</v>
      </c>
      <c r="J237">
        <v>7800</v>
      </c>
      <c r="K237" s="1">
        <v>44714</v>
      </c>
      <c r="L237">
        <v>2022</v>
      </c>
      <c r="M237" t="str">
        <f>UPPER(TEXT(_2020_2022[[#This Row],[Data da Venda]],"mmm"))</f>
        <v>JUN</v>
      </c>
    </row>
    <row r="238" spans="1:13" x14ac:dyDescent="0.25">
      <c r="A238" t="s">
        <v>1441</v>
      </c>
      <c r="B238">
        <v>1450</v>
      </c>
      <c r="C238">
        <v>5</v>
      </c>
      <c r="D238" t="s">
        <v>33</v>
      </c>
      <c r="E238" t="s">
        <v>641</v>
      </c>
      <c r="F238" t="s">
        <v>863</v>
      </c>
      <c r="G238" t="s">
        <v>643</v>
      </c>
      <c r="H238">
        <v>48</v>
      </c>
      <c r="I238" t="s">
        <v>644</v>
      </c>
      <c r="J238">
        <v>7250</v>
      </c>
      <c r="K238" s="1">
        <v>44887</v>
      </c>
      <c r="L238">
        <v>2022</v>
      </c>
      <c r="M238" t="str">
        <f>UPPER(TEXT(_2020_2022[[#This Row],[Data da Venda]],"mmm"))</f>
        <v>NOV</v>
      </c>
    </row>
    <row r="239" spans="1:13" x14ac:dyDescent="0.25">
      <c r="A239" t="s">
        <v>7</v>
      </c>
      <c r="B239">
        <v>750</v>
      </c>
      <c r="C239">
        <v>2</v>
      </c>
      <c r="D239" t="s">
        <v>30</v>
      </c>
      <c r="E239" t="s">
        <v>645</v>
      </c>
      <c r="F239" t="s">
        <v>864</v>
      </c>
      <c r="G239" t="s">
        <v>650</v>
      </c>
      <c r="H239">
        <v>29</v>
      </c>
      <c r="I239" t="s">
        <v>651</v>
      </c>
      <c r="J239">
        <v>1500</v>
      </c>
      <c r="K239" s="1">
        <v>44881</v>
      </c>
      <c r="L239">
        <v>2022</v>
      </c>
      <c r="M239" t="str">
        <f>UPPER(TEXT(_2020_2022[[#This Row],[Data da Venda]],"mmm"))</f>
        <v>NOV</v>
      </c>
    </row>
    <row r="240" spans="1:13" x14ac:dyDescent="0.25">
      <c r="A240" t="s">
        <v>9</v>
      </c>
      <c r="B240">
        <v>1500</v>
      </c>
      <c r="C240">
        <v>2</v>
      </c>
      <c r="D240" t="s">
        <v>36</v>
      </c>
      <c r="E240" t="s">
        <v>677</v>
      </c>
      <c r="F240" t="s">
        <v>865</v>
      </c>
      <c r="G240" t="s">
        <v>650</v>
      </c>
      <c r="H240">
        <v>74</v>
      </c>
      <c r="I240" t="s">
        <v>647</v>
      </c>
      <c r="J240">
        <v>3000</v>
      </c>
      <c r="K240" s="1">
        <v>44724</v>
      </c>
      <c r="L240">
        <v>2022</v>
      </c>
      <c r="M240" t="str">
        <f>UPPER(TEXT(_2020_2022[[#This Row],[Data da Venda]],"mmm"))</f>
        <v>JUN</v>
      </c>
    </row>
    <row r="241" spans="1:13" x14ac:dyDescent="0.25">
      <c r="A241" t="s">
        <v>1442</v>
      </c>
      <c r="B241">
        <v>1200</v>
      </c>
      <c r="C241">
        <v>2</v>
      </c>
      <c r="D241" t="s">
        <v>33</v>
      </c>
      <c r="E241" t="s">
        <v>641</v>
      </c>
      <c r="F241" t="s">
        <v>866</v>
      </c>
      <c r="G241" t="s">
        <v>643</v>
      </c>
      <c r="H241">
        <v>36</v>
      </c>
      <c r="I241" t="s">
        <v>644</v>
      </c>
      <c r="J241">
        <v>2400</v>
      </c>
      <c r="K241" s="1">
        <v>44693</v>
      </c>
      <c r="L241">
        <v>2022</v>
      </c>
      <c r="M241" t="str">
        <f>UPPER(TEXT(_2020_2022[[#This Row],[Data da Venda]],"mmm"))</f>
        <v>MAI</v>
      </c>
    </row>
    <row r="242" spans="1:13" x14ac:dyDescent="0.25">
      <c r="A242" t="s">
        <v>1443</v>
      </c>
      <c r="B242">
        <v>1550</v>
      </c>
      <c r="C242">
        <v>3</v>
      </c>
      <c r="D242" t="s">
        <v>38</v>
      </c>
      <c r="E242" t="s">
        <v>648</v>
      </c>
      <c r="F242" t="s">
        <v>867</v>
      </c>
      <c r="G242" t="s">
        <v>643</v>
      </c>
      <c r="H242">
        <v>37</v>
      </c>
      <c r="I242" t="s">
        <v>644</v>
      </c>
      <c r="J242">
        <v>4650</v>
      </c>
      <c r="K242" s="1">
        <v>44799</v>
      </c>
      <c r="L242">
        <v>2022</v>
      </c>
      <c r="M242" t="str">
        <f>UPPER(TEXT(_2020_2022[[#This Row],[Data da Venda]],"mmm"))</f>
        <v>AGO</v>
      </c>
    </row>
    <row r="243" spans="1:13" x14ac:dyDescent="0.25">
      <c r="A243" t="s">
        <v>1442</v>
      </c>
      <c r="B243">
        <v>1200</v>
      </c>
      <c r="C243">
        <v>2</v>
      </c>
      <c r="D243" t="s">
        <v>36</v>
      </c>
      <c r="E243" t="s">
        <v>677</v>
      </c>
      <c r="F243" t="s">
        <v>838</v>
      </c>
      <c r="G243" t="s">
        <v>643</v>
      </c>
      <c r="H243">
        <v>53</v>
      </c>
      <c r="I243" t="s">
        <v>647</v>
      </c>
      <c r="J243">
        <v>2400</v>
      </c>
      <c r="K243" s="1">
        <v>44823</v>
      </c>
      <c r="L243">
        <v>2022</v>
      </c>
      <c r="M243" t="str">
        <f>UPPER(TEXT(_2020_2022[[#This Row],[Data da Venda]],"mmm"))</f>
        <v>SET</v>
      </c>
    </row>
    <row r="244" spans="1:13" x14ac:dyDescent="0.25">
      <c r="A244" t="s">
        <v>7</v>
      </c>
      <c r="B244">
        <v>750</v>
      </c>
      <c r="C244">
        <v>5</v>
      </c>
      <c r="D244" t="s">
        <v>29</v>
      </c>
      <c r="E244" t="s">
        <v>641</v>
      </c>
      <c r="F244" t="s">
        <v>868</v>
      </c>
      <c r="G244" t="s">
        <v>643</v>
      </c>
      <c r="H244">
        <v>71</v>
      </c>
      <c r="I244" t="s">
        <v>647</v>
      </c>
      <c r="J244">
        <v>3750</v>
      </c>
      <c r="K244" s="1">
        <v>44869</v>
      </c>
      <c r="L244">
        <v>2022</v>
      </c>
      <c r="M244" t="str">
        <f>UPPER(TEXT(_2020_2022[[#This Row],[Data da Venda]],"mmm"))</f>
        <v>NOV</v>
      </c>
    </row>
    <row r="245" spans="1:13" x14ac:dyDescent="0.25">
      <c r="A245" t="s">
        <v>1441</v>
      </c>
      <c r="B245">
        <v>1450</v>
      </c>
      <c r="C245">
        <v>2</v>
      </c>
      <c r="D245" t="s">
        <v>34</v>
      </c>
      <c r="E245" t="s">
        <v>679</v>
      </c>
      <c r="F245" t="s">
        <v>869</v>
      </c>
      <c r="G245" t="s">
        <v>650</v>
      </c>
      <c r="H245">
        <v>33</v>
      </c>
      <c r="I245" t="s">
        <v>644</v>
      </c>
      <c r="J245">
        <v>2900</v>
      </c>
      <c r="K245" s="1">
        <v>44677</v>
      </c>
      <c r="L245">
        <v>2022</v>
      </c>
      <c r="M245" t="str">
        <f>UPPER(TEXT(_2020_2022[[#This Row],[Data da Venda]],"mmm"))</f>
        <v>ABR</v>
      </c>
    </row>
    <row r="246" spans="1:13" x14ac:dyDescent="0.25">
      <c r="A246" t="s">
        <v>24</v>
      </c>
      <c r="B246">
        <v>2000</v>
      </c>
      <c r="C246">
        <v>2</v>
      </c>
      <c r="D246" t="s">
        <v>32</v>
      </c>
      <c r="E246" t="s">
        <v>652</v>
      </c>
      <c r="F246" t="s">
        <v>804</v>
      </c>
      <c r="G246" t="s">
        <v>643</v>
      </c>
      <c r="H246">
        <v>75</v>
      </c>
      <c r="I246" t="s">
        <v>647</v>
      </c>
      <c r="J246">
        <v>4000</v>
      </c>
      <c r="K246" s="1">
        <v>44586</v>
      </c>
      <c r="L246">
        <v>2022</v>
      </c>
      <c r="M246" t="str">
        <f>UPPER(TEXT(_2020_2022[[#This Row],[Data da Venda]],"mmm"))</f>
        <v>JAN</v>
      </c>
    </row>
    <row r="247" spans="1:13" x14ac:dyDescent="0.25">
      <c r="A247" t="s">
        <v>15</v>
      </c>
      <c r="B247">
        <v>1900</v>
      </c>
      <c r="C247">
        <v>4</v>
      </c>
      <c r="D247" t="s">
        <v>37</v>
      </c>
      <c r="E247" t="s">
        <v>645</v>
      </c>
      <c r="F247" t="s">
        <v>870</v>
      </c>
      <c r="G247" t="s">
        <v>643</v>
      </c>
      <c r="H247">
        <v>40</v>
      </c>
      <c r="I247" t="s">
        <v>644</v>
      </c>
      <c r="J247">
        <v>7600</v>
      </c>
      <c r="K247" s="1">
        <v>44685</v>
      </c>
      <c r="L247">
        <v>2022</v>
      </c>
      <c r="M247" t="str">
        <f>UPPER(TEXT(_2020_2022[[#This Row],[Data da Venda]],"mmm"))</f>
        <v>MAI</v>
      </c>
    </row>
    <row r="248" spans="1:13" x14ac:dyDescent="0.25">
      <c r="A248" t="s">
        <v>1444</v>
      </c>
      <c r="B248">
        <v>1500</v>
      </c>
      <c r="C248">
        <v>1</v>
      </c>
      <c r="D248" t="s">
        <v>29</v>
      </c>
      <c r="E248" t="s">
        <v>641</v>
      </c>
      <c r="F248" t="s">
        <v>868</v>
      </c>
      <c r="G248" t="s">
        <v>643</v>
      </c>
      <c r="H248">
        <v>71</v>
      </c>
      <c r="I248" t="s">
        <v>647</v>
      </c>
      <c r="J248">
        <v>1500</v>
      </c>
      <c r="K248" s="1">
        <v>44855</v>
      </c>
      <c r="L248">
        <v>2022</v>
      </c>
      <c r="M248" t="str">
        <f>UPPER(TEXT(_2020_2022[[#This Row],[Data da Venda]],"mmm"))</f>
        <v>OUT</v>
      </c>
    </row>
    <row r="249" spans="1:13" x14ac:dyDescent="0.25">
      <c r="A249" t="s">
        <v>25</v>
      </c>
      <c r="B249">
        <v>2500</v>
      </c>
      <c r="C249">
        <v>1</v>
      </c>
      <c r="D249" t="s">
        <v>30</v>
      </c>
      <c r="E249" t="s">
        <v>645</v>
      </c>
      <c r="F249" t="s">
        <v>736</v>
      </c>
      <c r="G249" t="s">
        <v>643</v>
      </c>
      <c r="H249">
        <v>37</v>
      </c>
      <c r="I249" t="s">
        <v>644</v>
      </c>
      <c r="J249">
        <v>2500</v>
      </c>
      <c r="K249" s="1">
        <v>44592</v>
      </c>
      <c r="L249">
        <v>2022</v>
      </c>
      <c r="M249" t="str">
        <f>UPPER(TEXT(_2020_2022[[#This Row],[Data da Venda]],"mmm"))</f>
        <v>JAN</v>
      </c>
    </row>
    <row r="250" spans="1:13" x14ac:dyDescent="0.25">
      <c r="A250" t="s">
        <v>14</v>
      </c>
      <c r="B250">
        <v>2000</v>
      </c>
      <c r="C250">
        <v>3</v>
      </c>
      <c r="D250" t="s">
        <v>32</v>
      </c>
      <c r="E250" t="s">
        <v>652</v>
      </c>
      <c r="F250" t="s">
        <v>871</v>
      </c>
      <c r="G250" t="s">
        <v>650</v>
      </c>
      <c r="H250">
        <v>56</v>
      </c>
      <c r="I250" t="s">
        <v>647</v>
      </c>
      <c r="J250">
        <v>6000</v>
      </c>
      <c r="K250" s="1">
        <v>44846</v>
      </c>
      <c r="L250">
        <v>2022</v>
      </c>
      <c r="M250" t="str">
        <f>UPPER(TEXT(_2020_2022[[#This Row],[Data da Venda]],"mmm"))</f>
        <v>OUT</v>
      </c>
    </row>
    <row r="251" spans="1:13" x14ac:dyDescent="0.25">
      <c r="A251" t="s">
        <v>15</v>
      </c>
      <c r="B251">
        <v>1900</v>
      </c>
      <c r="C251">
        <v>1</v>
      </c>
      <c r="D251" t="s">
        <v>29</v>
      </c>
      <c r="E251" t="s">
        <v>641</v>
      </c>
      <c r="F251" t="s">
        <v>872</v>
      </c>
      <c r="G251" t="s">
        <v>650</v>
      </c>
      <c r="H251">
        <v>49</v>
      </c>
      <c r="I251" t="s">
        <v>644</v>
      </c>
      <c r="J251">
        <v>1900</v>
      </c>
      <c r="K251" s="1">
        <v>44653</v>
      </c>
      <c r="L251">
        <v>2022</v>
      </c>
      <c r="M251" t="str">
        <f>UPPER(TEXT(_2020_2022[[#This Row],[Data da Venda]],"mmm"))</f>
        <v>ABR</v>
      </c>
    </row>
    <row r="252" spans="1:13" x14ac:dyDescent="0.25">
      <c r="A252" t="s">
        <v>8</v>
      </c>
      <c r="B252">
        <v>5500</v>
      </c>
      <c r="C252">
        <v>2</v>
      </c>
      <c r="D252" t="s">
        <v>31</v>
      </c>
      <c r="E252" t="s">
        <v>645</v>
      </c>
      <c r="F252" t="s">
        <v>684</v>
      </c>
      <c r="G252" t="s">
        <v>643</v>
      </c>
      <c r="H252">
        <v>68</v>
      </c>
      <c r="I252" t="s">
        <v>647</v>
      </c>
      <c r="J252">
        <v>11000</v>
      </c>
      <c r="K252" s="1">
        <v>44588</v>
      </c>
      <c r="L252">
        <v>2022</v>
      </c>
      <c r="M252" t="str">
        <f>UPPER(TEXT(_2020_2022[[#This Row],[Data da Venda]],"mmm"))</f>
        <v>JAN</v>
      </c>
    </row>
    <row r="253" spans="1:13" x14ac:dyDescent="0.25">
      <c r="A253" t="s">
        <v>13</v>
      </c>
      <c r="B253">
        <v>2300</v>
      </c>
      <c r="C253">
        <v>4</v>
      </c>
      <c r="D253" t="s">
        <v>34</v>
      </c>
      <c r="E253" t="s">
        <v>679</v>
      </c>
      <c r="F253" t="s">
        <v>873</v>
      </c>
      <c r="G253" t="s">
        <v>643</v>
      </c>
      <c r="H253">
        <v>62</v>
      </c>
      <c r="I253" t="s">
        <v>647</v>
      </c>
      <c r="J253">
        <v>9200</v>
      </c>
      <c r="K253" s="1">
        <v>44674</v>
      </c>
      <c r="L253">
        <v>2022</v>
      </c>
      <c r="M253" t="str">
        <f>UPPER(TEXT(_2020_2022[[#This Row],[Data da Venda]],"mmm"))</f>
        <v>ABR</v>
      </c>
    </row>
    <row r="254" spans="1:13" x14ac:dyDescent="0.25">
      <c r="A254" t="s">
        <v>18</v>
      </c>
      <c r="B254">
        <v>3000</v>
      </c>
      <c r="C254">
        <v>1</v>
      </c>
      <c r="D254" t="s">
        <v>39</v>
      </c>
      <c r="E254" t="s">
        <v>641</v>
      </c>
      <c r="F254" t="s">
        <v>874</v>
      </c>
      <c r="G254" t="s">
        <v>643</v>
      </c>
      <c r="H254">
        <v>40</v>
      </c>
      <c r="I254" t="s">
        <v>644</v>
      </c>
      <c r="J254">
        <v>3000</v>
      </c>
      <c r="K254" s="1">
        <v>44708</v>
      </c>
      <c r="L254">
        <v>2022</v>
      </c>
      <c r="M254" t="str">
        <f>UPPER(TEXT(_2020_2022[[#This Row],[Data da Venda]],"mmm"))</f>
        <v>MAI</v>
      </c>
    </row>
    <row r="255" spans="1:13" x14ac:dyDescent="0.25">
      <c r="A255" t="s">
        <v>28</v>
      </c>
      <c r="B255">
        <v>1400</v>
      </c>
      <c r="C255">
        <v>2</v>
      </c>
      <c r="D255" t="s">
        <v>33</v>
      </c>
      <c r="E255" t="s">
        <v>641</v>
      </c>
      <c r="F255" t="s">
        <v>875</v>
      </c>
      <c r="G255" t="s">
        <v>643</v>
      </c>
      <c r="H255">
        <v>50</v>
      </c>
      <c r="I255" t="s">
        <v>644</v>
      </c>
      <c r="J255">
        <v>2800</v>
      </c>
      <c r="K255" s="1">
        <v>44752</v>
      </c>
      <c r="L255">
        <v>2022</v>
      </c>
      <c r="M255" t="str">
        <f>UPPER(TEXT(_2020_2022[[#This Row],[Data da Venda]],"mmm"))</f>
        <v>JUL</v>
      </c>
    </row>
    <row r="256" spans="1:13" x14ac:dyDescent="0.25">
      <c r="A256" t="s">
        <v>5</v>
      </c>
      <c r="B256">
        <v>1750</v>
      </c>
      <c r="C256">
        <v>4</v>
      </c>
      <c r="D256" t="s">
        <v>40</v>
      </c>
      <c r="E256" t="s">
        <v>657</v>
      </c>
      <c r="F256" t="s">
        <v>876</v>
      </c>
      <c r="G256" t="s">
        <v>650</v>
      </c>
      <c r="H256">
        <v>28</v>
      </c>
      <c r="I256" t="s">
        <v>651</v>
      </c>
      <c r="J256">
        <v>7000</v>
      </c>
      <c r="K256" s="1">
        <v>44788</v>
      </c>
      <c r="L256">
        <v>2022</v>
      </c>
      <c r="M256" t="str">
        <f>UPPER(TEXT(_2020_2022[[#This Row],[Data da Venda]],"mmm"))</f>
        <v>AGO</v>
      </c>
    </row>
    <row r="257" spans="1:13" x14ac:dyDescent="0.25">
      <c r="A257" t="s">
        <v>7</v>
      </c>
      <c r="B257">
        <v>750</v>
      </c>
      <c r="C257">
        <v>4</v>
      </c>
      <c r="D257" t="s">
        <v>30</v>
      </c>
      <c r="E257" t="s">
        <v>645</v>
      </c>
      <c r="F257" t="s">
        <v>877</v>
      </c>
      <c r="G257" t="s">
        <v>643</v>
      </c>
      <c r="H257">
        <v>52</v>
      </c>
      <c r="I257" t="s">
        <v>647</v>
      </c>
      <c r="J257">
        <v>3000</v>
      </c>
      <c r="K257" s="1">
        <v>44789</v>
      </c>
      <c r="L257">
        <v>2022</v>
      </c>
      <c r="M257" t="str">
        <f>UPPER(TEXT(_2020_2022[[#This Row],[Data da Venda]],"mmm"))</f>
        <v>AGO</v>
      </c>
    </row>
    <row r="258" spans="1:13" x14ac:dyDescent="0.25">
      <c r="A258" t="s">
        <v>1444</v>
      </c>
      <c r="B258">
        <v>1500</v>
      </c>
      <c r="C258">
        <v>3</v>
      </c>
      <c r="D258" t="s">
        <v>35</v>
      </c>
      <c r="E258" t="s">
        <v>666</v>
      </c>
      <c r="F258" t="s">
        <v>878</v>
      </c>
      <c r="G258" t="s">
        <v>650</v>
      </c>
      <c r="H258">
        <v>26</v>
      </c>
      <c r="I258" t="s">
        <v>651</v>
      </c>
      <c r="J258">
        <v>4500</v>
      </c>
      <c r="K258" s="1">
        <v>44787</v>
      </c>
      <c r="L258">
        <v>2022</v>
      </c>
      <c r="M258" t="str">
        <f>UPPER(TEXT(_2020_2022[[#This Row],[Data da Venda]],"mmm"))</f>
        <v>AGO</v>
      </c>
    </row>
    <row r="259" spans="1:13" x14ac:dyDescent="0.25">
      <c r="A259" t="s">
        <v>21</v>
      </c>
      <c r="B259">
        <v>2400</v>
      </c>
      <c r="C259">
        <v>2</v>
      </c>
      <c r="D259" t="s">
        <v>41</v>
      </c>
      <c r="E259" t="s">
        <v>681</v>
      </c>
      <c r="F259" t="s">
        <v>879</v>
      </c>
      <c r="G259" t="s">
        <v>650</v>
      </c>
      <c r="H259">
        <v>71</v>
      </c>
      <c r="I259" t="s">
        <v>647</v>
      </c>
      <c r="J259">
        <v>4800</v>
      </c>
      <c r="K259" s="1">
        <v>44563</v>
      </c>
      <c r="L259">
        <v>2022</v>
      </c>
      <c r="M259" t="str">
        <f>UPPER(TEXT(_2020_2022[[#This Row],[Data da Venda]],"mmm"))</f>
        <v>JAN</v>
      </c>
    </row>
    <row r="260" spans="1:13" x14ac:dyDescent="0.25">
      <c r="A260" t="s">
        <v>9</v>
      </c>
      <c r="B260">
        <v>1500</v>
      </c>
      <c r="C260">
        <v>5</v>
      </c>
      <c r="D260" t="s">
        <v>33</v>
      </c>
      <c r="E260" t="s">
        <v>641</v>
      </c>
      <c r="F260" t="s">
        <v>880</v>
      </c>
      <c r="G260" t="s">
        <v>643</v>
      </c>
      <c r="H260">
        <v>44</v>
      </c>
      <c r="I260" t="s">
        <v>644</v>
      </c>
      <c r="J260">
        <v>7500</v>
      </c>
      <c r="K260" s="1">
        <v>44870</v>
      </c>
      <c r="L260">
        <v>2022</v>
      </c>
      <c r="M260" t="str">
        <f>UPPER(TEXT(_2020_2022[[#This Row],[Data da Venda]],"mmm"))</f>
        <v>NOV</v>
      </c>
    </row>
    <row r="261" spans="1:13" x14ac:dyDescent="0.25">
      <c r="A261" t="s">
        <v>7</v>
      </c>
      <c r="B261">
        <v>750</v>
      </c>
      <c r="C261">
        <v>3</v>
      </c>
      <c r="D261" t="s">
        <v>37</v>
      </c>
      <c r="E261" t="s">
        <v>645</v>
      </c>
      <c r="F261" t="s">
        <v>881</v>
      </c>
      <c r="G261" t="s">
        <v>643</v>
      </c>
      <c r="H261">
        <v>68</v>
      </c>
      <c r="I261" t="s">
        <v>647</v>
      </c>
      <c r="J261">
        <v>2250</v>
      </c>
      <c r="K261" s="1">
        <v>44591</v>
      </c>
      <c r="L261">
        <v>2022</v>
      </c>
      <c r="M261" t="str">
        <f>UPPER(TEXT(_2020_2022[[#This Row],[Data da Venda]],"mmm"))</f>
        <v>JAN</v>
      </c>
    </row>
    <row r="262" spans="1:13" x14ac:dyDescent="0.25">
      <c r="A262" t="s">
        <v>1443</v>
      </c>
      <c r="B262">
        <v>1550</v>
      </c>
      <c r="C262">
        <v>1</v>
      </c>
      <c r="D262" t="s">
        <v>36</v>
      </c>
      <c r="E262" t="s">
        <v>677</v>
      </c>
      <c r="F262" t="s">
        <v>882</v>
      </c>
      <c r="G262" t="s">
        <v>643</v>
      </c>
      <c r="H262">
        <v>35</v>
      </c>
      <c r="I262" t="s">
        <v>644</v>
      </c>
      <c r="J262">
        <v>1550</v>
      </c>
      <c r="K262" s="1">
        <v>44778</v>
      </c>
      <c r="L262">
        <v>2022</v>
      </c>
      <c r="M262" t="str">
        <f>UPPER(TEXT(_2020_2022[[#This Row],[Data da Venda]],"mmm"))</f>
        <v>AGO</v>
      </c>
    </row>
    <row r="263" spans="1:13" x14ac:dyDescent="0.25">
      <c r="A263" t="s">
        <v>28</v>
      </c>
      <c r="B263">
        <v>1400</v>
      </c>
      <c r="C263">
        <v>4</v>
      </c>
      <c r="D263" t="s">
        <v>29</v>
      </c>
      <c r="E263" t="s">
        <v>641</v>
      </c>
      <c r="F263" t="s">
        <v>714</v>
      </c>
      <c r="G263" t="s">
        <v>650</v>
      </c>
      <c r="H263">
        <v>31</v>
      </c>
      <c r="I263" t="s">
        <v>644</v>
      </c>
      <c r="J263">
        <v>5600</v>
      </c>
      <c r="K263" s="1">
        <v>44572</v>
      </c>
      <c r="L263">
        <v>2022</v>
      </c>
      <c r="M263" t="str">
        <f>UPPER(TEXT(_2020_2022[[#This Row],[Data da Venda]],"mmm"))</f>
        <v>JAN</v>
      </c>
    </row>
    <row r="264" spans="1:13" x14ac:dyDescent="0.25">
      <c r="A264" t="s">
        <v>24</v>
      </c>
      <c r="B264">
        <v>2000</v>
      </c>
      <c r="C264">
        <v>5</v>
      </c>
      <c r="D264" t="s">
        <v>35</v>
      </c>
      <c r="E264" t="s">
        <v>666</v>
      </c>
      <c r="F264" t="s">
        <v>836</v>
      </c>
      <c r="G264" t="s">
        <v>650</v>
      </c>
      <c r="H264">
        <v>58</v>
      </c>
      <c r="I264" t="s">
        <v>647</v>
      </c>
      <c r="J264">
        <v>10000</v>
      </c>
      <c r="K264" s="1">
        <v>44836</v>
      </c>
      <c r="L264">
        <v>2022</v>
      </c>
      <c r="M264" t="str">
        <f>UPPER(TEXT(_2020_2022[[#This Row],[Data da Venda]],"mmm"))</f>
        <v>OUT</v>
      </c>
    </row>
    <row r="265" spans="1:13" x14ac:dyDescent="0.25">
      <c r="A265" t="s">
        <v>20</v>
      </c>
      <c r="B265">
        <v>2600</v>
      </c>
      <c r="C265">
        <v>5</v>
      </c>
      <c r="D265" t="s">
        <v>29</v>
      </c>
      <c r="E265" t="s">
        <v>641</v>
      </c>
      <c r="F265" t="s">
        <v>665</v>
      </c>
      <c r="G265" t="s">
        <v>650</v>
      </c>
      <c r="H265">
        <v>34</v>
      </c>
      <c r="I265" t="s">
        <v>644</v>
      </c>
      <c r="J265">
        <v>13000</v>
      </c>
      <c r="K265" s="1">
        <v>44764</v>
      </c>
      <c r="L265">
        <v>2022</v>
      </c>
      <c r="M265" t="str">
        <f>UPPER(TEXT(_2020_2022[[#This Row],[Data da Venda]],"mmm"))</f>
        <v>JUL</v>
      </c>
    </row>
    <row r="266" spans="1:13" x14ac:dyDescent="0.25">
      <c r="A266" t="s">
        <v>13</v>
      </c>
      <c r="B266">
        <v>2300</v>
      </c>
      <c r="C266">
        <v>4</v>
      </c>
      <c r="D266" t="s">
        <v>35</v>
      </c>
      <c r="E266" t="s">
        <v>666</v>
      </c>
      <c r="F266" t="s">
        <v>697</v>
      </c>
      <c r="G266" t="s">
        <v>650</v>
      </c>
      <c r="H266">
        <v>41</v>
      </c>
      <c r="I266" t="s">
        <v>644</v>
      </c>
      <c r="J266">
        <v>9200</v>
      </c>
      <c r="K266" s="1">
        <v>44716</v>
      </c>
      <c r="L266">
        <v>2022</v>
      </c>
      <c r="M266" t="str">
        <f>UPPER(TEXT(_2020_2022[[#This Row],[Data da Venda]],"mmm"))</f>
        <v>JUN</v>
      </c>
    </row>
    <row r="267" spans="1:13" x14ac:dyDescent="0.25">
      <c r="A267" t="s">
        <v>14</v>
      </c>
      <c r="B267">
        <v>2000</v>
      </c>
      <c r="C267">
        <v>1</v>
      </c>
      <c r="D267" t="s">
        <v>30</v>
      </c>
      <c r="E267" t="s">
        <v>645</v>
      </c>
      <c r="F267" t="s">
        <v>835</v>
      </c>
      <c r="G267" t="s">
        <v>650</v>
      </c>
      <c r="H267">
        <v>61</v>
      </c>
      <c r="I267" t="s">
        <v>647</v>
      </c>
      <c r="J267">
        <v>2000</v>
      </c>
      <c r="K267" s="1">
        <v>44620</v>
      </c>
      <c r="L267">
        <v>2022</v>
      </c>
      <c r="M267" t="str">
        <f>UPPER(TEXT(_2020_2022[[#This Row],[Data da Venda]],"mmm"))</f>
        <v>FEV</v>
      </c>
    </row>
    <row r="268" spans="1:13" x14ac:dyDescent="0.25">
      <c r="A268" t="s">
        <v>12</v>
      </c>
      <c r="B268">
        <v>6500</v>
      </c>
      <c r="C268">
        <v>4</v>
      </c>
      <c r="D268" t="s">
        <v>33</v>
      </c>
      <c r="E268" t="s">
        <v>641</v>
      </c>
      <c r="F268" t="s">
        <v>851</v>
      </c>
      <c r="G268" t="s">
        <v>650</v>
      </c>
      <c r="H268">
        <v>72</v>
      </c>
      <c r="I268" t="s">
        <v>647</v>
      </c>
      <c r="J268">
        <v>26000</v>
      </c>
      <c r="K268" s="1">
        <v>44737</v>
      </c>
      <c r="L268">
        <v>2022</v>
      </c>
      <c r="M268" t="str">
        <f>UPPER(TEXT(_2020_2022[[#This Row],[Data da Venda]],"mmm"))</f>
        <v>JUN</v>
      </c>
    </row>
    <row r="269" spans="1:13" x14ac:dyDescent="0.25">
      <c r="A269" t="s">
        <v>15</v>
      </c>
      <c r="B269">
        <v>1900</v>
      </c>
      <c r="C269">
        <v>3</v>
      </c>
      <c r="D269" t="s">
        <v>38</v>
      </c>
      <c r="E269" t="s">
        <v>648</v>
      </c>
      <c r="F269" t="s">
        <v>883</v>
      </c>
      <c r="G269" t="s">
        <v>643</v>
      </c>
      <c r="H269">
        <v>31</v>
      </c>
      <c r="I269" t="s">
        <v>644</v>
      </c>
      <c r="J269">
        <v>5700</v>
      </c>
      <c r="K269" s="1">
        <v>44814</v>
      </c>
      <c r="L269">
        <v>2022</v>
      </c>
      <c r="M269" t="str">
        <f>UPPER(TEXT(_2020_2022[[#This Row],[Data da Venda]],"mmm"))</f>
        <v>SET</v>
      </c>
    </row>
    <row r="270" spans="1:13" x14ac:dyDescent="0.25">
      <c r="A270" t="s">
        <v>1444</v>
      </c>
      <c r="B270">
        <v>1500</v>
      </c>
      <c r="C270">
        <v>1</v>
      </c>
      <c r="D270" t="s">
        <v>29</v>
      </c>
      <c r="E270" t="s">
        <v>641</v>
      </c>
      <c r="F270" t="s">
        <v>714</v>
      </c>
      <c r="G270" t="s">
        <v>650</v>
      </c>
      <c r="H270">
        <v>31</v>
      </c>
      <c r="I270" t="s">
        <v>644</v>
      </c>
      <c r="J270">
        <v>1500</v>
      </c>
      <c r="K270" s="1">
        <v>44796</v>
      </c>
      <c r="L270">
        <v>2022</v>
      </c>
      <c r="M270" t="str">
        <f>UPPER(TEXT(_2020_2022[[#This Row],[Data da Venda]],"mmm"))</f>
        <v>AGO</v>
      </c>
    </row>
    <row r="271" spans="1:13" x14ac:dyDescent="0.25">
      <c r="A271" t="s">
        <v>1445</v>
      </c>
      <c r="B271">
        <v>1500</v>
      </c>
      <c r="C271">
        <v>5</v>
      </c>
      <c r="D271" t="s">
        <v>38</v>
      </c>
      <c r="E271" t="s">
        <v>648</v>
      </c>
      <c r="F271" t="s">
        <v>656</v>
      </c>
      <c r="G271" t="s">
        <v>643</v>
      </c>
      <c r="H271">
        <v>37</v>
      </c>
      <c r="I271" t="s">
        <v>644</v>
      </c>
      <c r="J271">
        <v>7500</v>
      </c>
      <c r="K271" s="1">
        <v>44672</v>
      </c>
      <c r="L271">
        <v>2022</v>
      </c>
      <c r="M271" t="str">
        <f>UPPER(TEXT(_2020_2022[[#This Row],[Data da Venda]],"mmm"))</f>
        <v>ABR</v>
      </c>
    </row>
    <row r="272" spans="1:13" x14ac:dyDescent="0.25">
      <c r="A272" t="s">
        <v>15</v>
      </c>
      <c r="B272">
        <v>1900</v>
      </c>
      <c r="C272">
        <v>2</v>
      </c>
      <c r="D272" t="s">
        <v>36</v>
      </c>
      <c r="E272" t="s">
        <v>677</v>
      </c>
      <c r="F272" t="s">
        <v>728</v>
      </c>
      <c r="G272" t="s">
        <v>643</v>
      </c>
      <c r="H272">
        <v>60</v>
      </c>
      <c r="I272" t="s">
        <v>647</v>
      </c>
      <c r="J272">
        <v>3800</v>
      </c>
      <c r="K272" s="1">
        <v>44855</v>
      </c>
      <c r="L272">
        <v>2022</v>
      </c>
      <c r="M272" t="str">
        <f>UPPER(TEXT(_2020_2022[[#This Row],[Data da Venda]],"mmm"))</f>
        <v>OUT</v>
      </c>
    </row>
    <row r="273" spans="1:13" x14ac:dyDescent="0.25">
      <c r="A273" t="s">
        <v>25</v>
      </c>
      <c r="B273">
        <v>2500</v>
      </c>
      <c r="C273">
        <v>2</v>
      </c>
      <c r="D273" t="s">
        <v>36</v>
      </c>
      <c r="E273" t="s">
        <v>677</v>
      </c>
      <c r="F273" t="s">
        <v>865</v>
      </c>
      <c r="G273" t="s">
        <v>650</v>
      </c>
      <c r="H273">
        <v>74</v>
      </c>
      <c r="I273" t="s">
        <v>647</v>
      </c>
      <c r="J273">
        <v>5000</v>
      </c>
      <c r="K273" s="1">
        <v>44795</v>
      </c>
      <c r="L273">
        <v>2022</v>
      </c>
      <c r="M273" t="str">
        <f>UPPER(TEXT(_2020_2022[[#This Row],[Data da Venda]],"mmm"))</f>
        <v>AGO</v>
      </c>
    </row>
    <row r="274" spans="1:13" x14ac:dyDescent="0.25">
      <c r="A274" t="s">
        <v>1442</v>
      </c>
      <c r="B274">
        <v>1200</v>
      </c>
      <c r="C274">
        <v>3</v>
      </c>
      <c r="D274" t="s">
        <v>33</v>
      </c>
      <c r="E274" t="s">
        <v>641</v>
      </c>
      <c r="F274" t="s">
        <v>688</v>
      </c>
      <c r="G274" t="s">
        <v>643</v>
      </c>
      <c r="H274">
        <v>61</v>
      </c>
      <c r="I274" t="s">
        <v>647</v>
      </c>
      <c r="J274">
        <v>3600</v>
      </c>
      <c r="K274" s="1">
        <v>44835</v>
      </c>
      <c r="L274">
        <v>2022</v>
      </c>
      <c r="M274" t="str">
        <f>UPPER(TEXT(_2020_2022[[#This Row],[Data da Venda]],"mmm"))</f>
        <v>OUT</v>
      </c>
    </row>
    <row r="275" spans="1:13" x14ac:dyDescent="0.25">
      <c r="A275" t="s">
        <v>22</v>
      </c>
      <c r="B275">
        <v>5200</v>
      </c>
      <c r="C275">
        <v>2</v>
      </c>
      <c r="D275" t="s">
        <v>35</v>
      </c>
      <c r="E275" t="s">
        <v>666</v>
      </c>
      <c r="F275" t="s">
        <v>884</v>
      </c>
      <c r="G275" t="s">
        <v>650</v>
      </c>
      <c r="H275">
        <v>58</v>
      </c>
      <c r="I275" t="s">
        <v>647</v>
      </c>
      <c r="J275">
        <v>10400</v>
      </c>
      <c r="K275" s="1">
        <v>44692</v>
      </c>
      <c r="L275">
        <v>2022</v>
      </c>
      <c r="M275" t="str">
        <f>UPPER(TEXT(_2020_2022[[#This Row],[Data da Venda]],"mmm"))</f>
        <v>MAI</v>
      </c>
    </row>
    <row r="276" spans="1:13" x14ac:dyDescent="0.25">
      <c r="A276" t="s">
        <v>5</v>
      </c>
      <c r="B276">
        <v>1750</v>
      </c>
      <c r="C276">
        <v>1</v>
      </c>
      <c r="D276" t="s">
        <v>31</v>
      </c>
      <c r="E276" t="s">
        <v>645</v>
      </c>
      <c r="F276" t="s">
        <v>885</v>
      </c>
      <c r="G276" t="s">
        <v>643</v>
      </c>
      <c r="H276">
        <v>46</v>
      </c>
      <c r="I276" t="s">
        <v>644</v>
      </c>
      <c r="J276">
        <v>1750</v>
      </c>
      <c r="K276" s="1">
        <v>44830</v>
      </c>
      <c r="L276">
        <v>2022</v>
      </c>
      <c r="M276" t="str">
        <f>UPPER(TEXT(_2020_2022[[#This Row],[Data da Venda]],"mmm"))</f>
        <v>SET</v>
      </c>
    </row>
    <row r="277" spans="1:13" x14ac:dyDescent="0.25">
      <c r="A277" t="s">
        <v>7</v>
      </c>
      <c r="B277">
        <v>750</v>
      </c>
      <c r="C277">
        <v>1</v>
      </c>
      <c r="D277" t="s">
        <v>36</v>
      </c>
      <c r="E277" t="s">
        <v>677</v>
      </c>
      <c r="F277" t="s">
        <v>886</v>
      </c>
      <c r="G277" t="s">
        <v>650</v>
      </c>
      <c r="H277">
        <v>27</v>
      </c>
      <c r="I277" t="s">
        <v>651</v>
      </c>
      <c r="J277">
        <v>750</v>
      </c>
      <c r="K277" s="1">
        <v>44835</v>
      </c>
      <c r="L277">
        <v>2022</v>
      </c>
      <c r="M277" t="str">
        <f>UPPER(TEXT(_2020_2022[[#This Row],[Data da Venda]],"mmm"))</f>
        <v>OUT</v>
      </c>
    </row>
    <row r="278" spans="1:13" x14ac:dyDescent="0.25">
      <c r="A278" t="s">
        <v>1443</v>
      </c>
      <c r="B278">
        <v>1550</v>
      </c>
      <c r="C278">
        <v>5</v>
      </c>
      <c r="D278" t="s">
        <v>29</v>
      </c>
      <c r="E278" t="s">
        <v>641</v>
      </c>
      <c r="F278" t="s">
        <v>887</v>
      </c>
      <c r="G278" t="s">
        <v>650</v>
      </c>
      <c r="H278">
        <v>41</v>
      </c>
      <c r="I278" t="s">
        <v>644</v>
      </c>
      <c r="J278">
        <v>7750</v>
      </c>
      <c r="K278" s="1">
        <v>44853</v>
      </c>
      <c r="L278">
        <v>2022</v>
      </c>
      <c r="M278" t="str">
        <f>UPPER(TEXT(_2020_2022[[#This Row],[Data da Venda]],"mmm"))</f>
        <v>OUT</v>
      </c>
    </row>
    <row r="279" spans="1:13" x14ac:dyDescent="0.25">
      <c r="A279" t="s">
        <v>18</v>
      </c>
      <c r="B279">
        <v>3000</v>
      </c>
      <c r="C279">
        <v>5</v>
      </c>
      <c r="D279" t="s">
        <v>41</v>
      </c>
      <c r="E279" t="s">
        <v>681</v>
      </c>
      <c r="F279" t="s">
        <v>734</v>
      </c>
      <c r="G279" t="s">
        <v>643</v>
      </c>
      <c r="H279">
        <v>31</v>
      </c>
      <c r="I279" t="s">
        <v>644</v>
      </c>
      <c r="J279">
        <v>15000</v>
      </c>
      <c r="K279" s="1">
        <v>44565</v>
      </c>
      <c r="L279">
        <v>2022</v>
      </c>
      <c r="M279" t="str">
        <f>UPPER(TEXT(_2020_2022[[#This Row],[Data da Venda]],"mmm"))</f>
        <v>JAN</v>
      </c>
    </row>
    <row r="280" spans="1:13" x14ac:dyDescent="0.25">
      <c r="A280" t="s">
        <v>12</v>
      </c>
      <c r="B280">
        <v>6500</v>
      </c>
      <c r="C280">
        <v>4</v>
      </c>
      <c r="D280" t="s">
        <v>29</v>
      </c>
      <c r="E280" t="s">
        <v>641</v>
      </c>
      <c r="F280" t="s">
        <v>888</v>
      </c>
      <c r="G280" t="s">
        <v>650</v>
      </c>
      <c r="H280">
        <v>60</v>
      </c>
      <c r="I280" t="s">
        <v>647</v>
      </c>
      <c r="J280">
        <v>26000</v>
      </c>
      <c r="K280" s="1">
        <v>44687</v>
      </c>
      <c r="L280">
        <v>2022</v>
      </c>
      <c r="M280" t="str">
        <f>UPPER(TEXT(_2020_2022[[#This Row],[Data da Venda]],"mmm"))</f>
        <v>MAI</v>
      </c>
    </row>
    <row r="281" spans="1:13" x14ac:dyDescent="0.25">
      <c r="A281" t="s">
        <v>1440</v>
      </c>
      <c r="B281">
        <v>700</v>
      </c>
      <c r="C281">
        <v>3</v>
      </c>
      <c r="D281" t="s">
        <v>31</v>
      </c>
      <c r="E281" t="s">
        <v>645</v>
      </c>
      <c r="F281" t="s">
        <v>889</v>
      </c>
      <c r="G281" t="s">
        <v>643</v>
      </c>
      <c r="H281">
        <v>26</v>
      </c>
      <c r="I281" t="s">
        <v>651</v>
      </c>
      <c r="J281">
        <v>2100</v>
      </c>
      <c r="K281" s="1">
        <v>44875</v>
      </c>
      <c r="L281">
        <v>2022</v>
      </c>
      <c r="M281" t="str">
        <f>UPPER(TEXT(_2020_2022[[#This Row],[Data da Venda]],"mmm"))</f>
        <v>NOV</v>
      </c>
    </row>
    <row r="282" spans="1:13" x14ac:dyDescent="0.25">
      <c r="A282" t="s">
        <v>11</v>
      </c>
      <c r="B282">
        <v>4500</v>
      </c>
      <c r="C282">
        <v>3</v>
      </c>
      <c r="D282" t="s">
        <v>31</v>
      </c>
      <c r="E282" t="s">
        <v>645</v>
      </c>
      <c r="F282" t="s">
        <v>890</v>
      </c>
      <c r="G282" t="s">
        <v>643</v>
      </c>
      <c r="H282">
        <v>40</v>
      </c>
      <c r="I282" t="s">
        <v>644</v>
      </c>
      <c r="J282">
        <v>13500</v>
      </c>
      <c r="K282" s="1">
        <v>44669</v>
      </c>
      <c r="L282">
        <v>2022</v>
      </c>
      <c r="M282" t="str">
        <f>UPPER(TEXT(_2020_2022[[#This Row],[Data da Venda]],"mmm"))</f>
        <v>ABR</v>
      </c>
    </row>
    <row r="283" spans="1:13" x14ac:dyDescent="0.25">
      <c r="A283" t="s">
        <v>16</v>
      </c>
      <c r="B283">
        <v>1400</v>
      </c>
      <c r="C283">
        <v>1</v>
      </c>
      <c r="D283" t="s">
        <v>35</v>
      </c>
      <c r="E283" t="s">
        <v>666</v>
      </c>
      <c r="F283" t="s">
        <v>891</v>
      </c>
      <c r="G283" t="s">
        <v>650</v>
      </c>
      <c r="H283">
        <v>68</v>
      </c>
      <c r="I283" t="s">
        <v>647</v>
      </c>
      <c r="J283">
        <v>1400</v>
      </c>
      <c r="K283" s="1">
        <v>44619</v>
      </c>
      <c r="L283">
        <v>2022</v>
      </c>
      <c r="M283" t="str">
        <f>UPPER(TEXT(_2020_2022[[#This Row],[Data da Venda]],"mmm"))</f>
        <v>FEV</v>
      </c>
    </row>
    <row r="284" spans="1:13" x14ac:dyDescent="0.25">
      <c r="A284" t="s">
        <v>16</v>
      </c>
      <c r="B284">
        <v>1400</v>
      </c>
      <c r="C284">
        <v>5</v>
      </c>
      <c r="D284" t="s">
        <v>38</v>
      </c>
      <c r="E284" t="s">
        <v>648</v>
      </c>
      <c r="F284" t="s">
        <v>892</v>
      </c>
      <c r="G284" t="s">
        <v>650</v>
      </c>
      <c r="H284">
        <v>28</v>
      </c>
      <c r="I284" t="s">
        <v>651</v>
      </c>
      <c r="J284">
        <v>7000</v>
      </c>
      <c r="K284" s="1">
        <v>44651</v>
      </c>
      <c r="L284">
        <v>2022</v>
      </c>
      <c r="M284" t="str">
        <f>UPPER(TEXT(_2020_2022[[#This Row],[Data da Venda]],"mmm"))</f>
        <v>MAR</v>
      </c>
    </row>
    <row r="285" spans="1:13" x14ac:dyDescent="0.25">
      <c r="A285" t="s">
        <v>18</v>
      </c>
      <c r="B285">
        <v>3000</v>
      </c>
      <c r="C285">
        <v>5</v>
      </c>
      <c r="D285" t="s">
        <v>32</v>
      </c>
      <c r="E285" t="s">
        <v>652</v>
      </c>
      <c r="F285" t="s">
        <v>893</v>
      </c>
      <c r="G285" t="s">
        <v>650</v>
      </c>
      <c r="H285">
        <v>69</v>
      </c>
      <c r="I285" t="s">
        <v>647</v>
      </c>
      <c r="J285">
        <v>15000</v>
      </c>
      <c r="K285" s="1">
        <v>44567</v>
      </c>
      <c r="L285">
        <v>2022</v>
      </c>
      <c r="M285" t="str">
        <f>UPPER(TEXT(_2020_2022[[#This Row],[Data da Venda]],"mmm"))</f>
        <v>JAN</v>
      </c>
    </row>
    <row r="286" spans="1:13" x14ac:dyDescent="0.25">
      <c r="A286" t="s">
        <v>20</v>
      </c>
      <c r="B286">
        <v>2600</v>
      </c>
      <c r="C286">
        <v>3</v>
      </c>
      <c r="D286" t="s">
        <v>41</v>
      </c>
      <c r="E286" t="s">
        <v>681</v>
      </c>
      <c r="F286" t="s">
        <v>836</v>
      </c>
      <c r="G286" t="s">
        <v>650</v>
      </c>
      <c r="H286">
        <v>56</v>
      </c>
      <c r="I286" t="s">
        <v>647</v>
      </c>
      <c r="J286">
        <v>7800</v>
      </c>
      <c r="K286" s="1">
        <v>44781</v>
      </c>
      <c r="L286">
        <v>2022</v>
      </c>
      <c r="M286" t="str">
        <f>UPPER(TEXT(_2020_2022[[#This Row],[Data da Venda]],"mmm"))</f>
        <v>AGO</v>
      </c>
    </row>
    <row r="287" spans="1:13" x14ac:dyDescent="0.25">
      <c r="A287" t="s">
        <v>16</v>
      </c>
      <c r="B287">
        <v>1400</v>
      </c>
      <c r="C287">
        <v>4</v>
      </c>
      <c r="D287" t="s">
        <v>38</v>
      </c>
      <c r="E287" t="s">
        <v>648</v>
      </c>
      <c r="F287" t="s">
        <v>649</v>
      </c>
      <c r="G287" t="s">
        <v>650</v>
      </c>
      <c r="H287">
        <v>27</v>
      </c>
      <c r="I287" t="s">
        <v>651</v>
      </c>
      <c r="J287">
        <v>5600</v>
      </c>
      <c r="K287" s="1">
        <v>44913</v>
      </c>
      <c r="L287">
        <v>2022</v>
      </c>
      <c r="M287" t="str">
        <f>UPPER(TEXT(_2020_2022[[#This Row],[Data da Venda]],"mmm"))</f>
        <v>DEZ</v>
      </c>
    </row>
    <row r="288" spans="1:13" x14ac:dyDescent="0.25">
      <c r="A288" t="s">
        <v>16</v>
      </c>
      <c r="B288">
        <v>1400</v>
      </c>
      <c r="C288">
        <v>1</v>
      </c>
      <c r="D288" t="s">
        <v>29</v>
      </c>
      <c r="E288" t="s">
        <v>641</v>
      </c>
      <c r="F288" t="s">
        <v>748</v>
      </c>
      <c r="G288" t="s">
        <v>643</v>
      </c>
      <c r="H288">
        <v>29</v>
      </c>
      <c r="I288" t="s">
        <v>651</v>
      </c>
      <c r="J288">
        <v>1400</v>
      </c>
      <c r="K288" s="1">
        <v>44835</v>
      </c>
      <c r="L288">
        <v>2022</v>
      </c>
      <c r="M288" t="str">
        <f>UPPER(TEXT(_2020_2022[[#This Row],[Data da Venda]],"mmm"))</f>
        <v>OUT</v>
      </c>
    </row>
    <row r="289" spans="1:13" x14ac:dyDescent="0.25">
      <c r="A289" t="s">
        <v>13</v>
      </c>
      <c r="B289">
        <v>2300</v>
      </c>
      <c r="C289">
        <v>3</v>
      </c>
      <c r="D289" t="s">
        <v>41</v>
      </c>
      <c r="E289" t="s">
        <v>681</v>
      </c>
      <c r="F289" t="s">
        <v>671</v>
      </c>
      <c r="G289" t="s">
        <v>643</v>
      </c>
      <c r="H289">
        <v>64</v>
      </c>
      <c r="I289" t="s">
        <v>647</v>
      </c>
      <c r="J289">
        <v>6900</v>
      </c>
      <c r="K289" s="1">
        <v>44662</v>
      </c>
      <c r="L289">
        <v>2022</v>
      </c>
      <c r="M289" t="str">
        <f>UPPER(TEXT(_2020_2022[[#This Row],[Data da Venda]],"mmm"))</f>
        <v>ABR</v>
      </c>
    </row>
    <row r="290" spans="1:13" x14ac:dyDescent="0.25">
      <c r="A290" t="s">
        <v>1441</v>
      </c>
      <c r="B290">
        <v>1450</v>
      </c>
      <c r="C290">
        <v>5</v>
      </c>
      <c r="D290" t="s">
        <v>29</v>
      </c>
      <c r="E290" t="s">
        <v>641</v>
      </c>
      <c r="F290" t="s">
        <v>661</v>
      </c>
      <c r="G290" t="s">
        <v>650</v>
      </c>
      <c r="H290">
        <v>53</v>
      </c>
      <c r="I290" t="s">
        <v>647</v>
      </c>
      <c r="J290">
        <v>7250</v>
      </c>
      <c r="K290" s="1">
        <v>44827</v>
      </c>
      <c r="L290">
        <v>2022</v>
      </c>
      <c r="M290" t="str">
        <f>UPPER(TEXT(_2020_2022[[#This Row],[Data da Venda]],"mmm"))</f>
        <v>SET</v>
      </c>
    </row>
    <row r="291" spans="1:13" x14ac:dyDescent="0.25">
      <c r="A291" t="s">
        <v>9</v>
      </c>
      <c r="B291">
        <v>1500</v>
      </c>
      <c r="C291">
        <v>4</v>
      </c>
      <c r="D291" t="s">
        <v>38</v>
      </c>
      <c r="E291" t="s">
        <v>648</v>
      </c>
      <c r="F291" t="s">
        <v>894</v>
      </c>
      <c r="G291" t="s">
        <v>643</v>
      </c>
      <c r="H291">
        <v>73</v>
      </c>
      <c r="I291" t="s">
        <v>647</v>
      </c>
      <c r="J291">
        <v>6000</v>
      </c>
      <c r="K291" s="1">
        <v>44846</v>
      </c>
      <c r="L291">
        <v>2022</v>
      </c>
      <c r="M291" t="str">
        <f>UPPER(TEXT(_2020_2022[[#This Row],[Data da Venda]],"mmm"))</f>
        <v>OUT</v>
      </c>
    </row>
    <row r="292" spans="1:13" x14ac:dyDescent="0.25">
      <c r="A292" t="s">
        <v>12</v>
      </c>
      <c r="B292">
        <v>6500</v>
      </c>
      <c r="C292">
        <v>5</v>
      </c>
      <c r="D292" t="s">
        <v>40</v>
      </c>
      <c r="E292" t="s">
        <v>657</v>
      </c>
      <c r="F292" t="s">
        <v>876</v>
      </c>
      <c r="G292" t="s">
        <v>650</v>
      </c>
      <c r="H292">
        <v>28</v>
      </c>
      <c r="I292" t="s">
        <v>651</v>
      </c>
      <c r="J292">
        <v>32500</v>
      </c>
      <c r="K292" s="1">
        <v>44615</v>
      </c>
      <c r="L292">
        <v>2022</v>
      </c>
      <c r="M292" t="str">
        <f>UPPER(TEXT(_2020_2022[[#This Row],[Data da Venda]],"mmm"))</f>
        <v>FEV</v>
      </c>
    </row>
    <row r="293" spans="1:13" x14ac:dyDescent="0.25">
      <c r="A293" t="s">
        <v>16</v>
      </c>
      <c r="B293">
        <v>1400</v>
      </c>
      <c r="C293">
        <v>5</v>
      </c>
      <c r="D293" t="s">
        <v>31</v>
      </c>
      <c r="E293" t="s">
        <v>645</v>
      </c>
      <c r="F293" t="s">
        <v>862</v>
      </c>
      <c r="G293" t="s">
        <v>650</v>
      </c>
      <c r="H293">
        <v>71</v>
      </c>
      <c r="I293" t="s">
        <v>647</v>
      </c>
      <c r="J293">
        <v>7000</v>
      </c>
      <c r="K293" s="1">
        <v>44654</v>
      </c>
      <c r="L293">
        <v>2022</v>
      </c>
      <c r="M293" t="str">
        <f>UPPER(TEXT(_2020_2022[[#This Row],[Data da Venda]],"mmm"))</f>
        <v>ABR</v>
      </c>
    </row>
    <row r="294" spans="1:13" x14ac:dyDescent="0.25">
      <c r="A294" t="s">
        <v>5</v>
      </c>
      <c r="B294">
        <v>1750</v>
      </c>
      <c r="C294">
        <v>1</v>
      </c>
      <c r="D294" t="s">
        <v>31</v>
      </c>
      <c r="E294" t="s">
        <v>645</v>
      </c>
      <c r="F294" t="s">
        <v>895</v>
      </c>
      <c r="G294" t="s">
        <v>643</v>
      </c>
      <c r="H294">
        <v>69</v>
      </c>
      <c r="I294" t="s">
        <v>647</v>
      </c>
      <c r="J294">
        <v>1750</v>
      </c>
      <c r="K294" s="1">
        <v>44886</v>
      </c>
      <c r="L294">
        <v>2022</v>
      </c>
      <c r="M294" t="str">
        <f>UPPER(TEXT(_2020_2022[[#This Row],[Data da Venda]],"mmm"))</f>
        <v>NOV</v>
      </c>
    </row>
    <row r="295" spans="1:13" x14ac:dyDescent="0.25">
      <c r="A295" t="s">
        <v>25</v>
      </c>
      <c r="B295">
        <v>2500</v>
      </c>
      <c r="C295">
        <v>4</v>
      </c>
      <c r="D295" t="s">
        <v>30</v>
      </c>
      <c r="E295" t="s">
        <v>645</v>
      </c>
      <c r="F295" t="s">
        <v>896</v>
      </c>
      <c r="G295" t="s">
        <v>643</v>
      </c>
      <c r="H295">
        <v>47</v>
      </c>
      <c r="I295" t="s">
        <v>644</v>
      </c>
      <c r="J295">
        <v>10000</v>
      </c>
      <c r="K295" s="1">
        <v>44639</v>
      </c>
      <c r="L295">
        <v>2022</v>
      </c>
      <c r="M295" t="str">
        <f>UPPER(TEXT(_2020_2022[[#This Row],[Data da Venda]],"mmm"))</f>
        <v>MAR</v>
      </c>
    </row>
    <row r="296" spans="1:13" x14ac:dyDescent="0.25">
      <c r="A296" t="s">
        <v>12</v>
      </c>
      <c r="B296">
        <v>6500</v>
      </c>
      <c r="C296">
        <v>5</v>
      </c>
      <c r="D296" t="s">
        <v>36</v>
      </c>
      <c r="E296" t="s">
        <v>677</v>
      </c>
      <c r="F296" t="s">
        <v>728</v>
      </c>
      <c r="G296" t="s">
        <v>643</v>
      </c>
      <c r="H296">
        <v>60</v>
      </c>
      <c r="I296" t="s">
        <v>647</v>
      </c>
      <c r="J296">
        <v>32500</v>
      </c>
      <c r="K296" s="1">
        <v>44627</v>
      </c>
      <c r="L296">
        <v>2022</v>
      </c>
      <c r="M296" t="str">
        <f>UPPER(TEXT(_2020_2022[[#This Row],[Data da Venda]],"mmm"))</f>
        <v>MAR</v>
      </c>
    </row>
    <row r="297" spans="1:13" x14ac:dyDescent="0.25">
      <c r="A297" t="s">
        <v>26</v>
      </c>
      <c r="B297">
        <v>1100</v>
      </c>
      <c r="C297">
        <v>2</v>
      </c>
      <c r="D297" t="s">
        <v>32</v>
      </c>
      <c r="E297" t="s">
        <v>652</v>
      </c>
      <c r="F297" t="s">
        <v>897</v>
      </c>
      <c r="G297" t="s">
        <v>643</v>
      </c>
      <c r="H297">
        <v>39</v>
      </c>
      <c r="I297" t="s">
        <v>644</v>
      </c>
      <c r="J297">
        <v>2200</v>
      </c>
      <c r="K297" s="1">
        <v>44567</v>
      </c>
      <c r="L297">
        <v>2022</v>
      </c>
      <c r="M297" t="str">
        <f>UPPER(TEXT(_2020_2022[[#This Row],[Data da Venda]],"mmm"))</f>
        <v>JAN</v>
      </c>
    </row>
    <row r="298" spans="1:13" x14ac:dyDescent="0.25">
      <c r="A298" t="s">
        <v>7</v>
      </c>
      <c r="B298">
        <v>750</v>
      </c>
      <c r="C298">
        <v>4</v>
      </c>
      <c r="D298" t="s">
        <v>29</v>
      </c>
      <c r="E298" t="s">
        <v>641</v>
      </c>
      <c r="F298" t="s">
        <v>812</v>
      </c>
      <c r="G298" t="s">
        <v>643</v>
      </c>
      <c r="H298">
        <v>55</v>
      </c>
      <c r="I298" t="s">
        <v>647</v>
      </c>
      <c r="J298">
        <v>3000</v>
      </c>
      <c r="K298" s="1">
        <v>44649</v>
      </c>
      <c r="L298">
        <v>2022</v>
      </c>
      <c r="M298" t="str">
        <f>UPPER(TEXT(_2020_2022[[#This Row],[Data da Venda]],"mmm"))</f>
        <v>MAR</v>
      </c>
    </row>
    <row r="299" spans="1:13" x14ac:dyDescent="0.25">
      <c r="A299" t="s">
        <v>1443</v>
      </c>
      <c r="B299">
        <v>1550</v>
      </c>
      <c r="C299">
        <v>2</v>
      </c>
      <c r="D299" t="s">
        <v>41</v>
      </c>
      <c r="E299" t="s">
        <v>681</v>
      </c>
      <c r="F299" t="s">
        <v>879</v>
      </c>
      <c r="G299" t="s">
        <v>650</v>
      </c>
      <c r="H299">
        <v>71</v>
      </c>
      <c r="I299" t="s">
        <v>647</v>
      </c>
      <c r="J299">
        <v>3100</v>
      </c>
      <c r="K299" s="1">
        <v>44720</v>
      </c>
      <c r="L299">
        <v>2022</v>
      </c>
      <c r="M299" t="str">
        <f>UPPER(TEXT(_2020_2022[[#This Row],[Data da Venda]],"mmm"))</f>
        <v>JUN</v>
      </c>
    </row>
    <row r="300" spans="1:13" x14ac:dyDescent="0.25">
      <c r="A300" t="s">
        <v>7</v>
      </c>
      <c r="B300">
        <v>750</v>
      </c>
      <c r="C300">
        <v>2</v>
      </c>
      <c r="D300" t="s">
        <v>35</v>
      </c>
      <c r="E300" t="s">
        <v>666</v>
      </c>
      <c r="F300" t="s">
        <v>898</v>
      </c>
      <c r="G300" t="s">
        <v>643</v>
      </c>
      <c r="H300">
        <v>38</v>
      </c>
      <c r="I300" t="s">
        <v>644</v>
      </c>
      <c r="J300">
        <v>1500</v>
      </c>
      <c r="K300" s="1">
        <v>44905</v>
      </c>
      <c r="L300">
        <v>2022</v>
      </c>
      <c r="M300" t="str">
        <f>UPPER(TEXT(_2020_2022[[#This Row],[Data da Venda]],"mmm"))</f>
        <v>DEZ</v>
      </c>
    </row>
    <row r="301" spans="1:13" x14ac:dyDescent="0.25">
      <c r="A301" t="s">
        <v>11</v>
      </c>
      <c r="B301">
        <v>4500</v>
      </c>
      <c r="C301">
        <v>3</v>
      </c>
      <c r="D301" t="s">
        <v>30</v>
      </c>
      <c r="E301" t="s">
        <v>645</v>
      </c>
      <c r="F301" t="s">
        <v>899</v>
      </c>
      <c r="G301" t="s">
        <v>650</v>
      </c>
      <c r="H301">
        <v>69</v>
      </c>
      <c r="I301" t="s">
        <v>647</v>
      </c>
      <c r="J301">
        <v>13500</v>
      </c>
      <c r="K301" s="1">
        <v>44684</v>
      </c>
      <c r="L301">
        <v>2022</v>
      </c>
      <c r="M301" t="str">
        <f>UPPER(TEXT(_2020_2022[[#This Row],[Data da Venda]],"mmm"))</f>
        <v>MAI</v>
      </c>
    </row>
    <row r="302" spans="1:13" x14ac:dyDescent="0.25">
      <c r="A302" t="s">
        <v>8</v>
      </c>
      <c r="B302">
        <v>5500</v>
      </c>
      <c r="C302">
        <v>4</v>
      </c>
      <c r="D302" t="s">
        <v>36</v>
      </c>
      <c r="E302" t="s">
        <v>677</v>
      </c>
      <c r="F302" t="s">
        <v>900</v>
      </c>
      <c r="G302" t="s">
        <v>650</v>
      </c>
      <c r="H302">
        <v>32</v>
      </c>
      <c r="I302" t="s">
        <v>644</v>
      </c>
      <c r="J302">
        <v>22000</v>
      </c>
      <c r="K302" s="1">
        <v>44755</v>
      </c>
      <c r="L302">
        <v>2022</v>
      </c>
      <c r="M302" t="str">
        <f>UPPER(TEXT(_2020_2022[[#This Row],[Data da Venda]],"mmm"))</f>
        <v>JUL</v>
      </c>
    </row>
    <row r="303" spans="1:13" x14ac:dyDescent="0.25">
      <c r="A303" t="s">
        <v>13</v>
      </c>
      <c r="B303">
        <v>2300</v>
      </c>
      <c r="C303">
        <v>2</v>
      </c>
      <c r="D303" t="s">
        <v>31</v>
      </c>
      <c r="E303" t="s">
        <v>645</v>
      </c>
      <c r="F303" t="s">
        <v>776</v>
      </c>
      <c r="G303" t="s">
        <v>643</v>
      </c>
      <c r="H303">
        <v>29</v>
      </c>
      <c r="I303" t="s">
        <v>651</v>
      </c>
      <c r="J303">
        <v>4600</v>
      </c>
      <c r="K303" s="1">
        <v>44897</v>
      </c>
      <c r="L303">
        <v>2022</v>
      </c>
      <c r="M303" t="str">
        <f>UPPER(TEXT(_2020_2022[[#This Row],[Data da Venda]],"mmm"))</f>
        <v>DEZ</v>
      </c>
    </row>
    <row r="304" spans="1:13" x14ac:dyDescent="0.25">
      <c r="A304" t="s">
        <v>22</v>
      </c>
      <c r="B304">
        <v>5200</v>
      </c>
      <c r="C304">
        <v>4</v>
      </c>
      <c r="D304" t="s">
        <v>38</v>
      </c>
      <c r="E304" t="s">
        <v>648</v>
      </c>
      <c r="F304" t="s">
        <v>901</v>
      </c>
      <c r="G304" t="s">
        <v>643</v>
      </c>
      <c r="H304">
        <v>66</v>
      </c>
      <c r="I304" t="s">
        <v>647</v>
      </c>
      <c r="J304">
        <v>20800</v>
      </c>
      <c r="K304" s="1">
        <v>44673</v>
      </c>
      <c r="L304">
        <v>2022</v>
      </c>
      <c r="M304" t="str">
        <f>UPPER(TEXT(_2020_2022[[#This Row],[Data da Venda]],"mmm"))</f>
        <v>ABR</v>
      </c>
    </row>
    <row r="305" spans="1:13" x14ac:dyDescent="0.25">
      <c r="A305" t="s">
        <v>25</v>
      </c>
      <c r="B305">
        <v>2500</v>
      </c>
      <c r="C305">
        <v>1</v>
      </c>
      <c r="D305" t="s">
        <v>32</v>
      </c>
      <c r="E305" t="s">
        <v>652</v>
      </c>
      <c r="F305" t="s">
        <v>902</v>
      </c>
      <c r="G305" t="s">
        <v>650</v>
      </c>
      <c r="H305">
        <v>26</v>
      </c>
      <c r="I305" t="s">
        <v>651</v>
      </c>
      <c r="J305">
        <v>2500</v>
      </c>
      <c r="K305" s="1">
        <v>44753</v>
      </c>
      <c r="L305">
        <v>2022</v>
      </c>
      <c r="M305" t="str">
        <f>UPPER(TEXT(_2020_2022[[#This Row],[Data da Venda]],"mmm"))</f>
        <v>JUL</v>
      </c>
    </row>
    <row r="306" spans="1:13" x14ac:dyDescent="0.25">
      <c r="A306" t="s">
        <v>8</v>
      </c>
      <c r="B306">
        <v>5500</v>
      </c>
      <c r="C306">
        <v>3</v>
      </c>
      <c r="D306" t="s">
        <v>38</v>
      </c>
      <c r="E306" t="s">
        <v>648</v>
      </c>
      <c r="F306" t="s">
        <v>892</v>
      </c>
      <c r="G306" t="s">
        <v>650</v>
      </c>
      <c r="H306">
        <v>28</v>
      </c>
      <c r="I306" t="s">
        <v>651</v>
      </c>
      <c r="J306">
        <v>16500</v>
      </c>
      <c r="K306" s="1">
        <v>44600</v>
      </c>
      <c r="L306">
        <v>2022</v>
      </c>
      <c r="M306" t="str">
        <f>UPPER(TEXT(_2020_2022[[#This Row],[Data da Venda]],"mmm"))</f>
        <v>FEV</v>
      </c>
    </row>
    <row r="307" spans="1:13" x14ac:dyDescent="0.25">
      <c r="A307" t="s">
        <v>8</v>
      </c>
      <c r="B307">
        <v>5500</v>
      </c>
      <c r="C307">
        <v>2</v>
      </c>
      <c r="D307" t="s">
        <v>40</v>
      </c>
      <c r="E307" t="s">
        <v>657</v>
      </c>
      <c r="F307" t="s">
        <v>790</v>
      </c>
      <c r="G307" t="s">
        <v>650</v>
      </c>
      <c r="H307">
        <v>36</v>
      </c>
      <c r="I307" t="s">
        <v>644</v>
      </c>
      <c r="J307">
        <v>11000</v>
      </c>
      <c r="K307" s="1">
        <v>44712</v>
      </c>
      <c r="L307">
        <v>2022</v>
      </c>
      <c r="M307" t="str">
        <f>UPPER(TEXT(_2020_2022[[#This Row],[Data da Venda]],"mmm"))</f>
        <v>MAI</v>
      </c>
    </row>
    <row r="308" spans="1:13" x14ac:dyDescent="0.25">
      <c r="A308" t="s">
        <v>9</v>
      </c>
      <c r="B308">
        <v>1500</v>
      </c>
      <c r="C308">
        <v>2</v>
      </c>
      <c r="D308" t="s">
        <v>34</v>
      </c>
      <c r="E308" t="s">
        <v>679</v>
      </c>
      <c r="F308" t="s">
        <v>903</v>
      </c>
      <c r="G308" t="s">
        <v>643</v>
      </c>
      <c r="H308">
        <v>45</v>
      </c>
      <c r="I308" t="s">
        <v>644</v>
      </c>
      <c r="J308">
        <v>3000</v>
      </c>
      <c r="K308" s="1">
        <v>44652</v>
      </c>
      <c r="L308">
        <v>2022</v>
      </c>
      <c r="M308" t="str">
        <f>UPPER(TEXT(_2020_2022[[#This Row],[Data da Venda]],"mmm"))</f>
        <v>ABR</v>
      </c>
    </row>
    <row r="309" spans="1:13" x14ac:dyDescent="0.25">
      <c r="A309" t="s">
        <v>9</v>
      </c>
      <c r="B309">
        <v>1500</v>
      </c>
      <c r="C309">
        <v>5</v>
      </c>
      <c r="D309" t="s">
        <v>33</v>
      </c>
      <c r="E309" t="s">
        <v>641</v>
      </c>
      <c r="F309" t="s">
        <v>904</v>
      </c>
      <c r="G309" t="s">
        <v>643</v>
      </c>
      <c r="H309">
        <v>54</v>
      </c>
      <c r="I309" t="s">
        <v>647</v>
      </c>
      <c r="J309">
        <v>7500</v>
      </c>
      <c r="K309" s="1">
        <v>44798</v>
      </c>
      <c r="L309">
        <v>2022</v>
      </c>
      <c r="M309" t="str">
        <f>UPPER(TEXT(_2020_2022[[#This Row],[Data da Venda]],"mmm"))</f>
        <v>AGO</v>
      </c>
    </row>
    <row r="310" spans="1:13" x14ac:dyDescent="0.25">
      <c r="A310" t="s">
        <v>26</v>
      </c>
      <c r="B310">
        <v>1100</v>
      </c>
      <c r="C310">
        <v>1</v>
      </c>
      <c r="D310" t="s">
        <v>31</v>
      </c>
      <c r="E310" t="s">
        <v>645</v>
      </c>
      <c r="F310" t="s">
        <v>905</v>
      </c>
      <c r="G310" t="s">
        <v>643</v>
      </c>
      <c r="H310">
        <v>40</v>
      </c>
      <c r="I310" t="s">
        <v>644</v>
      </c>
      <c r="J310">
        <v>1100</v>
      </c>
      <c r="K310" s="1">
        <v>44623</v>
      </c>
      <c r="L310">
        <v>2022</v>
      </c>
      <c r="M310" t="str">
        <f>UPPER(TEXT(_2020_2022[[#This Row],[Data da Venda]],"mmm"))</f>
        <v>MAR</v>
      </c>
    </row>
    <row r="311" spans="1:13" x14ac:dyDescent="0.25">
      <c r="A311" t="s">
        <v>1442</v>
      </c>
      <c r="B311">
        <v>1200</v>
      </c>
      <c r="C311">
        <v>4</v>
      </c>
      <c r="D311" t="s">
        <v>34</v>
      </c>
      <c r="E311" t="s">
        <v>679</v>
      </c>
      <c r="F311" t="s">
        <v>869</v>
      </c>
      <c r="G311" t="s">
        <v>650</v>
      </c>
      <c r="H311">
        <v>33</v>
      </c>
      <c r="I311" t="s">
        <v>644</v>
      </c>
      <c r="J311">
        <v>4800</v>
      </c>
      <c r="K311" s="1">
        <v>44657</v>
      </c>
      <c r="L311">
        <v>2022</v>
      </c>
      <c r="M311" t="str">
        <f>UPPER(TEXT(_2020_2022[[#This Row],[Data da Venda]],"mmm"))</f>
        <v>ABR</v>
      </c>
    </row>
    <row r="312" spans="1:13" x14ac:dyDescent="0.25">
      <c r="A312" t="s">
        <v>1441</v>
      </c>
      <c r="B312">
        <v>1450</v>
      </c>
      <c r="C312">
        <v>3</v>
      </c>
      <c r="D312" t="s">
        <v>30</v>
      </c>
      <c r="E312" t="s">
        <v>645</v>
      </c>
      <c r="F312" t="s">
        <v>765</v>
      </c>
      <c r="G312" t="s">
        <v>650</v>
      </c>
      <c r="H312">
        <v>73</v>
      </c>
      <c r="I312" t="s">
        <v>647</v>
      </c>
      <c r="J312">
        <v>4350</v>
      </c>
      <c r="K312" s="1">
        <v>44759</v>
      </c>
      <c r="L312">
        <v>2022</v>
      </c>
      <c r="M312" t="str">
        <f>UPPER(TEXT(_2020_2022[[#This Row],[Data da Venda]],"mmm"))</f>
        <v>JUL</v>
      </c>
    </row>
    <row r="313" spans="1:13" x14ac:dyDescent="0.25">
      <c r="A313" t="s">
        <v>28</v>
      </c>
      <c r="B313">
        <v>1400</v>
      </c>
      <c r="C313">
        <v>2</v>
      </c>
      <c r="D313" t="s">
        <v>34</v>
      </c>
      <c r="E313" t="s">
        <v>679</v>
      </c>
      <c r="F313" t="s">
        <v>906</v>
      </c>
      <c r="G313" t="s">
        <v>650</v>
      </c>
      <c r="H313">
        <v>58</v>
      </c>
      <c r="I313" t="s">
        <v>647</v>
      </c>
      <c r="J313">
        <v>2800</v>
      </c>
      <c r="K313" s="1">
        <v>44632</v>
      </c>
      <c r="L313">
        <v>2022</v>
      </c>
      <c r="M313" t="str">
        <f>UPPER(TEXT(_2020_2022[[#This Row],[Data da Venda]],"mmm"))</f>
        <v>MAR</v>
      </c>
    </row>
    <row r="314" spans="1:13" x14ac:dyDescent="0.25">
      <c r="A314" t="s">
        <v>7</v>
      </c>
      <c r="B314">
        <v>750</v>
      </c>
      <c r="C314">
        <v>2</v>
      </c>
      <c r="D314" t="s">
        <v>33</v>
      </c>
      <c r="E314" t="s">
        <v>641</v>
      </c>
      <c r="F314" t="s">
        <v>907</v>
      </c>
      <c r="G314" t="s">
        <v>650</v>
      </c>
      <c r="H314">
        <v>31</v>
      </c>
      <c r="I314" t="s">
        <v>644</v>
      </c>
      <c r="J314">
        <v>1500</v>
      </c>
      <c r="K314" s="1">
        <v>44623</v>
      </c>
      <c r="L314">
        <v>2022</v>
      </c>
      <c r="M314" t="str">
        <f>UPPER(TEXT(_2020_2022[[#This Row],[Data da Venda]],"mmm"))</f>
        <v>MAR</v>
      </c>
    </row>
    <row r="315" spans="1:13" x14ac:dyDescent="0.25">
      <c r="A315" t="s">
        <v>7</v>
      </c>
      <c r="B315">
        <v>750</v>
      </c>
      <c r="C315">
        <v>3</v>
      </c>
      <c r="D315" t="s">
        <v>41</v>
      </c>
      <c r="E315" t="s">
        <v>681</v>
      </c>
      <c r="F315" t="s">
        <v>908</v>
      </c>
      <c r="G315" t="s">
        <v>643</v>
      </c>
      <c r="H315">
        <v>40</v>
      </c>
      <c r="I315" t="s">
        <v>644</v>
      </c>
      <c r="J315">
        <v>2250</v>
      </c>
      <c r="K315" s="1">
        <v>44803</v>
      </c>
      <c r="L315">
        <v>2022</v>
      </c>
      <c r="M315" t="str">
        <f>UPPER(TEXT(_2020_2022[[#This Row],[Data da Venda]],"mmm"))</f>
        <v>AGO</v>
      </c>
    </row>
    <row r="316" spans="1:13" x14ac:dyDescent="0.25">
      <c r="A316" t="s">
        <v>9</v>
      </c>
      <c r="B316">
        <v>1500</v>
      </c>
      <c r="C316">
        <v>3</v>
      </c>
      <c r="D316" t="s">
        <v>36</v>
      </c>
      <c r="E316" t="s">
        <v>677</v>
      </c>
      <c r="F316" t="s">
        <v>900</v>
      </c>
      <c r="G316" t="s">
        <v>650</v>
      </c>
      <c r="H316">
        <v>32</v>
      </c>
      <c r="I316" t="s">
        <v>644</v>
      </c>
      <c r="J316">
        <v>4500</v>
      </c>
      <c r="K316" s="1">
        <v>44588</v>
      </c>
      <c r="L316">
        <v>2022</v>
      </c>
      <c r="M316" t="str">
        <f>UPPER(TEXT(_2020_2022[[#This Row],[Data da Venda]],"mmm"))</f>
        <v>JAN</v>
      </c>
    </row>
    <row r="317" spans="1:13" x14ac:dyDescent="0.25">
      <c r="A317" t="s">
        <v>1442</v>
      </c>
      <c r="B317">
        <v>1200</v>
      </c>
      <c r="C317">
        <v>3</v>
      </c>
      <c r="D317" t="s">
        <v>39</v>
      </c>
      <c r="E317" t="s">
        <v>641</v>
      </c>
      <c r="F317" t="s">
        <v>809</v>
      </c>
      <c r="G317" t="s">
        <v>643</v>
      </c>
      <c r="H317">
        <v>47</v>
      </c>
      <c r="I317" t="s">
        <v>644</v>
      </c>
      <c r="J317">
        <v>3600</v>
      </c>
      <c r="K317" s="1">
        <v>44903</v>
      </c>
      <c r="L317">
        <v>2022</v>
      </c>
      <c r="M317" t="str">
        <f>UPPER(TEXT(_2020_2022[[#This Row],[Data da Venda]],"mmm"))</f>
        <v>DEZ</v>
      </c>
    </row>
    <row r="318" spans="1:13" x14ac:dyDescent="0.25">
      <c r="A318" t="s">
        <v>21</v>
      </c>
      <c r="B318">
        <v>2400</v>
      </c>
      <c r="C318">
        <v>4</v>
      </c>
      <c r="D318" t="s">
        <v>32</v>
      </c>
      <c r="E318" t="s">
        <v>652</v>
      </c>
      <c r="F318" t="s">
        <v>909</v>
      </c>
      <c r="G318" t="s">
        <v>650</v>
      </c>
      <c r="H318">
        <v>67</v>
      </c>
      <c r="I318" t="s">
        <v>647</v>
      </c>
      <c r="J318">
        <v>9600</v>
      </c>
      <c r="K318" s="1">
        <v>44766</v>
      </c>
      <c r="L318">
        <v>2022</v>
      </c>
      <c r="M318" t="str">
        <f>UPPER(TEXT(_2020_2022[[#This Row],[Data da Venda]],"mmm"))</f>
        <v>JUL</v>
      </c>
    </row>
    <row r="319" spans="1:13" x14ac:dyDescent="0.25">
      <c r="A319" t="s">
        <v>16</v>
      </c>
      <c r="B319">
        <v>1400</v>
      </c>
      <c r="C319">
        <v>2</v>
      </c>
      <c r="D319" t="s">
        <v>40</v>
      </c>
      <c r="E319" t="s">
        <v>657</v>
      </c>
      <c r="F319" t="s">
        <v>910</v>
      </c>
      <c r="G319" t="s">
        <v>650</v>
      </c>
      <c r="H319">
        <v>76</v>
      </c>
      <c r="I319" t="s">
        <v>647</v>
      </c>
      <c r="J319">
        <v>2800</v>
      </c>
      <c r="K319" s="1">
        <v>44904</v>
      </c>
      <c r="L319">
        <v>2022</v>
      </c>
      <c r="M319" t="str">
        <f>UPPER(TEXT(_2020_2022[[#This Row],[Data da Venda]],"mmm"))</f>
        <v>DEZ</v>
      </c>
    </row>
    <row r="320" spans="1:13" x14ac:dyDescent="0.25">
      <c r="A320" t="s">
        <v>9</v>
      </c>
      <c r="B320">
        <v>1500</v>
      </c>
      <c r="C320">
        <v>3</v>
      </c>
      <c r="D320" t="s">
        <v>38</v>
      </c>
      <c r="E320" t="s">
        <v>648</v>
      </c>
      <c r="F320" t="s">
        <v>911</v>
      </c>
      <c r="G320" t="s">
        <v>650</v>
      </c>
      <c r="H320">
        <v>42</v>
      </c>
      <c r="I320" t="s">
        <v>644</v>
      </c>
      <c r="J320">
        <v>4500</v>
      </c>
      <c r="K320" s="1">
        <v>44607</v>
      </c>
      <c r="L320">
        <v>2022</v>
      </c>
      <c r="M320" t="str">
        <f>UPPER(TEXT(_2020_2022[[#This Row],[Data da Venda]],"mmm"))</f>
        <v>FEV</v>
      </c>
    </row>
    <row r="321" spans="1:13" x14ac:dyDescent="0.25">
      <c r="A321" t="s">
        <v>1445</v>
      </c>
      <c r="B321">
        <v>1500</v>
      </c>
      <c r="C321">
        <v>4</v>
      </c>
      <c r="D321" t="s">
        <v>29</v>
      </c>
      <c r="E321" t="s">
        <v>641</v>
      </c>
      <c r="F321" t="s">
        <v>912</v>
      </c>
      <c r="G321" t="s">
        <v>650</v>
      </c>
      <c r="H321">
        <v>39</v>
      </c>
      <c r="I321" t="s">
        <v>644</v>
      </c>
      <c r="J321">
        <v>6000</v>
      </c>
      <c r="K321" s="1">
        <v>44738</v>
      </c>
      <c r="L321">
        <v>2022</v>
      </c>
      <c r="M321" t="str">
        <f>UPPER(TEXT(_2020_2022[[#This Row],[Data da Venda]],"mmm"))</f>
        <v>JUN</v>
      </c>
    </row>
    <row r="322" spans="1:13" x14ac:dyDescent="0.25">
      <c r="A322" t="s">
        <v>1442</v>
      </c>
      <c r="B322">
        <v>1200</v>
      </c>
      <c r="C322">
        <v>1</v>
      </c>
      <c r="D322" t="s">
        <v>35</v>
      </c>
      <c r="E322" t="s">
        <v>666</v>
      </c>
      <c r="F322" t="s">
        <v>667</v>
      </c>
      <c r="G322" t="s">
        <v>643</v>
      </c>
      <c r="H322">
        <v>72</v>
      </c>
      <c r="I322" t="s">
        <v>647</v>
      </c>
      <c r="J322">
        <v>1200</v>
      </c>
      <c r="K322" s="1">
        <v>44687</v>
      </c>
      <c r="L322">
        <v>2022</v>
      </c>
      <c r="M322" t="str">
        <f>UPPER(TEXT(_2020_2022[[#This Row],[Data da Venda]],"mmm"))</f>
        <v>MAI</v>
      </c>
    </row>
    <row r="323" spans="1:13" x14ac:dyDescent="0.25">
      <c r="A323" t="s">
        <v>15</v>
      </c>
      <c r="B323">
        <v>1900</v>
      </c>
      <c r="C323">
        <v>5</v>
      </c>
      <c r="D323" t="s">
        <v>38</v>
      </c>
      <c r="E323" t="s">
        <v>648</v>
      </c>
      <c r="F323" t="s">
        <v>749</v>
      </c>
      <c r="G323" t="s">
        <v>650</v>
      </c>
      <c r="H323">
        <v>41</v>
      </c>
      <c r="I323" t="s">
        <v>644</v>
      </c>
      <c r="J323">
        <v>9500</v>
      </c>
      <c r="K323" s="1">
        <v>44914</v>
      </c>
      <c r="L323">
        <v>2022</v>
      </c>
      <c r="M323" t="str">
        <f>UPPER(TEXT(_2020_2022[[#This Row],[Data da Venda]],"mmm"))</f>
        <v>DEZ</v>
      </c>
    </row>
    <row r="324" spans="1:13" x14ac:dyDescent="0.25">
      <c r="A324" t="s">
        <v>1444</v>
      </c>
      <c r="B324">
        <v>1500</v>
      </c>
      <c r="C324">
        <v>3</v>
      </c>
      <c r="D324" t="s">
        <v>40</v>
      </c>
      <c r="E324" t="s">
        <v>657</v>
      </c>
      <c r="F324" t="s">
        <v>913</v>
      </c>
      <c r="G324" t="s">
        <v>650</v>
      </c>
      <c r="H324">
        <v>27</v>
      </c>
      <c r="I324" t="s">
        <v>651</v>
      </c>
      <c r="J324">
        <v>4500</v>
      </c>
      <c r="K324" s="1">
        <v>44802</v>
      </c>
      <c r="L324">
        <v>2022</v>
      </c>
      <c r="M324" t="str">
        <f>UPPER(TEXT(_2020_2022[[#This Row],[Data da Venda]],"mmm"))</f>
        <v>AGO</v>
      </c>
    </row>
    <row r="325" spans="1:13" x14ac:dyDescent="0.25">
      <c r="A325" t="s">
        <v>1445</v>
      </c>
      <c r="B325">
        <v>1500</v>
      </c>
      <c r="C325">
        <v>2</v>
      </c>
      <c r="D325" t="s">
        <v>37</v>
      </c>
      <c r="E325" t="s">
        <v>645</v>
      </c>
      <c r="F325" t="s">
        <v>646</v>
      </c>
      <c r="G325" t="s">
        <v>643</v>
      </c>
      <c r="H325">
        <v>64</v>
      </c>
      <c r="I325" t="s">
        <v>647</v>
      </c>
      <c r="J325">
        <v>3000</v>
      </c>
      <c r="K325" s="1">
        <v>44766</v>
      </c>
      <c r="L325">
        <v>2022</v>
      </c>
      <c r="M325" t="str">
        <f>UPPER(TEXT(_2020_2022[[#This Row],[Data da Venda]],"mmm"))</f>
        <v>JUL</v>
      </c>
    </row>
    <row r="326" spans="1:13" x14ac:dyDescent="0.25">
      <c r="A326" t="s">
        <v>25</v>
      </c>
      <c r="B326">
        <v>2500</v>
      </c>
      <c r="C326">
        <v>3</v>
      </c>
      <c r="D326" t="s">
        <v>41</v>
      </c>
      <c r="E326" t="s">
        <v>681</v>
      </c>
      <c r="F326" t="s">
        <v>914</v>
      </c>
      <c r="G326" t="s">
        <v>643</v>
      </c>
      <c r="H326">
        <v>55</v>
      </c>
      <c r="I326" t="s">
        <v>647</v>
      </c>
      <c r="J326">
        <v>7500</v>
      </c>
      <c r="K326" s="1">
        <v>44662</v>
      </c>
      <c r="L326">
        <v>2022</v>
      </c>
      <c r="M326" t="str">
        <f>UPPER(TEXT(_2020_2022[[#This Row],[Data da Venda]],"mmm"))</f>
        <v>ABR</v>
      </c>
    </row>
    <row r="327" spans="1:13" x14ac:dyDescent="0.25">
      <c r="A327" t="s">
        <v>8</v>
      </c>
      <c r="B327">
        <v>5500</v>
      </c>
      <c r="C327">
        <v>3</v>
      </c>
      <c r="D327" t="s">
        <v>30</v>
      </c>
      <c r="E327" t="s">
        <v>645</v>
      </c>
      <c r="F327" t="s">
        <v>915</v>
      </c>
      <c r="G327" t="s">
        <v>643</v>
      </c>
      <c r="H327">
        <v>54</v>
      </c>
      <c r="I327" t="s">
        <v>647</v>
      </c>
      <c r="J327">
        <v>16500</v>
      </c>
      <c r="K327" s="1">
        <v>44897</v>
      </c>
      <c r="L327">
        <v>2022</v>
      </c>
      <c r="M327" t="str">
        <f>UPPER(TEXT(_2020_2022[[#This Row],[Data da Venda]],"mmm"))</f>
        <v>DEZ</v>
      </c>
    </row>
    <row r="328" spans="1:13" x14ac:dyDescent="0.25">
      <c r="A328" t="s">
        <v>15</v>
      </c>
      <c r="B328">
        <v>1900</v>
      </c>
      <c r="C328">
        <v>1</v>
      </c>
      <c r="D328" t="s">
        <v>29</v>
      </c>
      <c r="E328" t="s">
        <v>641</v>
      </c>
      <c r="F328" t="s">
        <v>916</v>
      </c>
      <c r="G328" t="s">
        <v>643</v>
      </c>
      <c r="H328">
        <v>57</v>
      </c>
      <c r="I328" t="s">
        <v>647</v>
      </c>
      <c r="J328">
        <v>1900</v>
      </c>
      <c r="K328" s="1">
        <v>44898</v>
      </c>
      <c r="L328">
        <v>2022</v>
      </c>
      <c r="M328" t="str">
        <f>UPPER(TEXT(_2020_2022[[#This Row],[Data da Venda]],"mmm"))</f>
        <v>DEZ</v>
      </c>
    </row>
    <row r="329" spans="1:13" x14ac:dyDescent="0.25">
      <c r="A329" t="s">
        <v>12</v>
      </c>
      <c r="B329">
        <v>6500</v>
      </c>
      <c r="C329">
        <v>1</v>
      </c>
      <c r="D329" t="s">
        <v>33</v>
      </c>
      <c r="E329" t="s">
        <v>641</v>
      </c>
      <c r="F329" t="s">
        <v>917</v>
      </c>
      <c r="G329" t="s">
        <v>643</v>
      </c>
      <c r="H329">
        <v>45</v>
      </c>
      <c r="I329" t="s">
        <v>644</v>
      </c>
      <c r="J329">
        <v>6500</v>
      </c>
      <c r="K329" s="1">
        <v>44670</v>
      </c>
      <c r="L329">
        <v>2022</v>
      </c>
      <c r="M329" t="str">
        <f>UPPER(TEXT(_2020_2022[[#This Row],[Data da Venda]],"mmm"))</f>
        <v>ABR</v>
      </c>
    </row>
    <row r="330" spans="1:13" x14ac:dyDescent="0.25">
      <c r="A330" t="s">
        <v>21</v>
      </c>
      <c r="B330">
        <v>2400</v>
      </c>
      <c r="C330">
        <v>5</v>
      </c>
      <c r="D330" t="s">
        <v>29</v>
      </c>
      <c r="E330" t="s">
        <v>641</v>
      </c>
      <c r="F330" t="s">
        <v>887</v>
      </c>
      <c r="G330" t="s">
        <v>650</v>
      </c>
      <c r="H330">
        <v>41</v>
      </c>
      <c r="I330" t="s">
        <v>644</v>
      </c>
      <c r="J330">
        <v>12000</v>
      </c>
      <c r="K330" s="1">
        <v>44634</v>
      </c>
      <c r="L330">
        <v>2022</v>
      </c>
      <c r="M330" t="str">
        <f>UPPER(TEXT(_2020_2022[[#This Row],[Data da Venda]],"mmm"))</f>
        <v>MAR</v>
      </c>
    </row>
    <row r="331" spans="1:13" x14ac:dyDescent="0.25">
      <c r="A331" t="s">
        <v>14</v>
      </c>
      <c r="B331">
        <v>2000</v>
      </c>
      <c r="C331">
        <v>1</v>
      </c>
      <c r="D331" t="s">
        <v>29</v>
      </c>
      <c r="E331" t="s">
        <v>641</v>
      </c>
      <c r="F331" t="s">
        <v>918</v>
      </c>
      <c r="G331" t="s">
        <v>650</v>
      </c>
      <c r="H331">
        <v>74</v>
      </c>
      <c r="I331" t="s">
        <v>647</v>
      </c>
      <c r="J331">
        <v>2000</v>
      </c>
      <c r="K331" s="1">
        <v>44855</v>
      </c>
      <c r="L331">
        <v>2022</v>
      </c>
      <c r="M331" t="str">
        <f>UPPER(TEXT(_2020_2022[[#This Row],[Data da Venda]],"mmm"))</f>
        <v>OUT</v>
      </c>
    </row>
    <row r="332" spans="1:13" x14ac:dyDescent="0.25">
      <c r="A332" t="s">
        <v>25</v>
      </c>
      <c r="B332">
        <v>2500</v>
      </c>
      <c r="C332">
        <v>2</v>
      </c>
      <c r="D332" t="s">
        <v>29</v>
      </c>
      <c r="E332" t="s">
        <v>641</v>
      </c>
      <c r="F332" t="s">
        <v>919</v>
      </c>
      <c r="G332" t="s">
        <v>643</v>
      </c>
      <c r="H332">
        <v>45</v>
      </c>
      <c r="I332" t="s">
        <v>644</v>
      </c>
      <c r="J332">
        <v>5000</v>
      </c>
      <c r="K332" s="1">
        <v>44590</v>
      </c>
      <c r="L332">
        <v>2022</v>
      </c>
      <c r="M332" t="str">
        <f>UPPER(TEXT(_2020_2022[[#This Row],[Data da Venda]],"mmm"))</f>
        <v>JAN</v>
      </c>
    </row>
    <row r="333" spans="1:13" x14ac:dyDescent="0.25">
      <c r="A333" t="s">
        <v>26</v>
      </c>
      <c r="B333">
        <v>1100</v>
      </c>
      <c r="C333">
        <v>4</v>
      </c>
      <c r="D333" t="s">
        <v>40</v>
      </c>
      <c r="E333" t="s">
        <v>657</v>
      </c>
      <c r="F333" t="s">
        <v>920</v>
      </c>
      <c r="G333" t="s">
        <v>650</v>
      </c>
      <c r="H333">
        <v>27</v>
      </c>
      <c r="I333" t="s">
        <v>651</v>
      </c>
      <c r="J333">
        <v>4400</v>
      </c>
      <c r="K333" s="1">
        <v>44748</v>
      </c>
      <c r="L333">
        <v>2022</v>
      </c>
      <c r="M333" t="str">
        <f>UPPER(TEXT(_2020_2022[[#This Row],[Data da Venda]],"mmm"))</f>
        <v>JUL</v>
      </c>
    </row>
    <row r="334" spans="1:13" x14ac:dyDescent="0.25">
      <c r="A334" t="s">
        <v>1441</v>
      </c>
      <c r="B334">
        <v>1450</v>
      </c>
      <c r="C334">
        <v>1</v>
      </c>
      <c r="D334" t="s">
        <v>30</v>
      </c>
      <c r="E334" t="s">
        <v>645</v>
      </c>
      <c r="F334" t="s">
        <v>921</v>
      </c>
      <c r="G334" t="s">
        <v>643</v>
      </c>
      <c r="H334">
        <v>49</v>
      </c>
      <c r="I334" t="s">
        <v>644</v>
      </c>
      <c r="J334">
        <v>1450</v>
      </c>
      <c r="K334" s="1">
        <v>44575</v>
      </c>
      <c r="L334">
        <v>2022</v>
      </c>
      <c r="M334" t="str">
        <f>UPPER(TEXT(_2020_2022[[#This Row],[Data da Venda]],"mmm"))</f>
        <v>JAN</v>
      </c>
    </row>
    <row r="335" spans="1:13" x14ac:dyDescent="0.25">
      <c r="A335" t="s">
        <v>26</v>
      </c>
      <c r="B335">
        <v>1100</v>
      </c>
      <c r="C335">
        <v>4</v>
      </c>
      <c r="D335" t="s">
        <v>29</v>
      </c>
      <c r="E335" t="s">
        <v>641</v>
      </c>
      <c r="F335" t="s">
        <v>711</v>
      </c>
      <c r="G335" t="s">
        <v>650</v>
      </c>
      <c r="H335">
        <v>55</v>
      </c>
      <c r="I335" t="s">
        <v>647</v>
      </c>
      <c r="J335">
        <v>4400</v>
      </c>
      <c r="K335" s="1">
        <v>44700</v>
      </c>
      <c r="L335">
        <v>2022</v>
      </c>
      <c r="M335" t="str">
        <f>UPPER(TEXT(_2020_2022[[#This Row],[Data da Venda]],"mmm"))</f>
        <v>MAI</v>
      </c>
    </row>
    <row r="336" spans="1:13" x14ac:dyDescent="0.25">
      <c r="A336" t="s">
        <v>22</v>
      </c>
      <c r="B336">
        <v>5200</v>
      </c>
      <c r="C336">
        <v>5</v>
      </c>
      <c r="D336" t="s">
        <v>38</v>
      </c>
      <c r="E336" t="s">
        <v>648</v>
      </c>
      <c r="F336" t="s">
        <v>922</v>
      </c>
      <c r="G336" t="s">
        <v>650</v>
      </c>
      <c r="H336">
        <v>50</v>
      </c>
      <c r="I336" t="s">
        <v>644</v>
      </c>
      <c r="J336">
        <v>26000</v>
      </c>
      <c r="K336" s="1">
        <v>44837</v>
      </c>
      <c r="L336">
        <v>2022</v>
      </c>
      <c r="M336" t="str">
        <f>UPPER(TEXT(_2020_2022[[#This Row],[Data da Venda]],"mmm"))</f>
        <v>OUT</v>
      </c>
    </row>
    <row r="337" spans="1:13" x14ac:dyDescent="0.25">
      <c r="A337" t="s">
        <v>1444</v>
      </c>
      <c r="B337">
        <v>1500</v>
      </c>
      <c r="C337">
        <v>2</v>
      </c>
      <c r="D337" t="s">
        <v>31</v>
      </c>
      <c r="E337" t="s">
        <v>645</v>
      </c>
      <c r="F337" t="s">
        <v>923</v>
      </c>
      <c r="G337" t="s">
        <v>650</v>
      </c>
      <c r="H337">
        <v>57</v>
      </c>
      <c r="I337" t="s">
        <v>647</v>
      </c>
      <c r="J337">
        <v>3000</v>
      </c>
      <c r="K337" s="1">
        <v>44667</v>
      </c>
      <c r="L337">
        <v>2022</v>
      </c>
      <c r="M337" t="str">
        <f>UPPER(TEXT(_2020_2022[[#This Row],[Data da Venda]],"mmm"))</f>
        <v>ABR</v>
      </c>
    </row>
    <row r="338" spans="1:13" x14ac:dyDescent="0.25">
      <c r="A338" t="s">
        <v>1442</v>
      </c>
      <c r="B338">
        <v>1200</v>
      </c>
      <c r="C338">
        <v>2</v>
      </c>
      <c r="D338" t="s">
        <v>37</v>
      </c>
      <c r="E338" t="s">
        <v>645</v>
      </c>
      <c r="F338" t="s">
        <v>870</v>
      </c>
      <c r="G338" t="s">
        <v>643</v>
      </c>
      <c r="H338">
        <v>40</v>
      </c>
      <c r="I338" t="s">
        <v>644</v>
      </c>
      <c r="J338">
        <v>2400</v>
      </c>
      <c r="K338" s="1">
        <v>44687</v>
      </c>
      <c r="L338">
        <v>2022</v>
      </c>
      <c r="M338" t="str">
        <f>UPPER(TEXT(_2020_2022[[#This Row],[Data da Venda]],"mmm"))</f>
        <v>MAI</v>
      </c>
    </row>
    <row r="339" spans="1:13" x14ac:dyDescent="0.25">
      <c r="A339" t="s">
        <v>21</v>
      </c>
      <c r="B339">
        <v>2400</v>
      </c>
      <c r="C339">
        <v>5</v>
      </c>
      <c r="D339" t="s">
        <v>32</v>
      </c>
      <c r="E339" t="s">
        <v>652</v>
      </c>
      <c r="F339" t="s">
        <v>719</v>
      </c>
      <c r="G339" t="s">
        <v>643</v>
      </c>
      <c r="H339">
        <v>34</v>
      </c>
      <c r="I339" t="s">
        <v>644</v>
      </c>
      <c r="J339">
        <v>12000</v>
      </c>
      <c r="K339" s="1">
        <v>44749</v>
      </c>
      <c r="L339">
        <v>2022</v>
      </c>
      <c r="M339" t="str">
        <f>UPPER(TEXT(_2020_2022[[#This Row],[Data da Venda]],"mmm"))</f>
        <v>JUL</v>
      </c>
    </row>
    <row r="340" spans="1:13" x14ac:dyDescent="0.25">
      <c r="A340" t="s">
        <v>21</v>
      </c>
      <c r="B340">
        <v>2400</v>
      </c>
      <c r="C340">
        <v>3</v>
      </c>
      <c r="D340" t="s">
        <v>29</v>
      </c>
      <c r="E340" t="s">
        <v>641</v>
      </c>
      <c r="F340" t="s">
        <v>924</v>
      </c>
      <c r="G340" t="s">
        <v>643</v>
      </c>
      <c r="H340">
        <v>57</v>
      </c>
      <c r="I340" t="s">
        <v>647</v>
      </c>
      <c r="J340">
        <v>7200</v>
      </c>
      <c r="K340" s="1">
        <v>44600</v>
      </c>
      <c r="L340">
        <v>2022</v>
      </c>
      <c r="M340" t="str">
        <f>UPPER(TEXT(_2020_2022[[#This Row],[Data da Venda]],"mmm"))</f>
        <v>FEV</v>
      </c>
    </row>
    <row r="341" spans="1:13" x14ac:dyDescent="0.25">
      <c r="A341" t="s">
        <v>13</v>
      </c>
      <c r="B341">
        <v>2300</v>
      </c>
      <c r="C341">
        <v>3</v>
      </c>
      <c r="D341" t="s">
        <v>29</v>
      </c>
      <c r="E341" t="s">
        <v>641</v>
      </c>
      <c r="F341" t="s">
        <v>925</v>
      </c>
      <c r="G341" t="s">
        <v>643</v>
      </c>
      <c r="H341">
        <v>72</v>
      </c>
      <c r="I341" t="s">
        <v>647</v>
      </c>
      <c r="J341">
        <v>6900</v>
      </c>
      <c r="K341" s="1">
        <v>44883</v>
      </c>
      <c r="L341">
        <v>2022</v>
      </c>
      <c r="M341" t="str">
        <f>UPPER(TEXT(_2020_2022[[#This Row],[Data da Venda]],"mmm"))</f>
        <v>NOV</v>
      </c>
    </row>
    <row r="342" spans="1:13" x14ac:dyDescent="0.25">
      <c r="A342" t="s">
        <v>14</v>
      </c>
      <c r="B342">
        <v>2000</v>
      </c>
      <c r="C342">
        <v>2</v>
      </c>
      <c r="D342" t="s">
        <v>40</v>
      </c>
      <c r="E342" t="s">
        <v>657</v>
      </c>
      <c r="F342" t="s">
        <v>926</v>
      </c>
      <c r="G342" t="s">
        <v>643</v>
      </c>
      <c r="H342">
        <v>50</v>
      </c>
      <c r="I342" t="s">
        <v>644</v>
      </c>
      <c r="J342">
        <v>4000</v>
      </c>
      <c r="K342" s="1">
        <v>44922</v>
      </c>
      <c r="L342">
        <v>2022</v>
      </c>
      <c r="M342" t="str">
        <f>UPPER(TEXT(_2020_2022[[#This Row],[Data da Venda]],"mmm"))</f>
        <v>DEZ</v>
      </c>
    </row>
    <row r="343" spans="1:13" x14ac:dyDescent="0.25">
      <c r="A343" t="s">
        <v>1441</v>
      </c>
      <c r="B343">
        <v>1450</v>
      </c>
      <c r="C343">
        <v>4</v>
      </c>
      <c r="D343" t="s">
        <v>29</v>
      </c>
      <c r="E343" t="s">
        <v>641</v>
      </c>
      <c r="F343" t="s">
        <v>720</v>
      </c>
      <c r="G343" t="s">
        <v>650</v>
      </c>
      <c r="H343">
        <v>57</v>
      </c>
      <c r="I343" t="s">
        <v>647</v>
      </c>
      <c r="J343">
        <v>5800</v>
      </c>
      <c r="K343" s="1">
        <v>44610</v>
      </c>
      <c r="L343">
        <v>2022</v>
      </c>
      <c r="M343" t="str">
        <f>UPPER(TEXT(_2020_2022[[#This Row],[Data da Venda]],"mmm"))</f>
        <v>FEV</v>
      </c>
    </row>
    <row r="344" spans="1:13" x14ac:dyDescent="0.25">
      <c r="A344" t="s">
        <v>22</v>
      </c>
      <c r="B344">
        <v>5200</v>
      </c>
      <c r="C344">
        <v>1</v>
      </c>
      <c r="D344" t="s">
        <v>33</v>
      </c>
      <c r="E344" t="s">
        <v>641</v>
      </c>
      <c r="F344" t="s">
        <v>854</v>
      </c>
      <c r="G344" t="s">
        <v>643</v>
      </c>
      <c r="H344">
        <v>46</v>
      </c>
      <c r="I344" t="s">
        <v>644</v>
      </c>
      <c r="J344">
        <v>5200</v>
      </c>
      <c r="K344" s="1">
        <v>44835</v>
      </c>
      <c r="L344">
        <v>2022</v>
      </c>
      <c r="M344" t="str">
        <f>UPPER(TEXT(_2020_2022[[#This Row],[Data da Venda]],"mmm"))</f>
        <v>OUT</v>
      </c>
    </row>
    <row r="345" spans="1:13" x14ac:dyDescent="0.25">
      <c r="A345" t="s">
        <v>1441</v>
      </c>
      <c r="B345">
        <v>1450</v>
      </c>
      <c r="C345">
        <v>1</v>
      </c>
      <c r="D345" t="s">
        <v>34</v>
      </c>
      <c r="E345" t="s">
        <v>679</v>
      </c>
      <c r="F345" t="s">
        <v>927</v>
      </c>
      <c r="G345" t="s">
        <v>650</v>
      </c>
      <c r="H345">
        <v>48</v>
      </c>
      <c r="I345" t="s">
        <v>644</v>
      </c>
      <c r="J345">
        <v>1450</v>
      </c>
      <c r="K345" s="1">
        <v>44791</v>
      </c>
      <c r="L345">
        <v>2022</v>
      </c>
      <c r="M345" t="str">
        <f>UPPER(TEXT(_2020_2022[[#This Row],[Data da Venda]],"mmm"))</f>
        <v>AGO</v>
      </c>
    </row>
    <row r="346" spans="1:13" x14ac:dyDescent="0.25">
      <c r="A346" t="s">
        <v>1441</v>
      </c>
      <c r="B346">
        <v>1450</v>
      </c>
      <c r="C346">
        <v>4</v>
      </c>
      <c r="D346" t="s">
        <v>32</v>
      </c>
      <c r="E346" t="s">
        <v>652</v>
      </c>
      <c r="F346" t="s">
        <v>745</v>
      </c>
      <c r="G346" t="s">
        <v>650</v>
      </c>
      <c r="H346">
        <v>64</v>
      </c>
      <c r="I346" t="s">
        <v>647</v>
      </c>
      <c r="J346">
        <v>5800</v>
      </c>
      <c r="K346" s="1">
        <v>44885</v>
      </c>
      <c r="L346">
        <v>2022</v>
      </c>
      <c r="M346" t="str">
        <f>UPPER(TEXT(_2020_2022[[#This Row],[Data da Venda]],"mmm"))</f>
        <v>NOV</v>
      </c>
    </row>
    <row r="347" spans="1:13" x14ac:dyDescent="0.25">
      <c r="A347" t="s">
        <v>18</v>
      </c>
      <c r="B347">
        <v>3000</v>
      </c>
      <c r="C347">
        <v>1</v>
      </c>
      <c r="D347" t="s">
        <v>29</v>
      </c>
      <c r="E347" t="s">
        <v>641</v>
      </c>
      <c r="F347" t="s">
        <v>928</v>
      </c>
      <c r="G347" t="s">
        <v>650</v>
      </c>
      <c r="H347">
        <v>73</v>
      </c>
      <c r="I347" t="s">
        <v>647</v>
      </c>
      <c r="J347">
        <v>3000</v>
      </c>
      <c r="K347" s="1">
        <v>44648</v>
      </c>
      <c r="L347">
        <v>2022</v>
      </c>
      <c r="M347" t="str">
        <f>UPPER(TEXT(_2020_2022[[#This Row],[Data da Venda]],"mmm"))</f>
        <v>MAR</v>
      </c>
    </row>
    <row r="348" spans="1:13" x14ac:dyDescent="0.25">
      <c r="A348" t="s">
        <v>16</v>
      </c>
      <c r="B348">
        <v>1400</v>
      </c>
      <c r="C348">
        <v>1</v>
      </c>
      <c r="D348" t="s">
        <v>34</v>
      </c>
      <c r="E348" t="s">
        <v>679</v>
      </c>
      <c r="F348" t="s">
        <v>929</v>
      </c>
      <c r="G348" t="s">
        <v>643</v>
      </c>
      <c r="H348">
        <v>69</v>
      </c>
      <c r="I348" t="s">
        <v>647</v>
      </c>
      <c r="J348">
        <v>1400</v>
      </c>
      <c r="K348" s="1">
        <v>44698</v>
      </c>
      <c r="L348">
        <v>2022</v>
      </c>
      <c r="M348" t="str">
        <f>UPPER(TEXT(_2020_2022[[#This Row],[Data da Venda]],"mmm"))</f>
        <v>MAI</v>
      </c>
    </row>
    <row r="349" spans="1:13" x14ac:dyDescent="0.25">
      <c r="A349" t="s">
        <v>1442</v>
      </c>
      <c r="B349">
        <v>1200</v>
      </c>
      <c r="C349">
        <v>4</v>
      </c>
      <c r="D349" t="s">
        <v>34</v>
      </c>
      <c r="E349" t="s">
        <v>679</v>
      </c>
      <c r="F349" t="s">
        <v>930</v>
      </c>
      <c r="G349" t="s">
        <v>643</v>
      </c>
      <c r="H349">
        <v>71</v>
      </c>
      <c r="I349" t="s">
        <v>647</v>
      </c>
      <c r="J349">
        <v>4800</v>
      </c>
      <c r="K349" s="1">
        <v>44828</v>
      </c>
      <c r="L349">
        <v>2022</v>
      </c>
      <c r="M349" t="str">
        <f>UPPER(TEXT(_2020_2022[[#This Row],[Data da Venda]],"mmm"))</f>
        <v>SET</v>
      </c>
    </row>
    <row r="350" spans="1:13" x14ac:dyDescent="0.25">
      <c r="A350" t="s">
        <v>7</v>
      </c>
      <c r="B350">
        <v>750</v>
      </c>
      <c r="C350">
        <v>2</v>
      </c>
      <c r="D350" t="s">
        <v>38</v>
      </c>
      <c r="E350" t="s">
        <v>648</v>
      </c>
      <c r="F350" t="s">
        <v>931</v>
      </c>
      <c r="G350" t="s">
        <v>650</v>
      </c>
      <c r="H350">
        <v>54</v>
      </c>
      <c r="I350" t="s">
        <v>647</v>
      </c>
      <c r="J350">
        <v>1500</v>
      </c>
      <c r="K350" s="1">
        <v>44860</v>
      </c>
      <c r="L350">
        <v>2022</v>
      </c>
      <c r="M350" t="str">
        <f>UPPER(TEXT(_2020_2022[[#This Row],[Data da Venda]],"mmm"))</f>
        <v>OUT</v>
      </c>
    </row>
    <row r="351" spans="1:13" x14ac:dyDescent="0.25">
      <c r="A351" t="s">
        <v>21</v>
      </c>
      <c r="B351">
        <v>2400</v>
      </c>
      <c r="C351">
        <v>1</v>
      </c>
      <c r="D351" t="s">
        <v>36</v>
      </c>
      <c r="E351" t="s">
        <v>677</v>
      </c>
      <c r="F351" t="s">
        <v>856</v>
      </c>
      <c r="G351" t="s">
        <v>643</v>
      </c>
      <c r="H351">
        <v>76</v>
      </c>
      <c r="I351" t="s">
        <v>647</v>
      </c>
      <c r="J351">
        <v>2400</v>
      </c>
      <c r="K351" s="1">
        <v>44784</v>
      </c>
      <c r="L351">
        <v>2022</v>
      </c>
      <c r="M351" t="str">
        <f>UPPER(TEXT(_2020_2022[[#This Row],[Data da Venda]],"mmm"))</f>
        <v>AGO</v>
      </c>
    </row>
    <row r="352" spans="1:13" x14ac:dyDescent="0.25">
      <c r="A352" t="s">
        <v>22</v>
      </c>
      <c r="B352">
        <v>5200</v>
      </c>
      <c r="C352">
        <v>5</v>
      </c>
      <c r="D352" t="s">
        <v>40</v>
      </c>
      <c r="E352" t="s">
        <v>657</v>
      </c>
      <c r="F352" t="s">
        <v>932</v>
      </c>
      <c r="G352" t="s">
        <v>643</v>
      </c>
      <c r="H352">
        <v>37</v>
      </c>
      <c r="I352" t="s">
        <v>644</v>
      </c>
      <c r="J352">
        <v>26000</v>
      </c>
      <c r="K352" s="1">
        <v>44637</v>
      </c>
      <c r="L352">
        <v>2022</v>
      </c>
      <c r="M352" t="str">
        <f>UPPER(TEXT(_2020_2022[[#This Row],[Data da Venda]],"mmm"))</f>
        <v>MAR</v>
      </c>
    </row>
    <row r="353" spans="1:13" x14ac:dyDescent="0.25">
      <c r="A353" t="s">
        <v>1442</v>
      </c>
      <c r="B353">
        <v>1200</v>
      </c>
      <c r="C353">
        <v>1</v>
      </c>
      <c r="D353" t="s">
        <v>36</v>
      </c>
      <c r="E353" t="s">
        <v>677</v>
      </c>
      <c r="F353" t="s">
        <v>933</v>
      </c>
      <c r="G353" t="s">
        <v>650</v>
      </c>
      <c r="H353">
        <v>74</v>
      </c>
      <c r="I353" t="s">
        <v>647</v>
      </c>
      <c r="J353">
        <v>1200</v>
      </c>
      <c r="K353" s="1">
        <v>44663</v>
      </c>
      <c r="L353">
        <v>2022</v>
      </c>
      <c r="M353" t="str">
        <f>UPPER(TEXT(_2020_2022[[#This Row],[Data da Venda]],"mmm"))</f>
        <v>ABR</v>
      </c>
    </row>
    <row r="354" spans="1:13" x14ac:dyDescent="0.25">
      <c r="A354" t="s">
        <v>13</v>
      </c>
      <c r="B354">
        <v>2300</v>
      </c>
      <c r="C354">
        <v>1</v>
      </c>
      <c r="D354" t="s">
        <v>32</v>
      </c>
      <c r="E354" t="s">
        <v>652</v>
      </c>
      <c r="F354" t="s">
        <v>934</v>
      </c>
      <c r="G354" t="s">
        <v>643</v>
      </c>
      <c r="H354">
        <v>67</v>
      </c>
      <c r="I354" t="s">
        <v>647</v>
      </c>
      <c r="J354">
        <v>2300</v>
      </c>
      <c r="K354" s="1">
        <v>44792</v>
      </c>
      <c r="L354">
        <v>2022</v>
      </c>
      <c r="M354" t="str">
        <f>UPPER(TEXT(_2020_2022[[#This Row],[Data da Venda]],"mmm"))</f>
        <v>AGO</v>
      </c>
    </row>
    <row r="355" spans="1:13" x14ac:dyDescent="0.25">
      <c r="A355" t="s">
        <v>1444</v>
      </c>
      <c r="B355">
        <v>1500</v>
      </c>
      <c r="C355">
        <v>2</v>
      </c>
      <c r="D355" t="s">
        <v>38</v>
      </c>
      <c r="E355" t="s">
        <v>648</v>
      </c>
      <c r="F355" t="s">
        <v>935</v>
      </c>
      <c r="G355" t="s">
        <v>643</v>
      </c>
      <c r="H355">
        <v>47</v>
      </c>
      <c r="I355" t="s">
        <v>644</v>
      </c>
      <c r="J355">
        <v>3000</v>
      </c>
      <c r="K355" s="1">
        <v>44581</v>
      </c>
      <c r="L355">
        <v>2022</v>
      </c>
      <c r="M355" t="str">
        <f>UPPER(TEXT(_2020_2022[[#This Row],[Data da Venda]],"mmm"))</f>
        <v>JAN</v>
      </c>
    </row>
    <row r="356" spans="1:13" x14ac:dyDescent="0.25">
      <c r="A356" t="s">
        <v>5</v>
      </c>
      <c r="B356">
        <v>1750</v>
      </c>
      <c r="C356">
        <v>5</v>
      </c>
      <c r="D356" t="s">
        <v>36</v>
      </c>
      <c r="E356" t="s">
        <v>677</v>
      </c>
      <c r="F356" t="s">
        <v>900</v>
      </c>
      <c r="G356" t="s">
        <v>650</v>
      </c>
      <c r="H356">
        <v>32</v>
      </c>
      <c r="I356" t="s">
        <v>644</v>
      </c>
      <c r="J356">
        <v>8750</v>
      </c>
      <c r="K356" s="1">
        <v>44639</v>
      </c>
      <c r="L356">
        <v>2022</v>
      </c>
      <c r="M356" t="str">
        <f>UPPER(TEXT(_2020_2022[[#This Row],[Data da Venda]],"mmm"))</f>
        <v>MAR</v>
      </c>
    </row>
    <row r="357" spans="1:13" x14ac:dyDescent="0.25">
      <c r="A357" t="s">
        <v>7</v>
      </c>
      <c r="B357">
        <v>750</v>
      </c>
      <c r="C357">
        <v>4</v>
      </c>
      <c r="D357" t="s">
        <v>36</v>
      </c>
      <c r="E357" t="s">
        <v>677</v>
      </c>
      <c r="F357" t="s">
        <v>936</v>
      </c>
      <c r="G357" t="s">
        <v>643</v>
      </c>
      <c r="H357">
        <v>35</v>
      </c>
      <c r="I357" t="s">
        <v>644</v>
      </c>
      <c r="J357">
        <v>3000</v>
      </c>
      <c r="K357" s="1">
        <v>44700</v>
      </c>
      <c r="L357">
        <v>2022</v>
      </c>
      <c r="M357" t="str">
        <f>UPPER(TEXT(_2020_2022[[#This Row],[Data da Venda]],"mmm"))</f>
        <v>MAI</v>
      </c>
    </row>
    <row r="358" spans="1:13" x14ac:dyDescent="0.25">
      <c r="A358" t="s">
        <v>1442</v>
      </c>
      <c r="B358">
        <v>1200</v>
      </c>
      <c r="C358">
        <v>1</v>
      </c>
      <c r="D358" t="s">
        <v>36</v>
      </c>
      <c r="E358" t="s">
        <v>677</v>
      </c>
      <c r="F358" t="s">
        <v>937</v>
      </c>
      <c r="G358" t="s">
        <v>650</v>
      </c>
      <c r="H358">
        <v>39</v>
      </c>
      <c r="I358" t="s">
        <v>644</v>
      </c>
      <c r="J358">
        <v>1200</v>
      </c>
      <c r="K358" s="1">
        <v>44600</v>
      </c>
      <c r="L358">
        <v>2022</v>
      </c>
      <c r="M358" t="str">
        <f>UPPER(TEXT(_2020_2022[[#This Row],[Data da Venda]],"mmm"))</f>
        <v>FEV</v>
      </c>
    </row>
    <row r="359" spans="1:13" x14ac:dyDescent="0.25">
      <c r="A359" t="s">
        <v>8</v>
      </c>
      <c r="B359">
        <v>5500</v>
      </c>
      <c r="C359">
        <v>3</v>
      </c>
      <c r="D359" t="s">
        <v>35</v>
      </c>
      <c r="E359" t="s">
        <v>666</v>
      </c>
      <c r="F359" t="s">
        <v>672</v>
      </c>
      <c r="G359" t="s">
        <v>643</v>
      </c>
      <c r="H359">
        <v>43</v>
      </c>
      <c r="I359" t="s">
        <v>644</v>
      </c>
      <c r="J359">
        <v>16500</v>
      </c>
      <c r="K359" s="1">
        <v>44811</v>
      </c>
      <c r="L359">
        <v>2022</v>
      </c>
      <c r="M359" t="str">
        <f>UPPER(TEXT(_2020_2022[[#This Row],[Data da Venda]],"mmm"))</f>
        <v>SET</v>
      </c>
    </row>
    <row r="360" spans="1:13" x14ac:dyDescent="0.25">
      <c r="A360" t="s">
        <v>26</v>
      </c>
      <c r="B360">
        <v>1100</v>
      </c>
      <c r="C360">
        <v>4</v>
      </c>
      <c r="D360" t="s">
        <v>29</v>
      </c>
      <c r="E360" t="s">
        <v>641</v>
      </c>
      <c r="F360" t="s">
        <v>787</v>
      </c>
      <c r="G360" t="s">
        <v>650</v>
      </c>
      <c r="H360">
        <v>68</v>
      </c>
      <c r="I360" t="s">
        <v>647</v>
      </c>
      <c r="J360">
        <v>4400</v>
      </c>
      <c r="K360" s="1">
        <v>44646</v>
      </c>
      <c r="L360">
        <v>2022</v>
      </c>
      <c r="M360" t="str">
        <f>UPPER(TEXT(_2020_2022[[#This Row],[Data da Venda]],"mmm"))</f>
        <v>MAR</v>
      </c>
    </row>
    <row r="361" spans="1:13" x14ac:dyDescent="0.25">
      <c r="A361" t="s">
        <v>1443</v>
      </c>
      <c r="B361">
        <v>1550</v>
      </c>
      <c r="C361">
        <v>5</v>
      </c>
      <c r="D361" t="s">
        <v>31</v>
      </c>
      <c r="E361" t="s">
        <v>645</v>
      </c>
      <c r="F361" t="s">
        <v>938</v>
      </c>
      <c r="G361" t="s">
        <v>643</v>
      </c>
      <c r="H361">
        <v>42</v>
      </c>
      <c r="I361" t="s">
        <v>644</v>
      </c>
      <c r="J361">
        <v>7750</v>
      </c>
      <c r="K361" s="1">
        <v>44769</v>
      </c>
      <c r="L361">
        <v>2022</v>
      </c>
      <c r="M361" t="str">
        <f>UPPER(TEXT(_2020_2022[[#This Row],[Data da Venda]],"mmm"))</f>
        <v>JUL</v>
      </c>
    </row>
    <row r="362" spans="1:13" x14ac:dyDescent="0.25">
      <c r="A362" t="s">
        <v>20</v>
      </c>
      <c r="B362">
        <v>2600</v>
      </c>
      <c r="C362">
        <v>2</v>
      </c>
      <c r="D362" t="s">
        <v>41</v>
      </c>
      <c r="E362" t="s">
        <v>681</v>
      </c>
      <c r="F362" t="s">
        <v>939</v>
      </c>
      <c r="G362" t="s">
        <v>650</v>
      </c>
      <c r="H362">
        <v>68</v>
      </c>
      <c r="I362" t="s">
        <v>647</v>
      </c>
      <c r="J362">
        <v>5200</v>
      </c>
      <c r="K362" s="1">
        <v>44907</v>
      </c>
      <c r="L362">
        <v>2022</v>
      </c>
      <c r="M362" t="str">
        <f>UPPER(TEXT(_2020_2022[[#This Row],[Data da Venda]],"mmm"))</f>
        <v>DEZ</v>
      </c>
    </row>
    <row r="363" spans="1:13" x14ac:dyDescent="0.25">
      <c r="A363" t="s">
        <v>1440</v>
      </c>
      <c r="B363">
        <v>700</v>
      </c>
      <c r="C363">
        <v>1</v>
      </c>
      <c r="D363" t="s">
        <v>40</v>
      </c>
      <c r="E363" t="s">
        <v>657</v>
      </c>
      <c r="F363" t="s">
        <v>876</v>
      </c>
      <c r="G363" t="s">
        <v>650</v>
      </c>
      <c r="H363">
        <v>28</v>
      </c>
      <c r="I363" t="s">
        <v>651</v>
      </c>
      <c r="J363">
        <v>700</v>
      </c>
      <c r="K363" s="1">
        <v>44759</v>
      </c>
      <c r="L363">
        <v>2022</v>
      </c>
      <c r="M363" t="str">
        <f>UPPER(TEXT(_2020_2022[[#This Row],[Data da Venda]],"mmm"))</f>
        <v>JUL</v>
      </c>
    </row>
    <row r="364" spans="1:13" x14ac:dyDescent="0.25">
      <c r="A364" t="s">
        <v>1442</v>
      </c>
      <c r="B364">
        <v>1200</v>
      </c>
      <c r="C364">
        <v>5</v>
      </c>
      <c r="D364" t="s">
        <v>30</v>
      </c>
      <c r="E364" t="s">
        <v>645</v>
      </c>
      <c r="F364" t="s">
        <v>940</v>
      </c>
      <c r="G364" t="s">
        <v>650</v>
      </c>
      <c r="H364">
        <v>45</v>
      </c>
      <c r="I364" t="s">
        <v>644</v>
      </c>
      <c r="J364">
        <v>6000</v>
      </c>
      <c r="K364" s="1">
        <v>44793</v>
      </c>
      <c r="L364">
        <v>2022</v>
      </c>
      <c r="M364" t="str">
        <f>UPPER(TEXT(_2020_2022[[#This Row],[Data da Venda]],"mmm"))</f>
        <v>AGO</v>
      </c>
    </row>
    <row r="365" spans="1:13" x14ac:dyDescent="0.25">
      <c r="A365" t="s">
        <v>9</v>
      </c>
      <c r="B365">
        <v>1500</v>
      </c>
      <c r="C365">
        <v>1</v>
      </c>
      <c r="D365" t="s">
        <v>34</v>
      </c>
      <c r="E365" t="s">
        <v>679</v>
      </c>
      <c r="F365" t="s">
        <v>869</v>
      </c>
      <c r="G365" t="s">
        <v>650</v>
      </c>
      <c r="H365">
        <v>33</v>
      </c>
      <c r="I365" t="s">
        <v>644</v>
      </c>
      <c r="J365">
        <v>1500</v>
      </c>
      <c r="K365" s="1">
        <v>44707</v>
      </c>
      <c r="L365">
        <v>2022</v>
      </c>
      <c r="M365" t="str">
        <f>UPPER(TEXT(_2020_2022[[#This Row],[Data da Venda]],"mmm"))</f>
        <v>MAI</v>
      </c>
    </row>
    <row r="366" spans="1:13" x14ac:dyDescent="0.25">
      <c r="A366" t="s">
        <v>20</v>
      </c>
      <c r="B366">
        <v>2600</v>
      </c>
      <c r="C366">
        <v>5</v>
      </c>
      <c r="D366" t="s">
        <v>37</v>
      </c>
      <c r="E366" t="s">
        <v>645</v>
      </c>
      <c r="F366" t="s">
        <v>778</v>
      </c>
      <c r="G366" t="s">
        <v>650</v>
      </c>
      <c r="H366">
        <v>67</v>
      </c>
      <c r="I366" t="s">
        <v>647</v>
      </c>
      <c r="J366">
        <v>13000</v>
      </c>
      <c r="K366" s="1">
        <v>44904</v>
      </c>
      <c r="L366">
        <v>2022</v>
      </c>
      <c r="M366" t="str">
        <f>UPPER(TEXT(_2020_2022[[#This Row],[Data da Venda]],"mmm"))</f>
        <v>DEZ</v>
      </c>
    </row>
    <row r="367" spans="1:13" x14ac:dyDescent="0.25">
      <c r="A367" t="s">
        <v>9</v>
      </c>
      <c r="B367">
        <v>1500</v>
      </c>
      <c r="C367">
        <v>5</v>
      </c>
      <c r="D367" t="s">
        <v>29</v>
      </c>
      <c r="E367" t="s">
        <v>641</v>
      </c>
      <c r="F367" t="s">
        <v>941</v>
      </c>
      <c r="G367" t="s">
        <v>650</v>
      </c>
      <c r="H367">
        <v>52</v>
      </c>
      <c r="I367" t="s">
        <v>647</v>
      </c>
      <c r="J367">
        <v>7500</v>
      </c>
      <c r="K367" s="1">
        <v>44901</v>
      </c>
      <c r="L367">
        <v>2022</v>
      </c>
      <c r="M367" t="str">
        <f>UPPER(TEXT(_2020_2022[[#This Row],[Data da Venda]],"mmm"))</f>
        <v>DEZ</v>
      </c>
    </row>
    <row r="368" spans="1:13" x14ac:dyDescent="0.25">
      <c r="A368" t="s">
        <v>28</v>
      </c>
      <c r="B368">
        <v>1400</v>
      </c>
      <c r="C368">
        <v>3</v>
      </c>
      <c r="D368" t="s">
        <v>32</v>
      </c>
      <c r="E368" t="s">
        <v>652</v>
      </c>
      <c r="F368" t="s">
        <v>858</v>
      </c>
      <c r="G368" t="s">
        <v>650</v>
      </c>
      <c r="H368">
        <v>34</v>
      </c>
      <c r="I368" t="s">
        <v>644</v>
      </c>
      <c r="J368">
        <v>4200</v>
      </c>
      <c r="K368" s="1">
        <v>44812</v>
      </c>
      <c r="L368">
        <v>2022</v>
      </c>
      <c r="M368" t="str">
        <f>UPPER(TEXT(_2020_2022[[#This Row],[Data da Venda]],"mmm"))</f>
        <v>SET</v>
      </c>
    </row>
    <row r="369" spans="1:13" x14ac:dyDescent="0.25">
      <c r="A369" t="s">
        <v>9</v>
      </c>
      <c r="B369">
        <v>1500</v>
      </c>
      <c r="C369">
        <v>1</v>
      </c>
      <c r="D369" t="s">
        <v>30</v>
      </c>
      <c r="E369" t="s">
        <v>645</v>
      </c>
      <c r="F369" t="s">
        <v>942</v>
      </c>
      <c r="G369" t="s">
        <v>643</v>
      </c>
      <c r="H369">
        <v>73</v>
      </c>
      <c r="I369" t="s">
        <v>647</v>
      </c>
      <c r="J369">
        <v>1500</v>
      </c>
      <c r="K369" s="1">
        <v>44797</v>
      </c>
      <c r="L369">
        <v>2022</v>
      </c>
      <c r="M369" t="str">
        <f>UPPER(TEXT(_2020_2022[[#This Row],[Data da Venda]],"mmm"))</f>
        <v>AGO</v>
      </c>
    </row>
    <row r="370" spans="1:13" x14ac:dyDescent="0.25">
      <c r="A370" t="s">
        <v>26</v>
      </c>
      <c r="B370">
        <v>1100</v>
      </c>
      <c r="C370">
        <v>1</v>
      </c>
      <c r="D370" t="s">
        <v>36</v>
      </c>
      <c r="E370" t="s">
        <v>677</v>
      </c>
      <c r="F370" t="s">
        <v>943</v>
      </c>
      <c r="G370" t="s">
        <v>650</v>
      </c>
      <c r="H370">
        <v>55</v>
      </c>
      <c r="I370" t="s">
        <v>647</v>
      </c>
      <c r="J370">
        <v>1100</v>
      </c>
      <c r="K370" s="1">
        <v>44924</v>
      </c>
      <c r="L370">
        <v>2022</v>
      </c>
      <c r="M370" t="str">
        <f>UPPER(TEXT(_2020_2022[[#This Row],[Data da Venda]],"mmm"))</f>
        <v>DEZ</v>
      </c>
    </row>
    <row r="371" spans="1:13" x14ac:dyDescent="0.25">
      <c r="A371" t="s">
        <v>25</v>
      </c>
      <c r="B371">
        <v>2500</v>
      </c>
      <c r="C371">
        <v>5</v>
      </c>
      <c r="D371" t="s">
        <v>34</v>
      </c>
      <c r="E371" t="s">
        <v>679</v>
      </c>
      <c r="F371" t="s">
        <v>944</v>
      </c>
      <c r="G371" t="s">
        <v>643</v>
      </c>
      <c r="H371">
        <v>33</v>
      </c>
      <c r="I371" t="s">
        <v>644</v>
      </c>
      <c r="J371">
        <v>12500</v>
      </c>
      <c r="K371" s="1">
        <v>44836</v>
      </c>
      <c r="L371">
        <v>2022</v>
      </c>
      <c r="M371" t="str">
        <f>UPPER(TEXT(_2020_2022[[#This Row],[Data da Venda]],"mmm"))</f>
        <v>OUT</v>
      </c>
    </row>
    <row r="372" spans="1:13" x14ac:dyDescent="0.25">
      <c r="A372" t="s">
        <v>28</v>
      </c>
      <c r="B372">
        <v>1400</v>
      </c>
      <c r="C372">
        <v>2</v>
      </c>
      <c r="D372" t="s">
        <v>34</v>
      </c>
      <c r="E372" t="s">
        <v>679</v>
      </c>
      <c r="F372" t="s">
        <v>945</v>
      </c>
      <c r="G372" t="s">
        <v>643</v>
      </c>
      <c r="H372">
        <v>51</v>
      </c>
      <c r="I372" t="s">
        <v>647</v>
      </c>
      <c r="J372">
        <v>2800</v>
      </c>
      <c r="K372" s="1">
        <v>44562</v>
      </c>
      <c r="L372">
        <v>2022</v>
      </c>
      <c r="M372" t="str">
        <f>UPPER(TEXT(_2020_2022[[#This Row],[Data da Venda]],"mmm"))</f>
        <v>JAN</v>
      </c>
    </row>
    <row r="373" spans="1:13" x14ac:dyDescent="0.25">
      <c r="A373" t="s">
        <v>9</v>
      </c>
      <c r="B373">
        <v>1500</v>
      </c>
      <c r="C373">
        <v>4</v>
      </c>
      <c r="D373" t="s">
        <v>38</v>
      </c>
      <c r="E373" t="s">
        <v>648</v>
      </c>
      <c r="F373" t="s">
        <v>946</v>
      </c>
      <c r="G373" t="s">
        <v>650</v>
      </c>
      <c r="H373">
        <v>34</v>
      </c>
      <c r="I373" t="s">
        <v>644</v>
      </c>
      <c r="J373">
        <v>6000</v>
      </c>
      <c r="K373" s="1">
        <v>44696</v>
      </c>
      <c r="L373">
        <v>2022</v>
      </c>
      <c r="M373" t="str">
        <f>UPPER(TEXT(_2020_2022[[#This Row],[Data da Venda]],"mmm"))</f>
        <v>MAI</v>
      </c>
    </row>
    <row r="374" spans="1:13" x14ac:dyDescent="0.25">
      <c r="A374" t="s">
        <v>5</v>
      </c>
      <c r="B374">
        <v>1750</v>
      </c>
      <c r="C374">
        <v>5</v>
      </c>
      <c r="D374" t="s">
        <v>31</v>
      </c>
      <c r="E374" t="s">
        <v>645</v>
      </c>
      <c r="F374" t="s">
        <v>947</v>
      </c>
      <c r="G374" t="s">
        <v>650</v>
      </c>
      <c r="H374">
        <v>32</v>
      </c>
      <c r="I374" t="s">
        <v>644</v>
      </c>
      <c r="J374">
        <v>8750</v>
      </c>
      <c r="K374" s="1">
        <v>44884</v>
      </c>
      <c r="L374">
        <v>2022</v>
      </c>
      <c r="M374" t="str">
        <f>UPPER(TEXT(_2020_2022[[#This Row],[Data da Venda]],"mmm"))</f>
        <v>NOV</v>
      </c>
    </row>
    <row r="375" spans="1:13" x14ac:dyDescent="0.25">
      <c r="A375" t="s">
        <v>1440</v>
      </c>
      <c r="B375">
        <v>700</v>
      </c>
      <c r="C375">
        <v>4</v>
      </c>
      <c r="D375" t="s">
        <v>41</v>
      </c>
      <c r="E375" t="s">
        <v>681</v>
      </c>
      <c r="F375" t="s">
        <v>734</v>
      </c>
      <c r="G375" t="s">
        <v>643</v>
      </c>
      <c r="H375">
        <v>31</v>
      </c>
      <c r="I375" t="s">
        <v>644</v>
      </c>
      <c r="J375">
        <v>2800</v>
      </c>
      <c r="K375" s="1">
        <v>44640</v>
      </c>
      <c r="L375">
        <v>2022</v>
      </c>
      <c r="M375" t="str">
        <f>UPPER(TEXT(_2020_2022[[#This Row],[Data da Venda]],"mmm"))</f>
        <v>MAR</v>
      </c>
    </row>
    <row r="376" spans="1:13" x14ac:dyDescent="0.25">
      <c r="A376" t="s">
        <v>7</v>
      </c>
      <c r="B376">
        <v>750</v>
      </c>
      <c r="C376">
        <v>2</v>
      </c>
      <c r="D376" t="s">
        <v>41</v>
      </c>
      <c r="E376" t="s">
        <v>681</v>
      </c>
      <c r="F376" t="s">
        <v>948</v>
      </c>
      <c r="G376" t="s">
        <v>643</v>
      </c>
      <c r="H376">
        <v>28</v>
      </c>
      <c r="I376" t="s">
        <v>651</v>
      </c>
      <c r="J376">
        <v>1500</v>
      </c>
      <c r="K376" s="1">
        <v>44721</v>
      </c>
      <c r="L376">
        <v>2022</v>
      </c>
      <c r="M376" t="str">
        <f>UPPER(TEXT(_2020_2022[[#This Row],[Data da Venda]],"mmm"))</f>
        <v>JUN</v>
      </c>
    </row>
    <row r="377" spans="1:13" x14ac:dyDescent="0.25">
      <c r="A377" t="s">
        <v>21</v>
      </c>
      <c r="B377">
        <v>2400</v>
      </c>
      <c r="C377">
        <v>5</v>
      </c>
      <c r="D377" t="s">
        <v>37</v>
      </c>
      <c r="E377" t="s">
        <v>645</v>
      </c>
      <c r="F377" t="s">
        <v>949</v>
      </c>
      <c r="G377" t="s">
        <v>650</v>
      </c>
      <c r="H377">
        <v>34</v>
      </c>
      <c r="I377" t="s">
        <v>644</v>
      </c>
      <c r="J377">
        <v>12000</v>
      </c>
      <c r="K377" s="1">
        <v>44590</v>
      </c>
      <c r="L377">
        <v>2022</v>
      </c>
      <c r="M377" t="str">
        <f>UPPER(TEXT(_2020_2022[[#This Row],[Data da Venda]],"mmm"))</f>
        <v>JAN</v>
      </c>
    </row>
    <row r="378" spans="1:13" x14ac:dyDescent="0.25">
      <c r="A378" t="s">
        <v>26</v>
      </c>
      <c r="B378">
        <v>1100</v>
      </c>
      <c r="C378">
        <v>2</v>
      </c>
      <c r="D378" t="s">
        <v>37</v>
      </c>
      <c r="E378" t="s">
        <v>645</v>
      </c>
      <c r="F378" t="s">
        <v>762</v>
      </c>
      <c r="G378" t="s">
        <v>650</v>
      </c>
      <c r="H378">
        <v>63</v>
      </c>
      <c r="I378" t="s">
        <v>647</v>
      </c>
      <c r="J378">
        <v>2200</v>
      </c>
      <c r="K378" s="1">
        <v>44898</v>
      </c>
      <c r="L378">
        <v>2022</v>
      </c>
      <c r="M378" t="str">
        <f>UPPER(TEXT(_2020_2022[[#This Row],[Data da Venda]],"mmm"))</f>
        <v>DEZ</v>
      </c>
    </row>
    <row r="379" spans="1:13" x14ac:dyDescent="0.25">
      <c r="A379" t="s">
        <v>1445</v>
      </c>
      <c r="B379">
        <v>1500</v>
      </c>
      <c r="C379">
        <v>2</v>
      </c>
      <c r="D379" t="s">
        <v>29</v>
      </c>
      <c r="E379" t="s">
        <v>641</v>
      </c>
      <c r="F379" t="s">
        <v>950</v>
      </c>
      <c r="G379" t="s">
        <v>650</v>
      </c>
      <c r="H379">
        <v>48</v>
      </c>
      <c r="I379" t="s">
        <v>644</v>
      </c>
      <c r="J379">
        <v>3000</v>
      </c>
      <c r="K379" s="1">
        <v>44586</v>
      </c>
      <c r="L379">
        <v>2022</v>
      </c>
      <c r="M379" t="str">
        <f>UPPER(TEXT(_2020_2022[[#This Row],[Data da Venda]],"mmm"))</f>
        <v>JAN</v>
      </c>
    </row>
    <row r="380" spans="1:13" x14ac:dyDescent="0.25">
      <c r="A380" t="s">
        <v>16</v>
      </c>
      <c r="B380">
        <v>1400</v>
      </c>
      <c r="C380">
        <v>5</v>
      </c>
      <c r="D380" t="s">
        <v>39</v>
      </c>
      <c r="E380" t="s">
        <v>641</v>
      </c>
      <c r="F380" t="s">
        <v>951</v>
      </c>
      <c r="G380" t="s">
        <v>650</v>
      </c>
      <c r="H380">
        <v>49</v>
      </c>
      <c r="I380" t="s">
        <v>644</v>
      </c>
      <c r="J380">
        <v>7000</v>
      </c>
      <c r="K380" s="1">
        <v>44769</v>
      </c>
      <c r="L380">
        <v>2022</v>
      </c>
      <c r="M380" t="str">
        <f>UPPER(TEXT(_2020_2022[[#This Row],[Data da Venda]],"mmm"))</f>
        <v>JUL</v>
      </c>
    </row>
    <row r="381" spans="1:13" x14ac:dyDescent="0.25">
      <c r="A381" t="s">
        <v>12</v>
      </c>
      <c r="B381">
        <v>6500</v>
      </c>
      <c r="C381">
        <v>1</v>
      </c>
      <c r="D381" t="s">
        <v>31</v>
      </c>
      <c r="E381" t="s">
        <v>645</v>
      </c>
      <c r="F381" t="s">
        <v>952</v>
      </c>
      <c r="G381" t="s">
        <v>643</v>
      </c>
      <c r="H381">
        <v>74</v>
      </c>
      <c r="I381" t="s">
        <v>647</v>
      </c>
      <c r="J381">
        <v>6500</v>
      </c>
      <c r="K381" s="1">
        <v>44596</v>
      </c>
      <c r="L381">
        <v>2022</v>
      </c>
      <c r="M381" t="str">
        <f>UPPER(TEXT(_2020_2022[[#This Row],[Data da Venda]],"mmm"))</f>
        <v>FEV</v>
      </c>
    </row>
    <row r="382" spans="1:13" x14ac:dyDescent="0.25">
      <c r="A382" t="s">
        <v>25</v>
      </c>
      <c r="B382">
        <v>2500</v>
      </c>
      <c r="C382">
        <v>5</v>
      </c>
      <c r="D382" t="s">
        <v>29</v>
      </c>
      <c r="E382" t="s">
        <v>641</v>
      </c>
      <c r="F382" t="s">
        <v>953</v>
      </c>
      <c r="G382" t="s">
        <v>643</v>
      </c>
      <c r="H382">
        <v>45</v>
      </c>
      <c r="I382" t="s">
        <v>644</v>
      </c>
      <c r="J382">
        <v>12500</v>
      </c>
      <c r="K382" s="1">
        <v>44597</v>
      </c>
      <c r="L382">
        <v>2022</v>
      </c>
      <c r="M382" t="str">
        <f>UPPER(TEXT(_2020_2022[[#This Row],[Data da Venda]],"mmm"))</f>
        <v>FEV</v>
      </c>
    </row>
    <row r="383" spans="1:13" x14ac:dyDescent="0.25">
      <c r="A383" t="s">
        <v>25</v>
      </c>
      <c r="B383">
        <v>2500</v>
      </c>
      <c r="C383">
        <v>2</v>
      </c>
      <c r="D383" t="s">
        <v>30</v>
      </c>
      <c r="E383" t="s">
        <v>645</v>
      </c>
      <c r="F383" t="s">
        <v>896</v>
      </c>
      <c r="G383" t="s">
        <v>643</v>
      </c>
      <c r="H383">
        <v>47</v>
      </c>
      <c r="I383" t="s">
        <v>644</v>
      </c>
      <c r="J383">
        <v>5000</v>
      </c>
      <c r="K383" s="1">
        <v>44572</v>
      </c>
      <c r="L383">
        <v>2022</v>
      </c>
      <c r="M383" t="str">
        <f>UPPER(TEXT(_2020_2022[[#This Row],[Data da Venda]],"mmm"))</f>
        <v>JAN</v>
      </c>
    </row>
    <row r="384" spans="1:13" x14ac:dyDescent="0.25">
      <c r="A384" t="s">
        <v>1442</v>
      </c>
      <c r="B384">
        <v>1200</v>
      </c>
      <c r="C384">
        <v>4</v>
      </c>
      <c r="D384" t="s">
        <v>31</v>
      </c>
      <c r="E384" t="s">
        <v>645</v>
      </c>
      <c r="F384" t="s">
        <v>686</v>
      </c>
      <c r="G384" t="s">
        <v>643</v>
      </c>
      <c r="H384">
        <v>53</v>
      </c>
      <c r="I384" t="s">
        <v>647</v>
      </c>
      <c r="J384">
        <v>4800</v>
      </c>
      <c r="K384" s="1">
        <v>44775</v>
      </c>
      <c r="L384">
        <v>2022</v>
      </c>
      <c r="M384" t="str">
        <f>UPPER(TEXT(_2020_2022[[#This Row],[Data da Venda]],"mmm"))</f>
        <v>AGO</v>
      </c>
    </row>
    <row r="385" spans="1:13" x14ac:dyDescent="0.25">
      <c r="A385" t="s">
        <v>12</v>
      </c>
      <c r="B385">
        <v>6500</v>
      </c>
      <c r="C385">
        <v>4</v>
      </c>
      <c r="D385" t="s">
        <v>29</v>
      </c>
      <c r="E385" t="s">
        <v>641</v>
      </c>
      <c r="F385" t="s">
        <v>954</v>
      </c>
      <c r="G385" t="s">
        <v>643</v>
      </c>
      <c r="H385">
        <v>64</v>
      </c>
      <c r="I385" t="s">
        <v>647</v>
      </c>
      <c r="J385">
        <v>26000</v>
      </c>
      <c r="K385" s="1">
        <v>44834</v>
      </c>
      <c r="L385">
        <v>2022</v>
      </c>
      <c r="M385" t="str">
        <f>UPPER(TEXT(_2020_2022[[#This Row],[Data da Venda]],"mmm"))</f>
        <v>SET</v>
      </c>
    </row>
    <row r="386" spans="1:13" x14ac:dyDescent="0.25">
      <c r="A386" t="s">
        <v>25</v>
      </c>
      <c r="B386">
        <v>2500</v>
      </c>
      <c r="C386">
        <v>1</v>
      </c>
      <c r="D386" t="s">
        <v>30</v>
      </c>
      <c r="E386" t="s">
        <v>645</v>
      </c>
      <c r="F386" t="s">
        <v>955</v>
      </c>
      <c r="G386" t="s">
        <v>643</v>
      </c>
      <c r="H386">
        <v>75</v>
      </c>
      <c r="I386" t="s">
        <v>647</v>
      </c>
      <c r="J386">
        <v>2500</v>
      </c>
      <c r="K386" s="1">
        <v>44829</v>
      </c>
      <c r="L386">
        <v>2022</v>
      </c>
      <c r="M386" t="str">
        <f>UPPER(TEXT(_2020_2022[[#This Row],[Data da Venda]],"mmm"))</f>
        <v>SET</v>
      </c>
    </row>
    <row r="387" spans="1:13" x14ac:dyDescent="0.25">
      <c r="A387" t="s">
        <v>8</v>
      </c>
      <c r="B387">
        <v>5500</v>
      </c>
      <c r="C387">
        <v>1</v>
      </c>
      <c r="D387" t="s">
        <v>34</v>
      </c>
      <c r="E387" t="s">
        <v>679</v>
      </c>
      <c r="F387" t="s">
        <v>956</v>
      </c>
      <c r="G387" t="s">
        <v>650</v>
      </c>
      <c r="H387">
        <v>66</v>
      </c>
      <c r="I387" t="s">
        <v>647</v>
      </c>
      <c r="J387">
        <v>5500</v>
      </c>
      <c r="K387" s="1">
        <v>44587</v>
      </c>
      <c r="L387">
        <v>2022</v>
      </c>
      <c r="M387" t="str">
        <f>UPPER(TEXT(_2020_2022[[#This Row],[Data da Venda]],"mmm"))</f>
        <v>JAN</v>
      </c>
    </row>
    <row r="388" spans="1:13" x14ac:dyDescent="0.25">
      <c r="A388" t="s">
        <v>13</v>
      </c>
      <c r="B388">
        <v>2300</v>
      </c>
      <c r="C388">
        <v>2</v>
      </c>
      <c r="D388" t="s">
        <v>29</v>
      </c>
      <c r="E388" t="s">
        <v>641</v>
      </c>
      <c r="F388" t="s">
        <v>957</v>
      </c>
      <c r="G388" t="s">
        <v>643</v>
      </c>
      <c r="H388">
        <v>38</v>
      </c>
      <c r="I388" t="s">
        <v>644</v>
      </c>
      <c r="J388">
        <v>4600</v>
      </c>
      <c r="K388" s="1">
        <v>44703</v>
      </c>
      <c r="L388">
        <v>2022</v>
      </c>
      <c r="M388" t="str">
        <f>UPPER(TEXT(_2020_2022[[#This Row],[Data da Venda]],"mmm"))</f>
        <v>MAI</v>
      </c>
    </row>
    <row r="389" spans="1:13" x14ac:dyDescent="0.25">
      <c r="A389" t="s">
        <v>1443</v>
      </c>
      <c r="B389">
        <v>1550</v>
      </c>
      <c r="C389">
        <v>2</v>
      </c>
      <c r="D389" t="s">
        <v>29</v>
      </c>
      <c r="E389" t="s">
        <v>641</v>
      </c>
      <c r="F389" t="s">
        <v>919</v>
      </c>
      <c r="G389" t="s">
        <v>643</v>
      </c>
      <c r="H389">
        <v>45</v>
      </c>
      <c r="I389" t="s">
        <v>644</v>
      </c>
      <c r="J389">
        <v>3100</v>
      </c>
      <c r="K389" s="1">
        <v>44879</v>
      </c>
      <c r="L389">
        <v>2022</v>
      </c>
      <c r="M389" t="str">
        <f>UPPER(TEXT(_2020_2022[[#This Row],[Data da Venda]],"mmm"))</f>
        <v>NOV</v>
      </c>
    </row>
    <row r="390" spans="1:13" x14ac:dyDescent="0.25">
      <c r="A390" t="s">
        <v>20</v>
      </c>
      <c r="B390">
        <v>2600</v>
      </c>
      <c r="C390">
        <v>1</v>
      </c>
      <c r="D390" t="s">
        <v>38</v>
      </c>
      <c r="E390" t="s">
        <v>648</v>
      </c>
      <c r="F390" t="s">
        <v>958</v>
      </c>
      <c r="G390" t="s">
        <v>650</v>
      </c>
      <c r="H390">
        <v>41</v>
      </c>
      <c r="I390" t="s">
        <v>644</v>
      </c>
      <c r="J390">
        <v>2600</v>
      </c>
      <c r="K390" s="1">
        <v>44687</v>
      </c>
      <c r="L390">
        <v>2022</v>
      </c>
      <c r="M390" t="str">
        <f>UPPER(TEXT(_2020_2022[[#This Row],[Data da Venda]],"mmm"))</f>
        <v>MAI</v>
      </c>
    </row>
    <row r="391" spans="1:13" x14ac:dyDescent="0.25">
      <c r="A391" t="s">
        <v>24</v>
      </c>
      <c r="B391">
        <v>2000</v>
      </c>
      <c r="C391">
        <v>4</v>
      </c>
      <c r="D391" t="s">
        <v>39</v>
      </c>
      <c r="E391" t="s">
        <v>641</v>
      </c>
      <c r="F391" t="s">
        <v>959</v>
      </c>
      <c r="G391" t="s">
        <v>650</v>
      </c>
      <c r="H391">
        <v>66</v>
      </c>
      <c r="I391" t="s">
        <v>647</v>
      </c>
      <c r="J391">
        <v>8000</v>
      </c>
      <c r="K391" s="1">
        <v>44868</v>
      </c>
      <c r="L391">
        <v>2022</v>
      </c>
      <c r="M391" t="str">
        <f>UPPER(TEXT(_2020_2022[[#This Row],[Data da Venda]],"mmm"))</f>
        <v>NOV</v>
      </c>
    </row>
    <row r="392" spans="1:13" x14ac:dyDescent="0.25">
      <c r="A392" t="s">
        <v>25</v>
      </c>
      <c r="B392">
        <v>2500</v>
      </c>
      <c r="C392">
        <v>3</v>
      </c>
      <c r="D392" t="s">
        <v>31</v>
      </c>
      <c r="E392" t="s">
        <v>645</v>
      </c>
      <c r="F392" t="s">
        <v>686</v>
      </c>
      <c r="G392" t="s">
        <v>643</v>
      </c>
      <c r="H392">
        <v>53</v>
      </c>
      <c r="I392" t="s">
        <v>647</v>
      </c>
      <c r="J392">
        <v>7500</v>
      </c>
      <c r="K392" s="1">
        <v>44828</v>
      </c>
      <c r="L392">
        <v>2022</v>
      </c>
      <c r="M392" t="str">
        <f>UPPER(TEXT(_2020_2022[[#This Row],[Data da Venda]],"mmm"))</f>
        <v>SET</v>
      </c>
    </row>
    <row r="393" spans="1:13" x14ac:dyDescent="0.25">
      <c r="A393" t="s">
        <v>9</v>
      </c>
      <c r="B393">
        <v>1500</v>
      </c>
      <c r="C393">
        <v>5</v>
      </c>
      <c r="D393" t="s">
        <v>31</v>
      </c>
      <c r="E393" t="s">
        <v>645</v>
      </c>
      <c r="F393" t="s">
        <v>811</v>
      </c>
      <c r="G393" t="s">
        <v>650</v>
      </c>
      <c r="H393">
        <v>56</v>
      </c>
      <c r="I393" t="s">
        <v>647</v>
      </c>
      <c r="J393">
        <v>7500</v>
      </c>
      <c r="K393" s="1">
        <v>44724</v>
      </c>
      <c r="L393">
        <v>2022</v>
      </c>
      <c r="M393" t="str">
        <f>UPPER(TEXT(_2020_2022[[#This Row],[Data da Venda]],"mmm"))</f>
        <v>JUN</v>
      </c>
    </row>
    <row r="394" spans="1:13" x14ac:dyDescent="0.25">
      <c r="A394" t="s">
        <v>15</v>
      </c>
      <c r="B394">
        <v>1900</v>
      </c>
      <c r="C394">
        <v>4</v>
      </c>
      <c r="D394" t="s">
        <v>29</v>
      </c>
      <c r="E394" t="s">
        <v>641</v>
      </c>
      <c r="F394" t="s">
        <v>925</v>
      </c>
      <c r="G394" t="s">
        <v>643</v>
      </c>
      <c r="H394">
        <v>72</v>
      </c>
      <c r="I394" t="s">
        <v>647</v>
      </c>
      <c r="J394">
        <v>7600</v>
      </c>
      <c r="K394" s="1">
        <v>44733</v>
      </c>
      <c r="L394">
        <v>2022</v>
      </c>
      <c r="M394" t="str">
        <f>UPPER(TEXT(_2020_2022[[#This Row],[Data da Venda]],"mmm"))</f>
        <v>JUN</v>
      </c>
    </row>
    <row r="395" spans="1:13" x14ac:dyDescent="0.25">
      <c r="A395" t="s">
        <v>28</v>
      </c>
      <c r="B395">
        <v>1400</v>
      </c>
      <c r="C395">
        <v>5</v>
      </c>
      <c r="D395" t="s">
        <v>32</v>
      </c>
      <c r="E395" t="s">
        <v>652</v>
      </c>
      <c r="F395" t="s">
        <v>653</v>
      </c>
      <c r="G395" t="s">
        <v>643</v>
      </c>
      <c r="H395">
        <v>27</v>
      </c>
      <c r="I395" t="s">
        <v>651</v>
      </c>
      <c r="J395">
        <v>7000</v>
      </c>
      <c r="K395" s="1">
        <v>44714</v>
      </c>
      <c r="L395">
        <v>2022</v>
      </c>
      <c r="M395" t="str">
        <f>UPPER(TEXT(_2020_2022[[#This Row],[Data da Venda]],"mmm"))</f>
        <v>JUN</v>
      </c>
    </row>
    <row r="396" spans="1:13" x14ac:dyDescent="0.25">
      <c r="A396" t="s">
        <v>7</v>
      </c>
      <c r="B396">
        <v>750</v>
      </c>
      <c r="C396">
        <v>2</v>
      </c>
      <c r="D396" t="s">
        <v>29</v>
      </c>
      <c r="E396" t="s">
        <v>641</v>
      </c>
      <c r="F396" t="s">
        <v>957</v>
      </c>
      <c r="G396" t="s">
        <v>643</v>
      </c>
      <c r="H396">
        <v>38</v>
      </c>
      <c r="I396" t="s">
        <v>644</v>
      </c>
      <c r="J396">
        <v>1500</v>
      </c>
      <c r="K396" s="1">
        <v>44771</v>
      </c>
      <c r="L396">
        <v>2022</v>
      </c>
      <c r="M396" t="str">
        <f>UPPER(TEXT(_2020_2022[[#This Row],[Data da Venda]],"mmm"))</f>
        <v>JUL</v>
      </c>
    </row>
    <row r="397" spans="1:13" x14ac:dyDescent="0.25">
      <c r="A397" t="s">
        <v>1445</v>
      </c>
      <c r="B397">
        <v>1500</v>
      </c>
      <c r="C397">
        <v>1</v>
      </c>
      <c r="D397" t="s">
        <v>36</v>
      </c>
      <c r="E397" t="s">
        <v>677</v>
      </c>
      <c r="F397" t="s">
        <v>960</v>
      </c>
      <c r="G397" t="s">
        <v>650</v>
      </c>
      <c r="H397">
        <v>32</v>
      </c>
      <c r="I397" t="s">
        <v>644</v>
      </c>
      <c r="J397">
        <v>1500</v>
      </c>
      <c r="K397" s="1">
        <v>44658</v>
      </c>
      <c r="L397">
        <v>2022</v>
      </c>
      <c r="M397" t="str">
        <f>UPPER(TEXT(_2020_2022[[#This Row],[Data da Venda]],"mmm"))</f>
        <v>ABR</v>
      </c>
    </row>
    <row r="398" spans="1:13" x14ac:dyDescent="0.25">
      <c r="A398" t="s">
        <v>15</v>
      </c>
      <c r="B398">
        <v>1900</v>
      </c>
      <c r="C398">
        <v>3</v>
      </c>
      <c r="D398" t="s">
        <v>35</v>
      </c>
      <c r="E398" t="s">
        <v>666</v>
      </c>
      <c r="F398" t="s">
        <v>961</v>
      </c>
      <c r="G398" t="s">
        <v>650</v>
      </c>
      <c r="H398">
        <v>25</v>
      </c>
      <c r="I398" t="s">
        <v>651</v>
      </c>
      <c r="J398">
        <v>5700</v>
      </c>
      <c r="K398" s="1">
        <v>44740</v>
      </c>
      <c r="L398">
        <v>2022</v>
      </c>
      <c r="M398" t="str">
        <f>UPPER(TEXT(_2020_2022[[#This Row],[Data da Venda]],"mmm"))</f>
        <v>JUN</v>
      </c>
    </row>
    <row r="399" spans="1:13" x14ac:dyDescent="0.25">
      <c r="A399" t="s">
        <v>1445</v>
      </c>
      <c r="B399">
        <v>1500</v>
      </c>
      <c r="C399">
        <v>4</v>
      </c>
      <c r="D399" t="s">
        <v>34</v>
      </c>
      <c r="E399" t="s">
        <v>679</v>
      </c>
      <c r="F399" t="s">
        <v>680</v>
      </c>
      <c r="G399" t="s">
        <v>643</v>
      </c>
      <c r="H399">
        <v>41</v>
      </c>
      <c r="I399" t="s">
        <v>644</v>
      </c>
      <c r="J399">
        <v>6000</v>
      </c>
      <c r="K399" s="1">
        <v>44637</v>
      </c>
      <c r="L399">
        <v>2022</v>
      </c>
      <c r="M399" t="str">
        <f>UPPER(TEXT(_2020_2022[[#This Row],[Data da Venda]],"mmm"))</f>
        <v>MAR</v>
      </c>
    </row>
    <row r="400" spans="1:13" x14ac:dyDescent="0.25">
      <c r="A400" t="s">
        <v>18</v>
      </c>
      <c r="B400">
        <v>3000</v>
      </c>
      <c r="C400">
        <v>2</v>
      </c>
      <c r="D400" t="s">
        <v>29</v>
      </c>
      <c r="E400" t="s">
        <v>641</v>
      </c>
      <c r="F400" t="s">
        <v>813</v>
      </c>
      <c r="G400" t="s">
        <v>650</v>
      </c>
      <c r="H400">
        <v>40</v>
      </c>
      <c r="I400" t="s">
        <v>644</v>
      </c>
      <c r="J400">
        <v>6000</v>
      </c>
      <c r="K400" s="1">
        <v>44578</v>
      </c>
      <c r="L400">
        <v>2022</v>
      </c>
      <c r="M400" t="str">
        <f>UPPER(TEXT(_2020_2022[[#This Row],[Data da Venda]],"mmm"))</f>
        <v>JAN</v>
      </c>
    </row>
    <row r="401" spans="1:13" x14ac:dyDescent="0.25">
      <c r="A401" t="s">
        <v>16</v>
      </c>
      <c r="B401">
        <v>1400</v>
      </c>
      <c r="C401">
        <v>2</v>
      </c>
      <c r="D401" t="s">
        <v>33</v>
      </c>
      <c r="E401" t="s">
        <v>641</v>
      </c>
      <c r="F401" t="s">
        <v>962</v>
      </c>
      <c r="G401" t="s">
        <v>643</v>
      </c>
      <c r="H401">
        <v>34</v>
      </c>
      <c r="I401" t="s">
        <v>644</v>
      </c>
      <c r="J401">
        <v>2800</v>
      </c>
      <c r="K401" s="1">
        <v>44899</v>
      </c>
      <c r="L401">
        <v>2022</v>
      </c>
      <c r="M401" t="str">
        <f>UPPER(TEXT(_2020_2022[[#This Row],[Data da Venda]],"mmm"))</f>
        <v>DEZ</v>
      </c>
    </row>
    <row r="402" spans="1:13" x14ac:dyDescent="0.25">
      <c r="A402" t="s">
        <v>5</v>
      </c>
      <c r="B402">
        <v>1750</v>
      </c>
      <c r="C402">
        <v>1</v>
      </c>
      <c r="D402" t="s">
        <v>30</v>
      </c>
      <c r="E402" t="s">
        <v>645</v>
      </c>
      <c r="F402" t="s">
        <v>963</v>
      </c>
      <c r="G402" t="s">
        <v>643</v>
      </c>
      <c r="H402">
        <v>60</v>
      </c>
      <c r="I402" t="s">
        <v>647</v>
      </c>
      <c r="J402">
        <v>1750</v>
      </c>
      <c r="K402" s="1">
        <v>44798</v>
      </c>
      <c r="L402">
        <v>2022</v>
      </c>
      <c r="M402" t="str">
        <f>UPPER(TEXT(_2020_2022[[#This Row],[Data da Venda]],"mmm"))</f>
        <v>AGO</v>
      </c>
    </row>
    <row r="403" spans="1:13" x14ac:dyDescent="0.25">
      <c r="A403" t="s">
        <v>7</v>
      </c>
      <c r="B403">
        <v>750</v>
      </c>
      <c r="C403">
        <v>2</v>
      </c>
      <c r="D403" t="s">
        <v>30</v>
      </c>
      <c r="E403" t="s">
        <v>645</v>
      </c>
      <c r="F403" t="s">
        <v>753</v>
      </c>
      <c r="G403" t="s">
        <v>650</v>
      </c>
      <c r="H403">
        <v>57</v>
      </c>
      <c r="I403" t="s">
        <v>647</v>
      </c>
      <c r="J403">
        <v>1500</v>
      </c>
      <c r="K403" s="1">
        <v>44598</v>
      </c>
      <c r="L403">
        <v>2022</v>
      </c>
      <c r="M403" t="str">
        <f>UPPER(TEXT(_2020_2022[[#This Row],[Data da Venda]],"mmm"))</f>
        <v>FEV</v>
      </c>
    </row>
    <row r="404" spans="1:13" x14ac:dyDescent="0.25">
      <c r="A404" t="s">
        <v>26</v>
      </c>
      <c r="B404">
        <v>1100</v>
      </c>
      <c r="C404">
        <v>4</v>
      </c>
      <c r="D404" t="s">
        <v>36</v>
      </c>
      <c r="E404" t="s">
        <v>677</v>
      </c>
      <c r="F404" t="s">
        <v>964</v>
      </c>
      <c r="G404" t="s">
        <v>650</v>
      </c>
      <c r="H404">
        <v>35</v>
      </c>
      <c r="I404" t="s">
        <v>644</v>
      </c>
      <c r="J404">
        <v>4400</v>
      </c>
      <c r="K404" s="1">
        <v>44844</v>
      </c>
      <c r="L404">
        <v>2022</v>
      </c>
      <c r="M404" t="str">
        <f>UPPER(TEXT(_2020_2022[[#This Row],[Data da Venda]],"mmm"))</f>
        <v>OUT</v>
      </c>
    </row>
    <row r="405" spans="1:13" x14ac:dyDescent="0.25">
      <c r="A405" t="s">
        <v>21</v>
      </c>
      <c r="B405">
        <v>2400</v>
      </c>
      <c r="C405">
        <v>5</v>
      </c>
      <c r="D405" t="s">
        <v>37</v>
      </c>
      <c r="E405" t="s">
        <v>645</v>
      </c>
      <c r="F405" t="s">
        <v>965</v>
      </c>
      <c r="G405" t="s">
        <v>643</v>
      </c>
      <c r="H405">
        <v>53</v>
      </c>
      <c r="I405" t="s">
        <v>647</v>
      </c>
      <c r="J405">
        <v>12000</v>
      </c>
      <c r="K405" s="1">
        <v>44854</v>
      </c>
      <c r="L405">
        <v>2022</v>
      </c>
      <c r="M405" t="str">
        <f>UPPER(TEXT(_2020_2022[[#This Row],[Data da Venda]],"mmm"))</f>
        <v>OUT</v>
      </c>
    </row>
    <row r="406" spans="1:13" x14ac:dyDescent="0.25">
      <c r="A406" t="s">
        <v>7</v>
      </c>
      <c r="B406">
        <v>750</v>
      </c>
      <c r="C406">
        <v>3</v>
      </c>
      <c r="D406" t="s">
        <v>29</v>
      </c>
      <c r="E406" t="s">
        <v>641</v>
      </c>
      <c r="F406" t="s">
        <v>692</v>
      </c>
      <c r="G406" t="s">
        <v>643</v>
      </c>
      <c r="H406">
        <v>49</v>
      </c>
      <c r="I406" t="s">
        <v>644</v>
      </c>
      <c r="J406">
        <v>2250</v>
      </c>
      <c r="K406" s="1">
        <v>44815</v>
      </c>
      <c r="L406">
        <v>2022</v>
      </c>
      <c r="M406" t="str">
        <f>UPPER(TEXT(_2020_2022[[#This Row],[Data da Venda]],"mmm"))</f>
        <v>SET</v>
      </c>
    </row>
    <row r="407" spans="1:13" x14ac:dyDescent="0.25">
      <c r="A407" t="s">
        <v>5</v>
      </c>
      <c r="B407">
        <v>1750</v>
      </c>
      <c r="C407">
        <v>4</v>
      </c>
      <c r="D407" t="s">
        <v>38</v>
      </c>
      <c r="E407" t="s">
        <v>648</v>
      </c>
      <c r="F407" t="s">
        <v>966</v>
      </c>
      <c r="G407" t="s">
        <v>643</v>
      </c>
      <c r="H407">
        <v>42</v>
      </c>
      <c r="I407" t="s">
        <v>644</v>
      </c>
      <c r="J407">
        <v>7000</v>
      </c>
      <c r="K407" s="1">
        <v>44763</v>
      </c>
      <c r="L407">
        <v>2022</v>
      </c>
      <c r="M407" t="str">
        <f>UPPER(TEXT(_2020_2022[[#This Row],[Data da Venda]],"mmm"))</f>
        <v>JUL</v>
      </c>
    </row>
    <row r="408" spans="1:13" x14ac:dyDescent="0.25">
      <c r="A408" t="s">
        <v>1442</v>
      </c>
      <c r="B408">
        <v>1200</v>
      </c>
      <c r="C408">
        <v>4</v>
      </c>
      <c r="D408" t="s">
        <v>31</v>
      </c>
      <c r="E408" t="s">
        <v>645</v>
      </c>
      <c r="F408" t="s">
        <v>967</v>
      </c>
      <c r="G408" t="s">
        <v>643</v>
      </c>
      <c r="H408">
        <v>38</v>
      </c>
      <c r="I408" t="s">
        <v>644</v>
      </c>
      <c r="J408">
        <v>4800</v>
      </c>
      <c r="K408" s="1">
        <v>44707</v>
      </c>
      <c r="L408">
        <v>2022</v>
      </c>
      <c r="M408" t="str">
        <f>UPPER(TEXT(_2020_2022[[#This Row],[Data da Venda]],"mmm"))</f>
        <v>MAI</v>
      </c>
    </row>
    <row r="409" spans="1:13" x14ac:dyDescent="0.25">
      <c r="A409" t="s">
        <v>28</v>
      </c>
      <c r="B409">
        <v>1400</v>
      </c>
      <c r="C409">
        <v>3</v>
      </c>
      <c r="D409" t="s">
        <v>30</v>
      </c>
      <c r="E409" t="s">
        <v>645</v>
      </c>
      <c r="F409" t="s">
        <v>752</v>
      </c>
      <c r="G409" t="s">
        <v>650</v>
      </c>
      <c r="H409">
        <v>54</v>
      </c>
      <c r="I409" t="s">
        <v>647</v>
      </c>
      <c r="J409">
        <v>4200</v>
      </c>
      <c r="K409" s="1">
        <v>44728</v>
      </c>
      <c r="L409">
        <v>2022</v>
      </c>
      <c r="M409" t="str">
        <f>UPPER(TEXT(_2020_2022[[#This Row],[Data da Venda]],"mmm"))</f>
        <v>JUN</v>
      </c>
    </row>
    <row r="410" spans="1:13" x14ac:dyDescent="0.25">
      <c r="A410" t="s">
        <v>15</v>
      </c>
      <c r="B410">
        <v>1900</v>
      </c>
      <c r="C410">
        <v>4</v>
      </c>
      <c r="D410" t="s">
        <v>41</v>
      </c>
      <c r="E410" t="s">
        <v>681</v>
      </c>
      <c r="F410" t="s">
        <v>948</v>
      </c>
      <c r="G410" t="s">
        <v>643</v>
      </c>
      <c r="H410">
        <v>28</v>
      </c>
      <c r="I410" t="s">
        <v>651</v>
      </c>
      <c r="J410">
        <v>7600</v>
      </c>
      <c r="K410" s="1">
        <v>44629</v>
      </c>
      <c r="L410">
        <v>2022</v>
      </c>
      <c r="M410" t="str">
        <f>UPPER(TEXT(_2020_2022[[#This Row],[Data da Venda]],"mmm"))</f>
        <v>MAR</v>
      </c>
    </row>
    <row r="411" spans="1:13" x14ac:dyDescent="0.25">
      <c r="A411" t="s">
        <v>11</v>
      </c>
      <c r="B411">
        <v>4500</v>
      </c>
      <c r="C411">
        <v>2</v>
      </c>
      <c r="D411" t="s">
        <v>33</v>
      </c>
      <c r="E411" t="s">
        <v>641</v>
      </c>
      <c r="F411" t="s">
        <v>854</v>
      </c>
      <c r="G411" t="s">
        <v>643</v>
      </c>
      <c r="H411">
        <v>46</v>
      </c>
      <c r="I411" t="s">
        <v>644</v>
      </c>
      <c r="J411">
        <v>9000</v>
      </c>
      <c r="K411" s="1">
        <v>44605</v>
      </c>
      <c r="L411">
        <v>2022</v>
      </c>
      <c r="M411" t="str">
        <f>UPPER(TEXT(_2020_2022[[#This Row],[Data da Venda]],"mmm"))</f>
        <v>FEV</v>
      </c>
    </row>
    <row r="412" spans="1:13" x14ac:dyDescent="0.25">
      <c r="A412" t="s">
        <v>12</v>
      </c>
      <c r="B412">
        <v>6500</v>
      </c>
      <c r="C412">
        <v>3</v>
      </c>
      <c r="D412" t="s">
        <v>36</v>
      </c>
      <c r="E412" t="s">
        <v>677</v>
      </c>
      <c r="F412" t="s">
        <v>796</v>
      </c>
      <c r="G412" t="s">
        <v>643</v>
      </c>
      <c r="H412">
        <v>33</v>
      </c>
      <c r="I412" t="s">
        <v>644</v>
      </c>
      <c r="J412">
        <v>19500</v>
      </c>
      <c r="K412" s="1">
        <v>44655</v>
      </c>
      <c r="L412">
        <v>2022</v>
      </c>
      <c r="M412" t="str">
        <f>UPPER(TEXT(_2020_2022[[#This Row],[Data da Venda]],"mmm"))</f>
        <v>ABR</v>
      </c>
    </row>
    <row r="413" spans="1:13" x14ac:dyDescent="0.25">
      <c r="A413" t="s">
        <v>11</v>
      </c>
      <c r="B413">
        <v>4500</v>
      </c>
      <c r="C413">
        <v>1</v>
      </c>
      <c r="D413" t="s">
        <v>37</v>
      </c>
      <c r="E413" t="s">
        <v>645</v>
      </c>
      <c r="F413" t="s">
        <v>968</v>
      </c>
      <c r="G413" t="s">
        <v>650</v>
      </c>
      <c r="H413">
        <v>25</v>
      </c>
      <c r="I413" t="s">
        <v>651</v>
      </c>
      <c r="J413">
        <v>4500</v>
      </c>
      <c r="K413" s="1">
        <v>44916</v>
      </c>
      <c r="L413">
        <v>2022</v>
      </c>
      <c r="M413" t="str">
        <f>UPPER(TEXT(_2020_2022[[#This Row],[Data da Venda]],"mmm"))</f>
        <v>DEZ</v>
      </c>
    </row>
    <row r="414" spans="1:13" x14ac:dyDescent="0.25">
      <c r="A414" t="s">
        <v>1444</v>
      </c>
      <c r="B414">
        <v>1500</v>
      </c>
      <c r="C414">
        <v>2</v>
      </c>
      <c r="D414" t="s">
        <v>29</v>
      </c>
      <c r="E414" t="s">
        <v>641</v>
      </c>
      <c r="F414" t="s">
        <v>969</v>
      </c>
      <c r="G414" t="s">
        <v>650</v>
      </c>
      <c r="H414">
        <v>34</v>
      </c>
      <c r="I414" t="s">
        <v>644</v>
      </c>
      <c r="J414">
        <v>3000</v>
      </c>
      <c r="K414" s="1">
        <v>44684</v>
      </c>
      <c r="L414">
        <v>2022</v>
      </c>
      <c r="M414" t="str">
        <f>UPPER(TEXT(_2020_2022[[#This Row],[Data da Venda]],"mmm"))</f>
        <v>MAI</v>
      </c>
    </row>
    <row r="415" spans="1:13" x14ac:dyDescent="0.25">
      <c r="A415" t="s">
        <v>1440</v>
      </c>
      <c r="B415">
        <v>700</v>
      </c>
      <c r="C415">
        <v>2</v>
      </c>
      <c r="D415" t="s">
        <v>33</v>
      </c>
      <c r="E415" t="s">
        <v>641</v>
      </c>
      <c r="F415" t="s">
        <v>970</v>
      </c>
      <c r="G415" t="s">
        <v>643</v>
      </c>
      <c r="H415">
        <v>75</v>
      </c>
      <c r="I415" t="s">
        <v>647</v>
      </c>
      <c r="J415">
        <v>1400</v>
      </c>
      <c r="K415" s="1">
        <v>44714</v>
      </c>
      <c r="L415">
        <v>2022</v>
      </c>
      <c r="M415" t="str">
        <f>UPPER(TEXT(_2020_2022[[#This Row],[Data da Venda]],"mmm"))</f>
        <v>JUN</v>
      </c>
    </row>
    <row r="416" spans="1:13" x14ac:dyDescent="0.25">
      <c r="A416" t="s">
        <v>18</v>
      </c>
      <c r="B416">
        <v>3000</v>
      </c>
      <c r="C416">
        <v>5</v>
      </c>
      <c r="D416" t="s">
        <v>37</v>
      </c>
      <c r="E416" t="s">
        <v>645</v>
      </c>
      <c r="F416" t="s">
        <v>971</v>
      </c>
      <c r="G416" t="s">
        <v>643</v>
      </c>
      <c r="H416">
        <v>43</v>
      </c>
      <c r="I416" t="s">
        <v>644</v>
      </c>
      <c r="J416">
        <v>15000</v>
      </c>
      <c r="K416" s="1">
        <v>44637</v>
      </c>
      <c r="L416">
        <v>2022</v>
      </c>
      <c r="M416" t="str">
        <f>UPPER(TEXT(_2020_2022[[#This Row],[Data da Venda]],"mmm"))</f>
        <v>MAR</v>
      </c>
    </row>
    <row r="417" spans="1:13" x14ac:dyDescent="0.25">
      <c r="A417" t="s">
        <v>7</v>
      </c>
      <c r="B417">
        <v>750</v>
      </c>
      <c r="C417">
        <v>2</v>
      </c>
      <c r="D417" t="s">
        <v>41</v>
      </c>
      <c r="E417" t="s">
        <v>681</v>
      </c>
      <c r="F417" t="s">
        <v>972</v>
      </c>
      <c r="G417" t="s">
        <v>643</v>
      </c>
      <c r="H417">
        <v>42</v>
      </c>
      <c r="I417" t="s">
        <v>644</v>
      </c>
      <c r="J417">
        <v>1500</v>
      </c>
      <c r="K417" s="1">
        <v>44917</v>
      </c>
      <c r="L417">
        <v>2022</v>
      </c>
      <c r="M417" t="str">
        <f>UPPER(TEXT(_2020_2022[[#This Row],[Data da Venda]],"mmm"))</f>
        <v>DEZ</v>
      </c>
    </row>
    <row r="418" spans="1:13" x14ac:dyDescent="0.25">
      <c r="A418" t="s">
        <v>18</v>
      </c>
      <c r="B418">
        <v>3000</v>
      </c>
      <c r="C418">
        <v>1</v>
      </c>
      <c r="D418" t="s">
        <v>32</v>
      </c>
      <c r="E418" t="s">
        <v>652</v>
      </c>
      <c r="F418" t="s">
        <v>871</v>
      </c>
      <c r="G418" t="s">
        <v>650</v>
      </c>
      <c r="H418">
        <v>56</v>
      </c>
      <c r="I418" t="s">
        <v>647</v>
      </c>
      <c r="J418">
        <v>3000</v>
      </c>
      <c r="K418" s="1">
        <v>44696</v>
      </c>
      <c r="L418">
        <v>2022</v>
      </c>
      <c r="M418" t="str">
        <f>UPPER(TEXT(_2020_2022[[#This Row],[Data da Venda]],"mmm"))</f>
        <v>MAI</v>
      </c>
    </row>
    <row r="419" spans="1:13" x14ac:dyDescent="0.25">
      <c r="A419" t="s">
        <v>28</v>
      </c>
      <c r="B419">
        <v>1400</v>
      </c>
      <c r="C419">
        <v>4</v>
      </c>
      <c r="D419" t="s">
        <v>37</v>
      </c>
      <c r="E419" t="s">
        <v>645</v>
      </c>
      <c r="F419" t="s">
        <v>973</v>
      </c>
      <c r="G419" t="s">
        <v>643</v>
      </c>
      <c r="H419">
        <v>72</v>
      </c>
      <c r="I419" t="s">
        <v>647</v>
      </c>
      <c r="J419">
        <v>5600</v>
      </c>
      <c r="K419" s="1">
        <v>44710</v>
      </c>
      <c r="L419">
        <v>2022</v>
      </c>
      <c r="M419" t="str">
        <f>UPPER(TEXT(_2020_2022[[#This Row],[Data da Venda]],"mmm"))</f>
        <v>MAI</v>
      </c>
    </row>
    <row r="420" spans="1:13" x14ac:dyDescent="0.25">
      <c r="A420" t="s">
        <v>1444</v>
      </c>
      <c r="B420">
        <v>1500</v>
      </c>
      <c r="C420">
        <v>3</v>
      </c>
      <c r="D420" t="s">
        <v>35</v>
      </c>
      <c r="E420" t="s">
        <v>666</v>
      </c>
      <c r="F420" t="s">
        <v>974</v>
      </c>
      <c r="G420" t="s">
        <v>643</v>
      </c>
      <c r="H420">
        <v>54</v>
      </c>
      <c r="I420" t="s">
        <v>647</v>
      </c>
      <c r="J420">
        <v>4500</v>
      </c>
      <c r="K420" s="1">
        <v>44815</v>
      </c>
      <c r="L420">
        <v>2022</v>
      </c>
      <c r="M420" t="str">
        <f>UPPER(TEXT(_2020_2022[[#This Row],[Data da Venda]],"mmm"))</f>
        <v>SET</v>
      </c>
    </row>
    <row r="421" spans="1:13" x14ac:dyDescent="0.25">
      <c r="A421" t="s">
        <v>13</v>
      </c>
      <c r="B421">
        <v>2300</v>
      </c>
      <c r="C421">
        <v>3</v>
      </c>
      <c r="D421" t="s">
        <v>32</v>
      </c>
      <c r="E421" t="s">
        <v>652</v>
      </c>
      <c r="F421" t="s">
        <v>698</v>
      </c>
      <c r="G421" t="s">
        <v>650</v>
      </c>
      <c r="H421">
        <v>45</v>
      </c>
      <c r="I421" t="s">
        <v>644</v>
      </c>
      <c r="J421">
        <v>6900</v>
      </c>
      <c r="K421" s="1">
        <v>44901</v>
      </c>
      <c r="L421">
        <v>2022</v>
      </c>
      <c r="M421" t="str">
        <f>UPPER(TEXT(_2020_2022[[#This Row],[Data da Venda]],"mmm"))</f>
        <v>DEZ</v>
      </c>
    </row>
    <row r="422" spans="1:13" x14ac:dyDescent="0.25">
      <c r="A422" t="s">
        <v>1443</v>
      </c>
      <c r="B422">
        <v>1550</v>
      </c>
      <c r="C422">
        <v>3</v>
      </c>
      <c r="D422" t="s">
        <v>38</v>
      </c>
      <c r="E422" t="s">
        <v>648</v>
      </c>
      <c r="F422" t="s">
        <v>649</v>
      </c>
      <c r="G422" t="s">
        <v>650</v>
      </c>
      <c r="H422">
        <v>27</v>
      </c>
      <c r="I422" t="s">
        <v>651</v>
      </c>
      <c r="J422">
        <v>4650</v>
      </c>
      <c r="K422" s="1">
        <v>44897</v>
      </c>
      <c r="L422">
        <v>2022</v>
      </c>
      <c r="M422" t="str">
        <f>UPPER(TEXT(_2020_2022[[#This Row],[Data da Venda]],"mmm"))</f>
        <v>DEZ</v>
      </c>
    </row>
    <row r="423" spans="1:13" x14ac:dyDescent="0.25">
      <c r="A423" t="s">
        <v>18</v>
      </c>
      <c r="B423">
        <v>3000</v>
      </c>
      <c r="C423">
        <v>4</v>
      </c>
      <c r="D423" t="s">
        <v>30</v>
      </c>
      <c r="E423" t="s">
        <v>645</v>
      </c>
      <c r="F423" t="s">
        <v>896</v>
      </c>
      <c r="G423" t="s">
        <v>643</v>
      </c>
      <c r="H423">
        <v>47</v>
      </c>
      <c r="I423" t="s">
        <v>644</v>
      </c>
      <c r="J423">
        <v>12000</v>
      </c>
      <c r="K423" s="1">
        <v>44751</v>
      </c>
      <c r="L423">
        <v>2022</v>
      </c>
      <c r="M423" t="str">
        <f>UPPER(TEXT(_2020_2022[[#This Row],[Data da Venda]],"mmm"))</f>
        <v>JUL</v>
      </c>
    </row>
    <row r="424" spans="1:13" x14ac:dyDescent="0.25">
      <c r="A424" t="s">
        <v>5</v>
      </c>
      <c r="B424">
        <v>1750</v>
      </c>
      <c r="C424">
        <v>5</v>
      </c>
      <c r="D424" t="s">
        <v>31</v>
      </c>
      <c r="E424" t="s">
        <v>645</v>
      </c>
      <c r="F424" t="s">
        <v>776</v>
      </c>
      <c r="G424" t="s">
        <v>643</v>
      </c>
      <c r="H424">
        <v>29</v>
      </c>
      <c r="I424" t="s">
        <v>651</v>
      </c>
      <c r="J424">
        <v>8750</v>
      </c>
      <c r="K424" s="1">
        <v>44661</v>
      </c>
      <c r="L424">
        <v>2022</v>
      </c>
      <c r="M424" t="str">
        <f>UPPER(TEXT(_2020_2022[[#This Row],[Data da Venda]],"mmm"))</f>
        <v>ABR</v>
      </c>
    </row>
    <row r="425" spans="1:13" x14ac:dyDescent="0.25">
      <c r="A425" t="s">
        <v>13</v>
      </c>
      <c r="B425">
        <v>2300</v>
      </c>
      <c r="C425">
        <v>4</v>
      </c>
      <c r="D425" t="s">
        <v>30</v>
      </c>
      <c r="E425" t="s">
        <v>645</v>
      </c>
      <c r="F425" t="s">
        <v>975</v>
      </c>
      <c r="G425" t="s">
        <v>650</v>
      </c>
      <c r="H425">
        <v>58</v>
      </c>
      <c r="I425" t="s">
        <v>647</v>
      </c>
      <c r="J425">
        <v>9200</v>
      </c>
      <c r="K425" s="1">
        <v>44793</v>
      </c>
      <c r="L425">
        <v>2022</v>
      </c>
      <c r="M425" t="str">
        <f>UPPER(TEXT(_2020_2022[[#This Row],[Data da Venda]],"mmm"))</f>
        <v>AGO</v>
      </c>
    </row>
    <row r="426" spans="1:13" x14ac:dyDescent="0.25">
      <c r="A426" t="s">
        <v>1445</v>
      </c>
      <c r="B426">
        <v>1500</v>
      </c>
      <c r="C426">
        <v>1</v>
      </c>
      <c r="D426" t="s">
        <v>29</v>
      </c>
      <c r="E426" t="s">
        <v>641</v>
      </c>
      <c r="F426" t="s">
        <v>888</v>
      </c>
      <c r="G426" t="s">
        <v>650</v>
      </c>
      <c r="H426">
        <v>60</v>
      </c>
      <c r="I426" t="s">
        <v>647</v>
      </c>
      <c r="J426">
        <v>1500</v>
      </c>
      <c r="K426" s="1">
        <v>44602</v>
      </c>
      <c r="L426">
        <v>2022</v>
      </c>
      <c r="M426" t="str">
        <f>UPPER(TEXT(_2020_2022[[#This Row],[Data da Venda]],"mmm"))</f>
        <v>FEV</v>
      </c>
    </row>
    <row r="427" spans="1:13" x14ac:dyDescent="0.25">
      <c r="A427" t="s">
        <v>1442</v>
      </c>
      <c r="B427">
        <v>1200</v>
      </c>
      <c r="C427">
        <v>2</v>
      </c>
      <c r="D427" t="s">
        <v>29</v>
      </c>
      <c r="E427" t="s">
        <v>641</v>
      </c>
      <c r="F427" t="s">
        <v>807</v>
      </c>
      <c r="G427" t="s">
        <v>643</v>
      </c>
      <c r="H427">
        <v>28</v>
      </c>
      <c r="I427" t="s">
        <v>651</v>
      </c>
      <c r="J427">
        <v>2400</v>
      </c>
      <c r="K427" s="1">
        <v>44880</v>
      </c>
      <c r="L427">
        <v>2022</v>
      </c>
      <c r="M427" t="str">
        <f>UPPER(TEXT(_2020_2022[[#This Row],[Data da Venda]],"mmm"))</f>
        <v>NOV</v>
      </c>
    </row>
    <row r="428" spans="1:13" x14ac:dyDescent="0.25">
      <c r="A428" t="s">
        <v>18</v>
      </c>
      <c r="B428">
        <v>3000</v>
      </c>
      <c r="C428">
        <v>1</v>
      </c>
      <c r="D428" t="s">
        <v>36</v>
      </c>
      <c r="E428" t="s">
        <v>677</v>
      </c>
      <c r="F428" t="s">
        <v>976</v>
      </c>
      <c r="G428" t="s">
        <v>643</v>
      </c>
      <c r="H428">
        <v>34</v>
      </c>
      <c r="I428" t="s">
        <v>644</v>
      </c>
      <c r="J428">
        <v>3000</v>
      </c>
      <c r="K428" s="1">
        <v>44630</v>
      </c>
      <c r="L428">
        <v>2022</v>
      </c>
      <c r="M428" t="str">
        <f>UPPER(TEXT(_2020_2022[[#This Row],[Data da Venda]],"mmm"))</f>
        <v>MAR</v>
      </c>
    </row>
    <row r="429" spans="1:13" x14ac:dyDescent="0.25">
      <c r="A429" t="s">
        <v>5</v>
      </c>
      <c r="B429">
        <v>1750</v>
      </c>
      <c r="C429">
        <v>5</v>
      </c>
      <c r="D429" t="s">
        <v>36</v>
      </c>
      <c r="E429" t="s">
        <v>677</v>
      </c>
      <c r="F429" t="s">
        <v>733</v>
      </c>
      <c r="G429" t="s">
        <v>643</v>
      </c>
      <c r="H429">
        <v>75</v>
      </c>
      <c r="I429" t="s">
        <v>647</v>
      </c>
      <c r="J429">
        <v>8750</v>
      </c>
      <c r="K429" s="1">
        <v>44791</v>
      </c>
      <c r="L429">
        <v>2022</v>
      </c>
      <c r="M429" t="str">
        <f>UPPER(TEXT(_2020_2022[[#This Row],[Data da Venda]],"mmm"))</f>
        <v>AGO</v>
      </c>
    </row>
    <row r="430" spans="1:13" x14ac:dyDescent="0.25">
      <c r="A430" t="s">
        <v>25</v>
      </c>
      <c r="B430">
        <v>2500</v>
      </c>
      <c r="C430">
        <v>3</v>
      </c>
      <c r="D430" t="s">
        <v>34</v>
      </c>
      <c r="E430" t="s">
        <v>679</v>
      </c>
      <c r="F430" t="s">
        <v>977</v>
      </c>
      <c r="G430" t="s">
        <v>650</v>
      </c>
      <c r="H430">
        <v>49</v>
      </c>
      <c r="I430" t="s">
        <v>644</v>
      </c>
      <c r="J430">
        <v>7500</v>
      </c>
      <c r="K430" s="1">
        <v>44562</v>
      </c>
      <c r="L430">
        <v>2022</v>
      </c>
      <c r="M430" t="str">
        <f>UPPER(TEXT(_2020_2022[[#This Row],[Data da Venda]],"mmm"))</f>
        <v>JAN</v>
      </c>
    </row>
    <row r="431" spans="1:13" x14ac:dyDescent="0.25">
      <c r="A431" t="s">
        <v>16</v>
      </c>
      <c r="B431">
        <v>1400</v>
      </c>
      <c r="C431">
        <v>2</v>
      </c>
      <c r="D431" t="s">
        <v>32</v>
      </c>
      <c r="E431" t="s">
        <v>652</v>
      </c>
      <c r="F431" t="s">
        <v>768</v>
      </c>
      <c r="G431" t="s">
        <v>643</v>
      </c>
      <c r="H431">
        <v>56</v>
      </c>
      <c r="I431" t="s">
        <v>647</v>
      </c>
      <c r="J431">
        <v>2800</v>
      </c>
      <c r="K431" s="1">
        <v>44693</v>
      </c>
      <c r="L431">
        <v>2022</v>
      </c>
      <c r="M431" t="str">
        <f>UPPER(TEXT(_2020_2022[[#This Row],[Data da Venda]],"mmm"))</f>
        <v>MAI</v>
      </c>
    </row>
    <row r="432" spans="1:13" x14ac:dyDescent="0.25">
      <c r="A432" t="s">
        <v>20</v>
      </c>
      <c r="B432">
        <v>2600</v>
      </c>
      <c r="C432">
        <v>4</v>
      </c>
      <c r="D432" t="s">
        <v>29</v>
      </c>
      <c r="E432" t="s">
        <v>641</v>
      </c>
      <c r="F432" t="s">
        <v>978</v>
      </c>
      <c r="G432" t="s">
        <v>650</v>
      </c>
      <c r="H432">
        <v>51</v>
      </c>
      <c r="I432" t="s">
        <v>647</v>
      </c>
      <c r="J432">
        <v>10400</v>
      </c>
      <c r="K432" s="1">
        <v>44818</v>
      </c>
      <c r="L432">
        <v>2022</v>
      </c>
      <c r="M432" t="str">
        <f>UPPER(TEXT(_2020_2022[[#This Row],[Data da Venda]],"mmm"))</f>
        <v>SET</v>
      </c>
    </row>
    <row r="433" spans="1:13" x14ac:dyDescent="0.25">
      <c r="A433" t="s">
        <v>1442</v>
      </c>
      <c r="B433">
        <v>1200</v>
      </c>
      <c r="C433">
        <v>2</v>
      </c>
      <c r="D433" t="s">
        <v>31</v>
      </c>
      <c r="E433" t="s">
        <v>645</v>
      </c>
      <c r="F433" t="s">
        <v>979</v>
      </c>
      <c r="G433" t="s">
        <v>650</v>
      </c>
      <c r="H433">
        <v>69</v>
      </c>
      <c r="I433" t="s">
        <v>647</v>
      </c>
      <c r="J433">
        <v>2400</v>
      </c>
      <c r="K433" s="1">
        <v>44786</v>
      </c>
      <c r="L433">
        <v>2022</v>
      </c>
      <c r="M433" t="str">
        <f>UPPER(TEXT(_2020_2022[[#This Row],[Data da Venda]],"mmm"))</f>
        <v>AGO</v>
      </c>
    </row>
    <row r="434" spans="1:13" x14ac:dyDescent="0.25">
      <c r="A434" t="s">
        <v>18</v>
      </c>
      <c r="B434">
        <v>3000</v>
      </c>
      <c r="C434">
        <v>3</v>
      </c>
      <c r="D434" t="s">
        <v>31</v>
      </c>
      <c r="E434" t="s">
        <v>645</v>
      </c>
      <c r="F434" t="s">
        <v>980</v>
      </c>
      <c r="G434" t="s">
        <v>643</v>
      </c>
      <c r="H434">
        <v>47</v>
      </c>
      <c r="I434" t="s">
        <v>644</v>
      </c>
      <c r="J434">
        <v>9000</v>
      </c>
      <c r="K434" s="1">
        <v>44890</v>
      </c>
      <c r="L434">
        <v>2022</v>
      </c>
      <c r="M434" t="str">
        <f>UPPER(TEXT(_2020_2022[[#This Row],[Data da Venda]],"mmm"))</f>
        <v>NOV</v>
      </c>
    </row>
    <row r="435" spans="1:13" x14ac:dyDescent="0.25">
      <c r="A435" t="s">
        <v>21</v>
      </c>
      <c r="B435">
        <v>2400</v>
      </c>
      <c r="C435">
        <v>2</v>
      </c>
      <c r="D435" t="s">
        <v>40</v>
      </c>
      <c r="E435" t="s">
        <v>657</v>
      </c>
      <c r="F435" t="s">
        <v>658</v>
      </c>
      <c r="G435" t="s">
        <v>643</v>
      </c>
      <c r="H435">
        <v>56</v>
      </c>
      <c r="I435" t="s">
        <v>647</v>
      </c>
      <c r="J435">
        <v>4800</v>
      </c>
      <c r="K435" s="1">
        <v>44575</v>
      </c>
      <c r="L435">
        <v>2022</v>
      </c>
      <c r="M435" t="str">
        <f>UPPER(TEXT(_2020_2022[[#This Row],[Data da Venda]],"mmm"))</f>
        <v>JAN</v>
      </c>
    </row>
    <row r="436" spans="1:13" x14ac:dyDescent="0.25">
      <c r="A436" t="s">
        <v>20</v>
      </c>
      <c r="B436">
        <v>2600</v>
      </c>
      <c r="C436">
        <v>4</v>
      </c>
      <c r="D436" t="s">
        <v>33</v>
      </c>
      <c r="E436" t="s">
        <v>641</v>
      </c>
      <c r="F436" t="s">
        <v>981</v>
      </c>
      <c r="G436" t="s">
        <v>643</v>
      </c>
      <c r="H436">
        <v>49</v>
      </c>
      <c r="I436" t="s">
        <v>644</v>
      </c>
      <c r="J436">
        <v>10400</v>
      </c>
      <c r="K436" s="1">
        <v>44817</v>
      </c>
      <c r="L436">
        <v>2022</v>
      </c>
      <c r="M436" t="str">
        <f>UPPER(TEXT(_2020_2022[[#This Row],[Data da Venda]],"mmm"))</f>
        <v>SET</v>
      </c>
    </row>
    <row r="437" spans="1:13" x14ac:dyDescent="0.25">
      <c r="A437" t="s">
        <v>1442</v>
      </c>
      <c r="B437">
        <v>1200</v>
      </c>
      <c r="C437">
        <v>5</v>
      </c>
      <c r="D437" t="s">
        <v>29</v>
      </c>
      <c r="E437" t="s">
        <v>641</v>
      </c>
      <c r="F437" t="s">
        <v>982</v>
      </c>
      <c r="G437" t="s">
        <v>643</v>
      </c>
      <c r="H437">
        <v>29</v>
      </c>
      <c r="I437" t="s">
        <v>651</v>
      </c>
      <c r="J437">
        <v>6000</v>
      </c>
      <c r="K437" s="1">
        <v>44748</v>
      </c>
      <c r="L437">
        <v>2022</v>
      </c>
      <c r="M437" t="str">
        <f>UPPER(TEXT(_2020_2022[[#This Row],[Data da Venda]],"mmm"))</f>
        <v>JUL</v>
      </c>
    </row>
    <row r="438" spans="1:13" x14ac:dyDescent="0.25">
      <c r="A438" t="s">
        <v>5</v>
      </c>
      <c r="B438">
        <v>1750</v>
      </c>
      <c r="C438">
        <v>3</v>
      </c>
      <c r="D438" t="s">
        <v>29</v>
      </c>
      <c r="E438" t="s">
        <v>641</v>
      </c>
      <c r="F438" t="s">
        <v>983</v>
      </c>
      <c r="G438" t="s">
        <v>643</v>
      </c>
      <c r="H438">
        <v>34</v>
      </c>
      <c r="I438" t="s">
        <v>644</v>
      </c>
      <c r="J438">
        <v>5250</v>
      </c>
      <c r="K438" s="1">
        <v>44777</v>
      </c>
      <c r="L438">
        <v>2022</v>
      </c>
      <c r="M438" t="str">
        <f>UPPER(TEXT(_2020_2022[[#This Row],[Data da Venda]],"mmm"))</f>
        <v>AGO</v>
      </c>
    </row>
    <row r="439" spans="1:13" x14ac:dyDescent="0.25">
      <c r="A439" t="s">
        <v>1445</v>
      </c>
      <c r="B439">
        <v>1500</v>
      </c>
      <c r="C439">
        <v>1</v>
      </c>
      <c r="D439" t="s">
        <v>29</v>
      </c>
      <c r="E439" t="s">
        <v>641</v>
      </c>
      <c r="F439" t="s">
        <v>984</v>
      </c>
      <c r="G439" t="s">
        <v>650</v>
      </c>
      <c r="H439">
        <v>37</v>
      </c>
      <c r="I439" t="s">
        <v>644</v>
      </c>
      <c r="J439">
        <v>1500</v>
      </c>
      <c r="K439" s="1">
        <v>44875</v>
      </c>
      <c r="L439">
        <v>2022</v>
      </c>
      <c r="M439" t="str">
        <f>UPPER(TEXT(_2020_2022[[#This Row],[Data da Venda]],"mmm"))</f>
        <v>NOV</v>
      </c>
    </row>
    <row r="440" spans="1:13" x14ac:dyDescent="0.25">
      <c r="A440" t="s">
        <v>28</v>
      </c>
      <c r="B440">
        <v>1400</v>
      </c>
      <c r="C440">
        <v>1</v>
      </c>
      <c r="D440" t="s">
        <v>35</v>
      </c>
      <c r="E440" t="s">
        <v>666</v>
      </c>
      <c r="F440" t="s">
        <v>985</v>
      </c>
      <c r="G440" t="s">
        <v>643</v>
      </c>
      <c r="H440">
        <v>42</v>
      </c>
      <c r="I440" t="s">
        <v>644</v>
      </c>
      <c r="J440">
        <v>1400</v>
      </c>
      <c r="K440" s="1">
        <v>44697</v>
      </c>
      <c r="L440">
        <v>2022</v>
      </c>
      <c r="M440" t="str">
        <f>UPPER(TEXT(_2020_2022[[#This Row],[Data da Venda]],"mmm"))</f>
        <v>MAI</v>
      </c>
    </row>
    <row r="441" spans="1:13" x14ac:dyDescent="0.25">
      <c r="A441" t="s">
        <v>13</v>
      </c>
      <c r="B441">
        <v>2300</v>
      </c>
      <c r="C441">
        <v>2</v>
      </c>
      <c r="D441" t="s">
        <v>29</v>
      </c>
      <c r="E441" t="s">
        <v>641</v>
      </c>
      <c r="F441" t="s">
        <v>986</v>
      </c>
      <c r="G441" t="s">
        <v>650</v>
      </c>
      <c r="H441">
        <v>53</v>
      </c>
      <c r="I441" t="s">
        <v>647</v>
      </c>
      <c r="J441">
        <v>4600</v>
      </c>
      <c r="K441" s="1">
        <v>44627</v>
      </c>
      <c r="L441">
        <v>2022</v>
      </c>
      <c r="M441" t="str">
        <f>UPPER(TEXT(_2020_2022[[#This Row],[Data da Venda]],"mmm"))</f>
        <v>MAR</v>
      </c>
    </row>
    <row r="442" spans="1:13" x14ac:dyDescent="0.25">
      <c r="A442" t="s">
        <v>1444</v>
      </c>
      <c r="B442">
        <v>1500</v>
      </c>
      <c r="C442">
        <v>3</v>
      </c>
      <c r="D442" t="s">
        <v>31</v>
      </c>
      <c r="E442" t="s">
        <v>645</v>
      </c>
      <c r="F442" t="s">
        <v>967</v>
      </c>
      <c r="G442" t="s">
        <v>643</v>
      </c>
      <c r="H442">
        <v>38</v>
      </c>
      <c r="I442" t="s">
        <v>644</v>
      </c>
      <c r="J442">
        <v>4500</v>
      </c>
      <c r="K442" s="1">
        <v>44605</v>
      </c>
      <c r="L442">
        <v>2022</v>
      </c>
      <c r="M442" t="str">
        <f>UPPER(TEXT(_2020_2022[[#This Row],[Data da Venda]],"mmm"))</f>
        <v>FEV</v>
      </c>
    </row>
    <row r="443" spans="1:13" x14ac:dyDescent="0.25">
      <c r="A443" t="s">
        <v>28</v>
      </c>
      <c r="B443">
        <v>1400</v>
      </c>
      <c r="C443">
        <v>1</v>
      </c>
      <c r="D443" t="s">
        <v>39</v>
      </c>
      <c r="E443" t="s">
        <v>641</v>
      </c>
      <c r="F443" t="s">
        <v>987</v>
      </c>
      <c r="G443" t="s">
        <v>650</v>
      </c>
      <c r="H443">
        <v>30</v>
      </c>
      <c r="I443" t="s">
        <v>644</v>
      </c>
      <c r="J443">
        <v>1400</v>
      </c>
      <c r="K443" s="1">
        <v>44871</v>
      </c>
      <c r="L443">
        <v>2022</v>
      </c>
      <c r="M443" t="str">
        <f>UPPER(TEXT(_2020_2022[[#This Row],[Data da Venda]],"mmm"))</f>
        <v>NOV</v>
      </c>
    </row>
    <row r="444" spans="1:13" x14ac:dyDescent="0.25">
      <c r="A444" t="s">
        <v>20</v>
      </c>
      <c r="B444">
        <v>2600</v>
      </c>
      <c r="C444">
        <v>1</v>
      </c>
      <c r="D444" t="s">
        <v>33</v>
      </c>
      <c r="E444" t="s">
        <v>641</v>
      </c>
      <c r="F444" t="s">
        <v>988</v>
      </c>
      <c r="G444" t="s">
        <v>650</v>
      </c>
      <c r="H444">
        <v>32</v>
      </c>
      <c r="I444" t="s">
        <v>644</v>
      </c>
      <c r="J444">
        <v>2600</v>
      </c>
      <c r="K444" s="1">
        <v>44719</v>
      </c>
      <c r="L444">
        <v>2022</v>
      </c>
      <c r="M444" t="str">
        <f>UPPER(TEXT(_2020_2022[[#This Row],[Data da Venda]],"mmm"))</f>
        <v>JUN</v>
      </c>
    </row>
    <row r="445" spans="1:13" x14ac:dyDescent="0.25">
      <c r="A445" t="s">
        <v>1444</v>
      </c>
      <c r="B445">
        <v>1500</v>
      </c>
      <c r="C445">
        <v>4</v>
      </c>
      <c r="D445" t="s">
        <v>29</v>
      </c>
      <c r="E445" t="s">
        <v>641</v>
      </c>
      <c r="F445" t="s">
        <v>989</v>
      </c>
      <c r="G445" t="s">
        <v>643</v>
      </c>
      <c r="H445">
        <v>33</v>
      </c>
      <c r="I445" t="s">
        <v>644</v>
      </c>
      <c r="J445">
        <v>6000</v>
      </c>
      <c r="K445" s="1">
        <v>44691</v>
      </c>
      <c r="L445">
        <v>2022</v>
      </c>
      <c r="M445" t="str">
        <f>UPPER(TEXT(_2020_2022[[#This Row],[Data da Venda]],"mmm"))</f>
        <v>MAI</v>
      </c>
    </row>
    <row r="446" spans="1:13" x14ac:dyDescent="0.25">
      <c r="A446" t="s">
        <v>1442</v>
      </c>
      <c r="B446">
        <v>1200</v>
      </c>
      <c r="C446">
        <v>4</v>
      </c>
      <c r="D446" t="s">
        <v>36</v>
      </c>
      <c r="E446" t="s">
        <v>677</v>
      </c>
      <c r="F446" t="s">
        <v>801</v>
      </c>
      <c r="G446" t="s">
        <v>650</v>
      </c>
      <c r="H446">
        <v>64</v>
      </c>
      <c r="I446" t="s">
        <v>647</v>
      </c>
      <c r="J446">
        <v>4800</v>
      </c>
      <c r="K446" s="1">
        <v>44912</v>
      </c>
      <c r="L446">
        <v>2022</v>
      </c>
      <c r="M446" t="str">
        <f>UPPER(TEXT(_2020_2022[[#This Row],[Data da Venda]],"mmm"))</f>
        <v>DEZ</v>
      </c>
    </row>
    <row r="447" spans="1:13" x14ac:dyDescent="0.25">
      <c r="A447" t="s">
        <v>20</v>
      </c>
      <c r="B447">
        <v>2600</v>
      </c>
      <c r="C447">
        <v>2</v>
      </c>
      <c r="D447" t="s">
        <v>29</v>
      </c>
      <c r="E447" t="s">
        <v>641</v>
      </c>
      <c r="F447" t="s">
        <v>990</v>
      </c>
      <c r="G447" t="s">
        <v>650</v>
      </c>
      <c r="H447">
        <v>58</v>
      </c>
      <c r="I447" t="s">
        <v>647</v>
      </c>
      <c r="J447">
        <v>5200</v>
      </c>
      <c r="K447" s="1">
        <v>44815</v>
      </c>
      <c r="L447">
        <v>2022</v>
      </c>
      <c r="M447" t="str">
        <f>UPPER(TEXT(_2020_2022[[#This Row],[Data da Venda]],"mmm"))</f>
        <v>SET</v>
      </c>
    </row>
    <row r="448" spans="1:13" x14ac:dyDescent="0.25">
      <c r="A448" t="s">
        <v>1441</v>
      </c>
      <c r="B448">
        <v>1450</v>
      </c>
      <c r="C448">
        <v>5</v>
      </c>
      <c r="D448" t="s">
        <v>39</v>
      </c>
      <c r="E448" t="s">
        <v>641</v>
      </c>
      <c r="F448" t="s">
        <v>670</v>
      </c>
      <c r="G448" t="s">
        <v>643</v>
      </c>
      <c r="H448">
        <v>37</v>
      </c>
      <c r="I448" t="s">
        <v>644</v>
      </c>
      <c r="J448">
        <v>7250</v>
      </c>
      <c r="K448" s="1">
        <v>44877</v>
      </c>
      <c r="L448">
        <v>2022</v>
      </c>
      <c r="M448" t="str">
        <f>UPPER(TEXT(_2020_2022[[#This Row],[Data da Venda]],"mmm"))</f>
        <v>NOV</v>
      </c>
    </row>
    <row r="449" spans="1:13" x14ac:dyDescent="0.25">
      <c r="A449" t="s">
        <v>1445</v>
      </c>
      <c r="B449">
        <v>1500</v>
      </c>
      <c r="C449">
        <v>5</v>
      </c>
      <c r="D449" t="s">
        <v>29</v>
      </c>
      <c r="E449" t="s">
        <v>641</v>
      </c>
      <c r="F449" t="s">
        <v>991</v>
      </c>
      <c r="G449" t="s">
        <v>643</v>
      </c>
      <c r="H449">
        <v>36</v>
      </c>
      <c r="I449" t="s">
        <v>644</v>
      </c>
      <c r="J449">
        <v>7500</v>
      </c>
      <c r="K449" s="1">
        <v>44651</v>
      </c>
      <c r="L449">
        <v>2022</v>
      </c>
      <c r="M449" t="str">
        <f>UPPER(TEXT(_2020_2022[[#This Row],[Data da Venda]],"mmm"))</f>
        <v>MAR</v>
      </c>
    </row>
    <row r="450" spans="1:13" x14ac:dyDescent="0.25">
      <c r="A450" t="s">
        <v>28</v>
      </c>
      <c r="B450">
        <v>1400</v>
      </c>
      <c r="C450">
        <v>4</v>
      </c>
      <c r="D450" t="s">
        <v>30</v>
      </c>
      <c r="E450" t="s">
        <v>645</v>
      </c>
      <c r="F450" t="s">
        <v>655</v>
      </c>
      <c r="G450" t="s">
        <v>643</v>
      </c>
      <c r="H450">
        <v>75</v>
      </c>
      <c r="I450" t="s">
        <v>647</v>
      </c>
      <c r="J450">
        <v>5600</v>
      </c>
      <c r="K450" s="1">
        <v>44577</v>
      </c>
      <c r="L450">
        <v>2022</v>
      </c>
      <c r="M450" t="str">
        <f>UPPER(TEXT(_2020_2022[[#This Row],[Data da Venda]],"mmm"))</f>
        <v>JAN</v>
      </c>
    </row>
    <row r="451" spans="1:13" x14ac:dyDescent="0.25">
      <c r="A451" t="s">
        <v>22</v>
      </c>
      <c r="B451">
        <v>5200</v>
      </c>
      <c r="C451">
        <v>1</v>
      </c>
      <c r="D451" t="s">
        <v>35</v>
      </c>
      <c r="E451" t="s">
        <v>666</v>
      </c>
      <c r="F451" t="s">
        <v>891</v>
      </c>
      <c r="G451" t="s">
        <v>650</v>
      </c>
      <c r="H451">
        <v>68</v>
      </c>
      <c r="I451" t="s">
        <v>647</v>
      </c>
      <c r="J451">
        <v>5200</v>
      </c>
      <c r="K451" s="1">
        <v>44687</v>
      </c>
      <c r="L451">
        <v>2022</v>
      </c>
      <c r="M451" t="str">
        <f>UPPER(TEXT(_2020_2022[[#This Row],[Data da Venda]],"mmm"))</f>
        <v>MAI</v>
      </c>
    </row>
    <row r="452" spans="1:13" x14ac:dyDescent="0.25">
      <c r="A452" t="s">
        <v>13</v>
      </c>
      <c r="B452">
        <v>2300</v>
      </c>
      <c r="C452">
        <v>3</v>
      </c>
      <c r="D452" t="s">
        <v>37</v>
      </c>
      <c r="E452" t="s">
        <v>645</v>
      </c>
      <c r="F452" t="s">
        <v>739</v>
      </c>
      <c r="G452" t="s">
        <v>650</v>
      </c>
      <c r="H452">
        <v>63</v>
      </c>
      <c r="I452" t="s">
        <v>647</v>
      </c>
      <c r="J452">
        <v>6900</v>
      </c>
      <c r="K452" s="1">
        <v>44732</v>
      </c>
      <c r="L452">
        <v>2022</v>
      </c>
      <c r="M452" t="str">
        <f>UPPER(TEXT(_2020_2022[[#This Row],[Data da Venda]],"mmm"))</f>
        <v>JUN</v>
      </c>
    </row>
    <row r="453" spans="1:13" x14ac:dyDescent="0.25">
      <c r="A453" t="s">
        <v>8</v>
      </c>
      <c r="B453">
        <v>5500</v>
      </c>
      <c r="C453">
        <v>3</v>
      </c>
      <c r="D453" t="s">
        <v>40</v>
      </c>
      <c r="E453" t="s">
        <v>657</v>
      </c>
      <c r="F453" t="s">
        <v>992</v>
      </c>
      <c r="G453" t="s">
        <v>643</v>
      </c>
      <c r="H453">
        <v>52</v>
      </c>
      <c r="I453" t="s">
        <v>647</v>
      </c>
      <c r="J453">
        <v>16500</v>
      </c>
      <c r="K453" s="1">
        <v>44816</v>
      </c>
      <c r="L453">
        <v>2022</v>
      </c>
      <c r="M453" t="str">
        <f>UPPER(TEXT(_2020_2022[[#This Row],[Data da Venda]],"mmm"))</f>
        <v>SET</v>
      </c>
    </row>
    <row r="454" spans="1:13" x14ac:dyDescent="0.25">
      <c r="A454" t="s">
        <v>20</v>
      </c>
      <c r="B454">
        <v>2600</v>
      </c>
      <c r="C454">
        <v>2</v>
      </c>
      <c r="D454" t="s">
        <v>35</v>
      </c>
      <c r="E454" t="s">
        <v>666</v>
      </c>
      <c r="F454" t="s">
        <v>993</v>
      </c>
      <c r="G454" t="s">
        <v>643</v>
      </c>
      <c r="H454">
        <v>25</v>
      </c>
      <c r="I454" t="s">
        <v>651</v>
      </c>
      <c r="J454">
        <v>5200</v>
      </c>
      <c r="K454" s="1">
        <v>44741</v>
      </c>
      <c r="L454">
        <v>2022</v>
      </c>
      <c r="M454" t="str">
        <f>UPPER(TEXT(_2020_2022[[#This Row],[Data da Venda]],"mmm"))</f>
        <v>JUN</v>
      </c>
    </row>
    <row r="455" spans="1:13" x14ac:dyDescent="0.25">
      <c r="A455" t="s">
        <v>13</v>
      </c>
      <c r="B455">
        <v>2300</v>
      </c>
      <c r="C455">
        <v>3</v>
      </c>
      <c r="D455" t="s">
        <v>29</v>
      </c>
      <c r="E455" t="s">
        <v>641</v>
      </c>
      <c r="F455" t="s">
        <v>994</v>
      </c>
      <c r="G455" t="s">
        <v>643</v>
      </c>
      <c r="H455">
        <v>46</v>
      </c>
      <c r="I455" t="s">
        <v>644</v>
      </c>
      <c r="J455">
        <v>6900</v>
      </c>
      <c r="K455" s="1">
        <v>44749</v>
      </c>
      <c r="L455">
        <v>2022</v>
      </c>
      <c r="M455" t="str">
        <f>UPPER(TEXT(_2020_2022[[#This Row],[Data da Venda]],"mmm"))</f>
        <v>JUL</v>
      </c>
    </row>
    <row r="456" spans="1:13" x14ac:dyDescent="0.25">
      <c r="A456" t="s">
        <v>16</v>
      </c>
      <c r="B456">
        <v>1400</v>
      </c>
      <c r="C456">
        <v>4</v>
      </c>
      <c r="D456" t="s">
        <v>34</v>
      </c>
      <c r="E456" t="s">
        <v>679</v>
      </c>
      <c r="F456" t="s">
        <v>995</v>
      </c>
      <c r="G456" t="s">
        <v>643</v>
      </c>
      <c r="H456">
        <v>35</v>
      </c>
      <c r="I456" t="s">
        <v>644</v>
      </c>
      <c r="J456">
        <v>5600</v>
      </c>
      <c r="K456" s="1">
        <v>44797</v>
      </c>
      <c r="L456">
        <v>2022</v>
      </c>
      <c r="M456" t="str">
        <f>UPPER(TEXT(_2020_2022[[#This Row],[Data da Venda]],"mmm"))</f>
        <v>AGO</v>
      </c>
    </row>
    <row r="457" spans="1:13" x14ac:dyDescent="0.25">
      <c r="A457" t="s">
        <v>1443</v>
      </c>
      <c r="B457">
        <v>1550</v>
      </c>
      <c r="C457">
        <v>5</v>
      </c>
      <c r="D457" t="s">
        <v>34</v>
      </c>
      <c r="E457" t="s">
        <v>679</v>
      </c>
      <c r="F457" t="s">
        <v>996</v>
      </c>
      <c r="G457" t="s">
        <v>650</v>
      </c>
      <c r="H457">
        <v>66</v>
      </c>
      <c r="I457" t="s">
        <v>647</v>
      </c>
      <c r="J457">
        <v>7750</v>
      </c>
      <c r="K457" s="1">
        <v>44655</v>
      </c>
      <c r="L457">
        <v>2022</v>
      </c>
      <c r="M457" t="str">
        <f>UPPER(TEXT(_2020_2022[[#This Row],[Data da Venda]],"mmm"))</f>
        <v>ABR</v>
      </c>
    </row>
    <row r="458" spans="1:13" x14ac:dyDescent="0.25">
      <c r="A458" t="s">
        <v>20</v>
      </c>
      <c r="B458">
        <v>2600</v>
      </c>
      <c r="C458">
        <v>3</v>
      </c>
      <c r="D458" t="s">
        <v>37</v>
      </c>
      <c r="E458" t="s">
        <v>645</v>
      </c>
      <c r="F458" t="s">
        <v>997</v>
      </c>
      <c r="G458" t="s">
        <v>643</v>
      </c>
      <c r="H458">
        <v>36</v>
      </c>
      <c r="I458" t="s">
        <v>644</v>
      </c>
      <c r="J458">
        <v>7800</v>
      </c>
      <c r="K458" s="1">
        <v>44615</v>
      </c>
      <c r="L458">
        <v>2022</v>
      </c>
      <c r="M458" t="str">
        <f>UPPER(TEXT(_2020_2022[[#This Row],[Data da Venda]],"mmm"))</f>
        <v>FEV</v>
      </c>
    </row>
    <row r="459" spans="1:13" x14ac:dyDescent="0.25">
      <c r="A459" t="s">
        <v>12</v>
      </c>
      <c r="B459">
        <v>6500</v>
      </c>
      <c r="C459">
        <v>5</v>
      </c>
      <c r="D459" t="s">
        <v>38</v>
      </c>
      <c r="E459" t="s">
        <v>648</v>
      </c>
      <c r="F459" t="s">
        <v>859</v>
      </c>
      <c r="G459" t="s">
        <v>650</v>
      </c>
      <c r="H459">
        <v>42</v>
      </c>
      <c r="I459" t="s">
        <v>644</v>
      </c>
      <c r="J459">
        <v>32500</v>
      </c>
      <c r="K459" s="1">
        <v>44658</v>
      </c>
      <c r="L459">
        <v>2022</v>
      </c>
      <c r="M459" t="str">
        <f>UPPER(TEXT(_2020_2022[[#This Row],[Data da Venda]],"mmm"))</f>
        <v>ABR</v>
      </c>
    </row>
    <row r="460" spans="1:13" x14ac:dyDescent="0.25">
      <c r="A460" t="s">
        <v>12</v>
      </c>
      <c r="B460">
        <v>6500</v>
      </c>
      <c r="C460">
        <v>2</v>
      </c>
      <c r="D460" t="s">
        <v>39</v>
      </c>
      <c r="E460" t="s">
        <v>641</v>
      </c>
      <c r="F460" t="s">
        <v>951</v>
      </c>
      <c r="G460" t="s">
        <v>650</v>
      </c>
      <c r="H460">
        <v>49</v>
      </c>
      <c r="I460" t="s">
        <v>644</v>
      </c>
      <c r="J460">
        <v>13000</v>
      </c>
      <c r="K460" s="1">
        <v>44628</v>
      </c>
      <c r="L460">
        <v>2022</v>
      </c>
      <c r="M460" t="str">
        <f>UPPER(TEXT(_2020_2022[[#This Row],[Data da Venda]],"mmm"))</f>
        <v>MAR</v>
      </c>
    </row>
    <row r="461" spans="1:13" x14ac:dyDescent="0.25">
      <c r="A461" t="s">
        <v>1444</v>
      </c>
      <c r="B461">
        <v>1500</v>
      </c>
      <c r="C461">
        <v>5</v>
      </c>
      <c r="D461" t="s">
        <v>36</v>
      </c>
      <c r="E461" t="s">
        <v>677</v>
      </c>
      <c r="F461" t="s">
        <v>998</v>
      </c>
      <c r="G461" t="s">
        <v>650</v>
      </c>
      <c r="H461">
        <v>68</v>
      </c>
      <c r="I461" t="s">
        <v>647</v>
      </c>
      <c r="J461">
        <v>7500</v>
      </c>
      <c r="K461" s="1">
        <v>44918</v>
      </c>
      <c r="L461">
        <v>2022</v>
      </c>
      <c r="M461" t="str">
        <f>UPPER(TEXT(_2020_2022[[#This Row],[Data da Venda]],"mmm"))</f>
        <v>DEZ</v>
      </c>
    </row>
    <row r="462" spans="1:13" x14ac:dyDescent="0.25">
      <c r="A462" t="s">
        <v>8</v>
      </c>
      <c r="B462">
        <v>5500</v>
      </c>
      <c r="C462">
        <v>1</v>
      </c>
      <c r="D462" t="s">
        <v>35</v>
      </c>
      <c r="E462" t="s">
        <v>666</v>
      </c>
      <c r="F462" t="s">
        <v>999</v>
      </c>
      <c r="G462" t="s">
        <v>643</v>
      </c>
      <c r="H462">
        <v>70</v>
      </c>
      <c r="I462" t="s">
        <v>647</v>
      </c>
      <c r="J462">
        <v>5500</v>
      </c>
      <c r="K462" s="1">
        <v>44767</v>
      </c>
      <c r="L462">
        <v>2022</v>
      </c>
      <c r="M462" t="str">
        <f>UPPER(TEXT(_2020_2022[[#This Row],[Data da Venda]],"mmm"))</f>
        <v>JUL</v>
      </c>
    </row>
    <row r="463" spans="1:13" x14ac:dyDescent="0.25">
      <c r="A463" t="s">
        <v>11</v>
      </c>
      <c r="B463">
        <v>4500</v>
      </c>
      <c r="C463">
        <v>3</v>
      </c>
      <c r="D463" t="s">
        <v>39</v>
      </c>
      <c r="E463" t="s">
        <v>641</v>
      </c>
      <c r="F463" t="s">
        <v>987</v>
      </c>
      <c r="G463" t="s">
        <v>650</v>
      </c>
      <c r="H463">
        <v>30</v>
      </c>
      <c r="I463" t="s">
        <v>644</v>
      </c>
      <c r="J463">
        <v>13500</v>
      </c>
      <c r="K463" s="1">
        <v>44653</v>
      </c>
      <c r="L463">
        <v>2022</v>
      </c>
      <c r="M463" t="str">
        <f>UPPER(TEXT(_2020_2022[[#This Row],[Data da Venda]],"mmm"))</f>
        <v>ABR</v>
      </c>
    </row>
    <row r="464" spans="1:13" x14ac:dyDescent="0.25">
      <c r="A464" t="s">
        <v>7</v>
      </c>
      <c r="B464">
        <v>750</v>
      </c>
      <c r="C464">
        <v>3</v>
      </c>
      <c r="D464" t="s">
        <v>36</v>
      </c>
      <c r="E464" t="s">
        <v>677</v>
      </c>
      <c r="F464" t="s">
        <v>937</v>
      </c>
      <c r="G464" t="s">
        <v>650</v>
      </c>
      <c r="H464">
        <v>39</v>
      </c>
      <c r="I464" t="s">
        <v>644</v>
      </c>
      <c r="J464">
        <v>2250</v>
      </c>
      <c r="K464" s="1">
        <v>44772</v>
      </c>
      <c r="L464">
        <v>2022</v>
      </c>
      <c r="M464" t="str">
        <f>UPPER(TEXT(_2020_2022[[#This Row],[Data da Venda]],"mmm"))</f>
        <v>JUL</v>
      </c>
    </row>
    <row r="465" spans="1:13" x14ac:dyDescent="0.25">
      <c r="A465" t="s">
        <v>12</v>
      </c>
      <c r="B465">
        <v>6500</v>
      </c>
      <c r="C465">
        <v>3</v>
      </c>
      <c r="D465" t="s">
        <v>35</v>
      </c>
      <c r="E465" t="s">
        <v>666</v>
      </c>
      <c r="F465" t="s">
        <v>724</v>
      </c>
      <c r="G465" t="s">
        <v>643</v>
      </c>
      <c r="H465">
        <v>55</v>
      </c>
      <c r="I465" t="s">
        <v>647</v>
      </c>
      <c r="J465">
        <v>19500</v>
      </c>
      <c r="K465" s="1">
        <v>44594</v>
      </c>
      <c r="L465">
        <v>2022</v>
      </c>
      <c r="M465" t="str">
        <f>UPPER(TEXT(_2020_2022[[#This Row],[Data da Venda]],"mmm"))</f>
        <v>FEV</v>
      </c>
    </row>
    <row r="466" spans="1:13" x14ac:dyDescent="0.25">
      <c r="A466" t="s">
        <v>12</v>
      </c>
      <c r="B466">
        <v>6500</v>
      </c>
      <c r="C466">
        <v>4</v>
      </c>
      <c r="D466" t="s">
        <v>30</v>
      </c>
      <c r="E466" t="s">
        <v>645</v>
      </c>
      <c r="F466" t="s">
        <v>1000</v>
      </c>
      <c r="G466" t="s">
        <v>650</v>
      </c>
      <c r="H466">
        <v>42</v>
      </c>
      <c r="I466" t="s">
        <v>644</v>
      </c>
      <c r="J466">
        <v>26000</v>
      </c>
      <c r="K466" s="1">
        <v>44698</v>
      </c>
      <c r="L466">
        <v>2022</v>
      </c>
      <c r="M466" t="str">
        <f>UPPER(TEXT(_2020_2022[[#This Row],[Data da Venda]],"mmm"))</f>
        <v>MAI</v>
      </c>
    </row>
    <row r="467" spans="1:13" x14ac:dyDescent="0.25">
      <c r="A467" t="s">
        <v>1441</v>
      </c>
      <c r="B467">
        <v>1450</v>
      </c>
      <c r="C467">
        <v>4</v>
      </c>
      <c r="D467" t="s">
        <v>39</v>
      </c>
      <c r="E467" t="s">
        <v>641</v>
      </c>
      <c r="F467" t="s">
        <v>1001</v>
      </c>
      <c r="G467" t="s">
        <v>643</v>
      </c>
      <c r="H467">
        <v>40</v>
      </c>
      <c r="I467" t="s">
        <v>644</v>
      </c>
      <c r="J467">
        <v>5800</v>
      </c>
      <c r="K467" s="1">
        <v>44782</v>
      </c>
      <c r="L467">
        <v>2022</v>
      </c>
      <c r="M467" t="str">
        <f>UPPER(TEXT(_2020_2022[[#This Row],[Data da Venda]],"mmm"))</f>
        <v>AGO</v>
      </c>
    </row>
    <row r="468" spans="1:13" x14ac:dyDescent="0.25">
      <c r="A468" t="s">
        <v>14</v>
      </c>
      <c r="B468">
        <v>2000</v>
      </c>
      <c r="C468">
        <v>5</v>
      </c>
      <c r="D468" t="s">
        <v>34</v>
      </c>
      <c r="E468" t="s">
        <v>679</v>
      </c>
      <c r="F468" t="s">
        <v>1002</v>
      </c>
      <c r="G468" t="s">
        <v>650</v>
      </c>
      <c r="H468">
        <v>43</v>
      </c>
      <c r="I468" t="s">
        <v>644</v>
      </c>
      <c r="J468">
        <v>10000</v>
      </c>
      <c r="K468" s="1">
        <v>44924</v>
      </c>
      <c r="L468">
        <v>2022</v>
      </c>
      <c r="M468" t="str">
        <f>UPPER(TEXT(_2020_2022[[#This Row],[Data da Venda]],"mmm"))</f>
        <v>DEZ</v>
      </c>
    </row>
    <row r="469" spans="1:13" x14ac:dyDescent="0.25">
      <c r="A469" t="s">
        <v>18</v>
      </c>
      <c r="B469">
        <v>3000</v>
      </c>
      <c r="C469">
        <v>5</v>
      </c>
      <c r="D469" t="s">
        <v>32</v>
      </c>
      <c r="E469" t="s">
        <v>652</v>
      </c>
      <c r="F469" t="s">
        <v>761</v>
      </c>
      <c r="G469" t="s">
        <v>643</v>
      </c>
      <c r="H469">
        <v>26</v>
      </c>
      <c r="I469" t="s">
        <v>651</v>
      </c>
      <c r="J469">
        <v>15000</v>
      </c>
      <c r="K469" s="1">
        <v>44736</v>
      </c>
      <c r="L469">
        <v>2022</v>
      </c>
      <c r="M469" t="str">
        <f>UPPER(TEXT(_2020_2022[[#This Row],[Data da Venda]],"mmm"))</f>
        <v>JUN</v>
      </c>
    </row>
    <row r="470" spans="1:13" x14ac:dyDescent="0.25">
      <c r="A470" t="s">
        <v>28</v>
      </c>
      <c r="B470">
        <v>1400</v>
      </c>
      <c r="C470">
        <v>4</v>
      </c>
      <c r="D470" t="s">
        <v>41</v>
      </c>
      <c r="E470" t="s">
        <v>681</v>
      </c>
      <c r="F470" t="s">
        <v>1003</v>
      </c>
      <c r="G470" t="s">
        <v>650</v>
      </c>
      <c r="H470">
        <v>51</v>
      </c>
      <c r="I470" t="s">
        <v>647</v>
      </c>
      <c r="J470">
        <v>5600</v>
      </c>
      <c r="K470" s="1">
        <v>44897</v>
      </c>
      <c r="L470">
        <v>2022</v>
      </c>
      <c r="M470" t="str">
        <f>UPPER(TEXT(_2020_2022[[#This Row],[Data da Venda]],"mmm"))</f>
        <v>DEZ</v>
      </c>
    </row>
    <row r="471" spans="1:13" x14ac:dyDescent="0.25">
      <c r="A471" t="s">
        <v>11</v>
      </c>
      <c r="B471">
        <v>4500</v>
      </c>
      <c r="C471">
        <v>2</v>
      </c>
      <c r="D471" t="s">
        <v>31</v>
      </c>
      <c r="E471" t="s">
        <v>645</v>
      </c>
      <c r="F471" t="s">
        <v>1004</v>
      </c>
      <c r="G471" t="s">
        <v>643</v>
      </c>
      <c r="H471">
        <v>28</v>
      </c>
      <c r="I471" t="s">
        <v>651</v>
      </c>
      <c r="J471">
        <v>9000</v>
      </c>
      <c r="K471" s="1">
        <v>44785</v>
      </c>
      <c r="L471">
        <v>2022</v>
      </c>
      <c r="M471" t="str">
        <f>UPPER(TEXT(_2020_2022[[#This Row],[Data da Venda]],"mmm"))</f>
        <v>AGO</v>
      </c>
    </row>
    <row r="472" spans="1:13" x14ac:dyDescent="0.25">
      <c r="A472" t="s">
        <v>16</v>
      </c>
      <c r="B472">
        <v>1400</v>
      </c>
      <c r="C472">
        <v>5</v>
      </c>
      <c r="D472" t="s">
        <v>30</v>
      </c>
      <c r="E472" t="s">
        <v>645</v>
      </c>
      <c r="F472" t="s">
        <v>864</v>
      </c>
      <c r="G472" t="s">
        <v>650</v>
      </c>
      <c r="H472">
        <v>29</v>
      </c>
      <c r="I472" t="s">
        <v>651</v>
      </c>
      <c r="J472">
        <v>7000</v>
      </c>
      <c r="K472" s="1">
        <v>44917</v>
      </c>
      <c r="L472">
        <v>2022</v>
      </c>
      <c r="M472" t="str">
        <f>UPPER(TEXT(_2020_2022[[#This Row],[Data da Venda]],"mmm"))</f>
        <v>DEZ</v>
      </c>
    </row>
    <row r="473" spans="1:13" x14ac:dyDescent="0.25">
      <c r="A473" t="s">
        <v>26</v>
      </c>
      <c r="B473">
        <v>1100</v>
      </c>
      <c r="C473">
        <v>4</v>
      </c>
      <c r="D473" t="s">
        <v>31</v>
      </c>
      <c r="E473" t="s">
        <v>645</v>
      </c>
      <c r="F473" t="s">
        <v>1005</v>
      </c>
      <c r="G473" t="s">
        <v>650</v>
      </c>
      <c r="H473">
        <v>57</v>
      </c>
      <c r="I473" t="s">
        <v>647</v>
      </c>
      <c r="J473">
        <v>4400</v>
      </c>
      <c r="K473" s="1">
        <v>44696</v>
      </c>
      <c r="L473">
        <v>2022</v>
      </c>
      <c r="M473" t="str">
        <f>UPPER(TEXT(_2020_2022[[#This Row],[Data da Venda]],"mmm"))</f>
        <v>MAI</v>
      </c>
    </row>
    <row r="474" spans="1:13" x14ac:dyDescent="0.25">
      <c r="A474" t="s">
        <v>1442</v>
      </c>
      <c r="B474">
        <v>1200</v>
      </c>
      <c r="C474">
        <v>1</v>
      </c>
      <c r="D474" t="s">
        <v>38</v>
      </c>
      <c r="E474" t="s">
        <v>648</v>
      </c>
      <c r="F474" t="s">
        <v>893</v>
      </c>
      <c r="G474" t="s">
        <v>650</v>
      </c>
      <c r="H474">
        <v>42</v>
      </c>
      <c r="I474" t="s">
        <v>644</v>
      </c>
      <c r="J474">
        <v>1200</v>
      </c>
      <c r="K474" s="1">
        <v>44842</v>
      </c>
      <c r="L474">
        <v>2022</v>
      </c>
      <c r="M474" t="str">
        <f>UPPER(TEXT(_2020_2022[[#This Row],[Data da Venda]],"mmm"))</f>
        <v>OUT</v>
      </c>
    </row>
    <row r="475" spans="1:13" x14ac:dyDescent="0.25">
      <c r="A475" t="s">
        <v>1441</v>
      </c>
      <c r="B475">
        <v>1450</v>
      </c>
      <c r="C475">
        <v>5</v>
      </c>
      <c r="D475" t="s">
        <v>35</v>
      </c>
      <c r="E475" t="s">
        <v>666</v>
      </c>
      <c r="F475" t="s">
        <v>707</v>
      </c>
      <c r="G475" t="s">
        <v>643</v>
      </c>
      <c r="H475">
        <v>60</v>
      </c>
      <c r="I475" t="s">
        <v>647</v>
      </c>
      <c r="J475">
        <v>7250</v>
      </c>
      <c r="K475" s="1">
        <v>44578</v>
      </c>
      <c r="L475">
        <v>2022</v>
      </c>
      <c r="M475" t="str">
        <f>UPPER(TEXT(_2020_2022[[#This Row],[Data da Venda]],"mmm"))</f>
        <v>JAN</v>
      </c>
    </row>
    <row r="476" spans="1:13" x14ac:dyDescent="0.25">
      <c r="A476" t="s">
        <v>20</v>
      </c>
      <c r="B476">
        <v>2600</v>
      </c>
      <c r="C476">
        <v>3</v>
      </c>
      <c r="D476" t="s">
        <v>29</v>
      </c>
      <c r="E476" t="s">
        <v>641</v>
      </c>
      <c r="F476" t="s">
        <v>982</v>
      </c>
      <c r="G476" t="s">
        <v>643</v>
      </c>
      <c r="H476">
        <v>29</v>
      </c>
      <c r="I476" t="s">
        <v>651</v>
      </c>
      <c r="J476">
        <v>7800</v>
      </c>
      <c r="K476" s="1">
        <v>44869</v>
      </c>
      <c r="L476">
        <v>2022</v>
      </c>
      <c r="M476" t="str">
        <f>UPPER(TEXT(_2020_2022[[#This Row],[Data da Venda]],"mmm"))</f>
        <v>NOV</v>
      </c>
    </row>
    <row r="477" spans="1:13" x14ac:dyDescent="0.25">
      <c r="A477" t="s">
        <v>12</v>
      </c>
      <c r="B477">
        <v>6500</v>
      </c>
      <c r="C477">
        <v>5</v>
      </c>
      <c r="D477" t="s">
        <v>37</v>
      </c>
      <c r="E477" t="s">
        <v>645</v>
      </c>
      <c r="F477" t="s">
        <v>965</v>
      </c>
      <c r="G477" t="s">
        <v>643</v>
      </c>
      <c r="H477">
        <v>53</v>
      </c>
      <c r="I477" t="s">
        <v>647</v>
      </c>
      <c r="J477">
        <v>32500</v>
      </c>
      <c r="K477" s="1">
        <v>44683</v>
      </c>
      <c r="L477">
        <v>2022</v>
      </c>
      <c r="M477" t="str">
        <f>UPPER(TEXT(_2020_2022[[#This Row],[Data da Venda]],"mmm"))</f>
        <v>MAI</v>
      </c>
    </row>
    <row r="478" spans="1:13" x14ac:dyDescent="0.25">
      <c r="A478" t="s">
        <v>12</v>
      </c>
      <c r="B478">
        <v>6500</v>
      </c>
      <c r="C478">
        <v>3</v>
      </c>
      <c r="D478" t="s">
        <v>35</v>
      </c>
      <c r="E478" t="s">
        <v>666</v>
      </c>
      <c r="F478" t="s">
        <v>1006</v>
      </c>
      <c r="G478" t="s">
        <v>650</v>
      </c>
      <c r="H478">
        <v>27</v>
      </c>
      <c r="I478" t="s">
        <v>651</v>
      </c>
      <c r="J478">
        <v>19500</v>
      </c>
      <c r="K478" s="1">
        <v>44823</v>
      </c>
      <c r="L478">
        <v>2022</v>
      </c>
      <c r="M478" t="str">
        <f>UPPER(TEXT(_2020_2022[[#This Row],[Data da Venda]],"mmm"))</f>
        <v>SET</v>
      </c>
    </row>
    <row r="479" spans="1:13" x14ac:dyDescent="0.25">
      <c r="A479" t="s">
        <v>11</v>
      </c>
      <c r="B479">
        <v>4500</v>
      </c>
      <c r="C479">
        <v>1</v>
      </c>
      <c r="D479" t="s">
        <v>39</v>
      </c>
      <c r="E479" t="s">
        <v>641</v>
      </c>
      <c r="F479" t="s">
        <v>1007</v>
      </c>
      <c r="G479" t="s">
        <v>650</v>
      </c>
      <c r="H479">
        <v>76</v>
      </c>
      <c r="I479" t="s">
        <v>647</v>
      </c>
      <c r="J479">
        <v>4500</v>
      </c>
      <c r="K479" s="1">
        <v>44589</v>
      </c>
      <c r="L479">
        <v>2022</v>
      </c>
      <c r="M479" t="str">
        <f>UPPER(TEXT(_2020_2022[[#This Row],[Data da Venda]],"mmm"))</f>
        <v>JAN</v>
      </c>
    </row>
    <row r="480" spans="1:13" x14ac:dyDescent="0.25">
      <c r="A480" t="s">
        <v>1442</v>
      </c>
      <c r="B480">
        <v>1200</v>
      </c>
      <c r="C480">
        <v>3</v>
      </c>
      <c r="D480" t="s">
        <v>40</v>
      </c>
      <c r="E480" t="s">
        <v>657</v>
      </c>
      <c r="F480" t="s">
        <v>1008</v>
      </c>
      <c r="G480" t="s">
        <v>650</v>
      </c>
      <c r="H480">
        <v>36</v>
      </c>
      <c r="I480" t="s">
        <v>644</v>
      </c>
      <c r="J480">
        <v>3600</v>
      </c>
      <c r="K480" s="1">
        <v>44705</v>
      </c>
      <c r="L480">
        <v>2022</v>
      </c>
      <c r="M480" t="str">
        <f>UPPER(TEXT(_2020_2022[[#This Row],[Data da Venda]],"mmm"))</f>
        <v>MAI</v>
      </c>
    </row>
    <row r="481" spans="1:13" x14ac:dyDescent="0.25">
      <c r="A481" t="s">
        <v>1443</v>
      </c>
      <c r="B481">
        <v>1550</v>
      </c>
      <c r="C481">
        <v>3</v>
      </c>
      <c r="D481" t="s">
        <v>33</v>
      </c>
      <c r="E481" t="s">
        <v>641</v>
      </c>
      <c r="F481" t="s">
        <v>1009</v>
      </c>
      <c r="G481" t="s">
        <v>650</v>
      </c>
      <c r="H481">
        <v>40</v>
      </c>
      <c r="I481" t="s">
        <v>644</v>
      </c>
      <c r="J481">
        <v>4650</v>
      </c>
      <c r="K481" s="1">
        <v>44752</v>
      </c>
      <c r="L481">
        <v>2022</v>
      </c>
      <c r="M481" t="str">
        <f>UPPER(TEXT(_2020_2022[[#This Row],[Data da Venda]],"mmm"))</f>
        <v>JUL</v>
      </c>
    </row>
    <row r="482" spans="1:13" x14ac:dyDescent="0.25">
      <c r="A482" t="s">
        <v>8</v>
      </c>
      <c r="B482">
        <v>5500</v>
      </c>
      <c r="C482">
        <v>3</v>
      </c>
      <c r="D482" t="s">
        <v>34</v>
      </c>
      <c r="E482" t="s">
        <v>679</v>
      </c>
      <c r="F482" t="s">
        <v>896</v>
      </c>
      <c r="G482" t="s">
        <v>643</v>
      </c>
      <c r="H482">
        <v>71</v>
      </c>
      <c r="I482" t="s">
        <v>647</v>
      </c>
      <c r="J482">
        <v>16500</v>
      </c>
      <c r="K482" s="1">
        <v>44621</v>
      </c>
      <c r="L482">
        <v>2022</v>
      </c>
      <c r="M482" t="str">
        <f>UPPER(TEXT(_2020_2022[[#This Row],[Data da Venda]],"mmm"))</f>
        <v>MAR</v>
      </c>
    </row>
    <row r="483" spans="1:13" x14ac:dyDescent="0.25">
      <c r="A483" t="s">
        <v>8</v>
      </c>
      <c r="B483">
        <v>5500</v>
      </c>
      <c r="C483">
        <v>1</v>
      </c>
      <c r="D483" t="s">
        <v>35</v>
      </c>
      <c r="E483" t="s">
        <v>666</v>
      </c>
      <c r="F483" t="s">
        <v>772</v>
      </c>
      <c r="G483" t="s">
        <v>643</v>
      </c>
      <c r="H483">
        <v>44</v>
      </c>
      <c r="I483" t="s">
        <v>644</v>
      </c>
      <c r="J483">
        <v>5500</v>
      </c>
      <c r="K483" s="1">
        <v>44870</v>
      </c>
      <c r="L483">
        <v>2022</v>
      </c>
      <c r="M483" t="str">
        <f>UPPER(TEXT(_2020_2022[[#This Row],[Data da Venda]],"mmm"))</f>
        <v>NOV</v>
      </c>
    </row>
    <row r="484" spans="1:13" x14ac:dyDescent="0.25">
      <c r="A484" t="s">
        <v>24</v>
      </c>
      <c r="B484">
        <v>2000</v>
      </c>
      <c r="C484">
        <v>1</v>
      </c>
      <c r="D484" t="s">
        <v>30</v>
      </c>
      <c r="E484" t="s">
        <v>645</v>
      </c>
      <c r="F484" t="s">
        <v>753</v>
      </c>
      <c r="G484" t="s">
        <v>650</v>
      </c>
      <c r="H484">
        <v>57</v>
      </c>
      <c r="I484" t="s">
        <v>647</v>
      </c>
      <c r="J484">
        <v>2000</v>
      </c>
      <c r="K484" s="1">
        <v>44568</v>
      </c>
      <c r="L484">
        <v>2022</v>
      </c>
      <c r="M484" t="str">
        <f>UPPER(TEXT(_2020_2022[[#This Row],[Data da Venda]],"mmm"))</f>
        <v>JAN</v>
      </c>
    </row>
    <row r="485" spans="1:13" x14ac:dyDescent="0.25">
      <c r="A485" t="s">
        <v>15</v>
      </c>
      <c r="B485">
        <v>1900</v>
      </c>
      <c r="C485">
        <v>5</v>
      </c>
      <c r="D485" t="s">
        <v>40</v>
      </c>
      <c r="E485" t="s">
        <v>657</v>
      </c>
      <c r="F485" t="s">
        <v>1010</v>
      </c>
      <c r="G485" t="s">
        <v>643</v>
      </c>
      <c r="H485">
        <v>45</v>
      </c>
      <c r="I485" t="s">
        <v>644</v>
      </c>
      <c r="J485">
        <v>9500</v>
      </c>
      <c r="K485" s="1">
        <v>44793</v>
      </c>
      <c r="L485">
        <v>2022</v>
      </c>
      <c r="M485" t="str">
        <f>UPPER(TEXT(_2020_2022[[#This Row],[Data da Venda]],"mmm"))</f>
        <v>AGO</v>
      </c>
    </row>
    <row r="486" spans="1:13" x14ac:dyDescent="0.25">
      <c r="A486" t="s">
        <v>1445</v>
      </c>
      <c r="B486">
        <v>1500</v>
      </c>
      <c r="C486">
        <v>4</v>
      </c>
      <c r="D486" t="s">
        <v>31</v>
      </c>
      <c r="E486" t="s">
        <v>645</v>
      </c>
      <c r="F486" t="s">
        <v>815</v>
      </c>
      <c r="G486" t="s">
        <v>643</v>
      </c>
      <c r="H486">
        <v>59</v>
      </c>
      <c r="I486" t="s">
        <v>647</v>
      </c>
      <c r="J486">
        <v>6000</v>
      </c>
      <c r="K486" s="1">
        <v>44851</v>
      </c>
      <c r="L486">
        <v>2022</v>
      </c>
      <c r="M486" t="str">
        <f>UPPER(TEXT(_2020_2022[[#This Row],[Data da Venda]],"mmm"))</f>
        <v>OUT</v>
      </c>
    </row>
    <row r="487" spans="1:13" x14ac:dyDescent="0.25">
      <c r="A487" t="s">
        <v>22</v>
      </c>
      <c r="B487">
        <v>5200</v>
      </c>
      <c r="C487">
        <v>2</v>
      </c>
      <c r="D487" t="s">
        <v>31</v>
      </c>
      <c r="E487" t="s">
        <v>645</v>
      </c>
      <c r="F487" t="s">
        <v>1011</v>
      </c>
      <c r="G487" t="s">
        <v>650</v>
      </c>
      <c r="H487">
        <v>30</v>
      </c>
      <c r="I487" t="s">
        <v>644</v>
      </c>
      <c r="J487">
        <v>10400</v>
      </c>
      <c r="K487" s="1">
        <v>44825</v>
      </c>
      <c r="L487">
        <v>2022</v>
      </c>
      <c r="M487" t="str">
        <f>UPPER(TEXT(_2020_2022[[#This Row],[Data da Venda]],"mmm"))</f>
        <v>SET</v>
      </c>
    </row>
    <row r="488" spans="1:13" x14ac:dyDescent="0.25">
      <c r="A488" t="s">
        <v>1443</v>
      </c>
      <c r="B488">
        <v>1550</v>
      </c>
      <c r="C488">
        <v>5</v>
      </c>
      <c r="D488" t="s">
        <v>32</v>
      </c>
      <c r="E488" t="s">
        <v>652</v>
      </c>
      <c r="F488" t="s">
        <v>1012</v>
      </c>
      <c r="G488" t="s">
        <v>650</v>
      </c>
      <c r="H488">
        <v>53</v>
      </c>
      <c r="I488" t="s">
        <v>647</v>
      </c>
      <c r="J488">
        <v>7750</v>
      </c>
      <c r="K488" s="1">
        <v>44837</v>
      </c>
      <c r="L488">
        <v>2022</v>
      </c>
      <c r="M488" t="str">
        <f>UPPER(TEXT(_2020_2022[[#This Row],[Data da Venda]],"mmm"))</f>
        <v>OUT</v>
      </c>
    </row>
    <row r="489" spans="1:13" x14ac:dyDescent="0.25">
      <c r="A489" t="s">
        <v>25</v>
      </c>
      <c r="B489">
        <v>2500</v>
      </c>
      <c r="C489">
        <v>3</v>
      </c>
      <c r="D489" t="s">
        <v>36</v>
      </c>
      <c r="E489" t="s">
        <v>677</v>
      </c>
      <c r="F489" t="s">
        <v>856</v>
      </c>
      <c r="G489" t="s">
        <v>643</v>
      </c>
      <c r="H489">
        <v>76</v>
      </c>
      <c r="I489" t="s">
        <v>647</v>
      </c>
      <c r="J489">
        <v>7500</v>
      </c>
      <c r="K489" s="1">
        <v>44861</v>
      </c>
      <c r="L489">
        <v>2022</v>
      </c>
      <c r="M489" t="str">
        <f>UPPER(TEXT(_2020_2022[[#This Row],[Data da Venda]],"mmm"))</f>
        <v>OUT</v>
      </c>
    </row>
    <row r="490" spans="1:13" x14ac:dyDescent="0.25">
      <c r="A490" t="s">
        <v>8</v>
      </c>
      <c r="B490">
        <v>5500</v>
      </c>
      <c r="C490">
        <v>3</v>
      </c>
      <c r="D490" t="s">
        <v>40</v>
      </c>
      <c r="E490" t="s">
        <v>657</v>
      </c>
      <c r="F490" t="s">
        <v>1013</v>
      </c>
      <c r="G490" t="s">
        <v>643</v>
      </c>
      <c r="H490">
        <v>38</v>
      </c>
      <c r="I490" t="s">
        <v>644</v>
      </c>
      <c r="J490">
        <v>16500</v>
      </c>
      <c r="K490" s="1">
        <v>44737</v>
      </c>
      <c r="L490">
        <v>2022</v>
      </c>
      <c r="M490" t="str">
        <f>UPPER(TEXT(_2020_2022[[#This Row],[Data da Venda]],"mmm"))</f>
        <v>JUN</v>
      </c>
    </row>
    <row r="491" spans="1:13" x14ac:dyDescent="0.25">
      <c r="A491" t="s">
        <v>14</v>
      </c>
      <c r="B491">
        <v>2000</v>
      </c>
      <c r="C491">
        <v>5</v>
      </c>
      <c r="D491" t="s">
        <v>35</v>
      </c>
      <c r="E491" t="s">
        <v>666</v>
      </c>
      <c r="F491" t="s">
        <v>1014</v>
      </c>
      <c r="G491" t="s">
        <v>643</v>
      </c>
      <c r="H491">
        <v>53</v>
      </c>
      <c r="I491" t="s">
        <v>647</v>
      </c>
      <c r="J491">
        <v>10000</v>
      </c>
      <c r="K491" s="1">
        <v>44582</v>
      </c>
      <c r="L491">
        <v>2022</v>
      </c>
      <c r="M491" t="str">
        <f>UPPER(TEXT(_2020_2022[[#This Row],[Data da Venda]],"mmm"))</f>
        <v>JAN</v>
      </c>
    </row>
    <row r="492" spans="1:13" x14ac:dyDescent="0.25">
      <c r="A492" t="s">
        <v>9</v>
      </c>
      <c r="B492">
        <v>1500</v>
      </c>
      <c r="C492">
        <v>4</v>
      </c>
      <c r="D492" t="s">
        <v>33</v>
      </c>
      <c r="E492" t="s">
        <v>641</v>
      </c>
      <c r="F492" t="s">
        <v>1015</v>
      </c>
      <c r="G492" t="s">
        <v>643</v>
      </c>
      <c r="H492">
        <v>42</v>
      </c>
      <c r="I492" t="s">
        <v>644</v>
      </c>
      <c r="J492">
        <v>6000</v>
      </c>
      <c r="K492" s="1">
        <v>44816</v>
      </c>
      <c r="L492">
        <v>2022</v>
      </c>
      <c r="M492" t="str">
        <f>UPPER(TEXT(_2020_2022[[#This Row],[Data da Venda]],"mmm"))</f>
        <v>SET</v>
      </c>
    </row>
    <row r="493" spans="1:13" x14ac:dyDescent="0.25">
      <c r="A493" t="s">
        <v>1442</v>
      </c>
      <c r="B493">
        <v>1200</v>
      </c>
      <c r="C493">
        <v>2</v>
      </c>
      <c r="D493" t="s">
        <v>35</v>
      </c>
      <c r="E493" t="s">
        <v>666</v>
      </c>
      <c r="F493" t="s">
        <v>1016</v>
      </c>
      <c r="G493" t="s">
        <v>650</v>
      </c>
      <c r="H493">
        <v>46</v>
      </c>
      <c r="I493" t="s">
        <v>644</v>
      </c>
      <c r="J493">
        <v>2400</v>
      </c>
      <c r="K493" s="1">
        <v>44682</v>
      </c>
      <c r="L493">
        <v>2022</v>
      </c>
      <c r="M493" t="str">
        <f>UPPER(TEXT(_2020_2022[[#This Row],[Data da Venda]],"mmm"))</f>
        <v>MAI</v>
      </c>
    </row>
    <row r="494" spans="1:13" x14ac:dyDescent="0.25">
      <c r="A494" t="s">
        <v>12</v>
      </c>
      <c r="B494">
        <v>6500</v>
      </c>
      <c r="C494">
        <v>3</v>
      </c>
      <c r="D494" t="s">
        <v>38</v>
      </c>
      <c r="E494" t="s">
        <v>648</v>
      </c>
      <c r="F494" t="s">
        <v>1017</v>
      </c>
      <c r="G494" t="s">
        <v>643</v>
      </c>
      <c r="H494">
        <v>58</v>
      </c>
      <c r="I494" t="s">
        <v>647</v>
      </c>
      <c r="J494">
        <v>19500</v>
      </c>
      <c r="K494" s="1">
        <v>44796</v>
      </c>
      <c r="L494">
        <v>2022</v>
      </c>
      <c r="M494" t="str">
        <f>UPPER(TEXT(_2020_2022[[#This Row],[Data da Venda]],"mmm"))</f>
        <v>AGO</v>
      </c>
    </row>
    <row r="495" spans="1:13" x14ac:dyDescent="0.25">
      <c r="A495" t="s">
        <v>16</v>
      </c>
      <c r="B495">
        <v>1400</v>
      </c>
      <c r="C495">
        <v>5</v>
      </c>
      <c r="D495" t="s">
        <v>39</v>
      </c>
      <c r="E495" t="s">
        <v>641</v>
      </c>
      <c r="F495" t="s">
        <v>1018</v>
      </c>
      <c r="G495" t="s">
        <v>650</v>
      </c>
      <c r="H495">
        <v>75</v>
      </c>
      <c r="I495" t="s">
        <v>647</v>
      </c>
      <c r="J495">
        <v>7000</v>
      </c>
      <c r="K495" s="1">
        <v>44606</v>
      </c>
      <c r="L495">
        <v>2022</v>
      </c>
      <c r="M495" t="str">
        <f>UPPER(TEXT(_2020_2022[[#This Row],[Data da Venda]],"mmm"))</f>
        <v>FEV</v>
      </c>
    </row>
    <row r="496" spans="1:13" x14ac:dyDescent="0.25">
      <c r="A496" t="s">
        <v>1444</v>
      </c>
      <c r="B496">
        <v>1500</v>
      </c>
      <c r="C496">
        <v>5</v>
      </c>
      <c r="D496" t="s">
        <v>29</v>
      </c>
      <c r="E496" t="s">
        <v>641</v>
      </c>
      <c r="F496" t="s">
        <v>807</v>
      </c>
      <c r="G496" t="s">
        <v>643</v>
      </c>
      <c r="H496">
        <v>28</v>
      </c>
      <c r="I496" t="s">
        <v>651</v>
      </c>
      <c r="J496">
        <v>7500</v>
      </c>
      <c r="K496" s="1">
        <v>44901</v>
      </c>
      <c r="L496">
        <v>2022</v>
      </c>
      <c r="M496" t="str">
        <f>UPPER(TEXT(_2020_2022[[#This Row],[Data da Venda]],"mmm"))</f>
        <v>DEZ</v>
      </c>
    </row>
    <row r="497" spans="1:13" x14ac:dyDescent="0.25">
      <c r="A497" t="s">
        <v>24</v>
      </c>
      <c r="B497">
        <v>2000</v>
      </c>
      <c r="C497">
        <v>4</v>
      </c>
      <c r="D497" t="s">
        <v>36</v>
      </c>
      <c r="E497" t="s">
        <v>677</v>
      </c>
      <c r="F497" t="s">
        <v>976</v>
      </c>
      <c r="G497" t="s">
        <v>643</v>
      </c>
      <c r="H497">
        <v>34</v>
      </c>
      <c r="I497" t="s">
        <v>644</v>
      </c>
      <c r="J497">
        <v>8000</v>
      </c>
      <c r="K497" s="1">
        <v>44704</v>
      </c>
      <c r="L497">
        <v>2022</v>
      </c>
      <c r="M497" t="str">
        <f>UPPER(TEXT(_2020_2022[[#This Row],[Data da Venda]],"mmm"))</f>
        <v>MAI</v>
      </c>
    </row>
    <row r="498" spans="1:13" x14ac:dyDescent="0.25">
      <c r="A498" t="s">
        <v>1442</v>
      </c>
      <c r="B498">
        <v>1200</v>
      </c>
      <c r="C498">
        <v>4</v>
      </c>
      <c r="D498" t="s">
        <v>39</v>
      </c>
      <c r="E498" t="s">
        <v>641</v>
      </c>
      <c r="F498" t="s">
        <v>670</v>
      </c>
      <c r="G498" t="s">
        <v>643</v>
      </c>
      <c r="H498">
        <v>37</v>
      </c>
      <c r="I498" t="s">
        <v>644</v>
      </c>
      <c r="J498">
        <v>4800</v>
      </c>
      <c r="K498" s="1">
        <v>44752</v>
      </c>
      <c r="L498">
        <v>2022</v>
      </c>
      <c r="M498" t="str">
        <f>UPPER(TEXT(_2020_2022[[#This Row],[Data da Venda]],"mmm"))</f>
        <v>JUL</v>
      </c>
    </row>
    <row r="499" spans="1:13" x14ac:dyDescent="0.25">
      <c r="A499" t="s">
        <v>18</v>
      </c>
      <c r="B499">
        <v>3000</v>
      </c>
      <c r="C499">
        <v>4</v>
      </c>
      <c r="D499" t="s">
        <v>29</v>
      </c>
      <c r="E499" t="s">
        <v>641</v>
      </c>
      <c r="F499" t="s">
        <v>803</v>
      </c>
      <c r="G499" t="s">
        <v>650</v>
      </c>
      <c r="H499">
        <v>35</v>
      </c>
      <c r="I499" t="s">
        <v>644</v>
      </c>
      <c r="J499">
        <v>12000</v>
      </c>
      <c r="K499" s="1">
        <v>44833</v>
      </c>
      <c r="L499">
        <v>2022</v>
      </c>
      <c r="M499" t="str">
        <f>UPPER(TEXT(_2020_2022[[#This Row],[Data da Venda]],"mmm"))</f>
        <v>SET</v>
      </c>
    </row>
    <row r="500" spans="1:13" x14ac:dyDescent="0.25">
      <c r="A500" t="s">
        <v>28</v>
      </c>
      <c r="B500">
        <v>1400</v>
      </c>
      <c r="C500">
        <v>3</v>
      </c>
      <c r="D500" t="s">
        <v>38</v>
      </c>
      <c r="E500" t="s">
        <v>648</v>
      </c>
      <c r="F500" t="s">
        <v>911</v>
      </c>
      <c r="G500" t="s">
        <v>650</v>
      </c>
      <c r="H500">
        <v>42</v>
      </c>
      <c r="I500" t="s">
        <v>644</v>
      </c>
      <c r="J500">
        <v>4200</v>
      </c>
      <c r="K500" s="1">
        <v>44801</v>
      </c>
      <c r="L500">
        <v>2022</v>
      </c>
      <c r="M500" t="str">
        <f>UPPER(TEXT(_2020_2022[[#This Row],[Data da Venda]],"mmm"))</f>
        <v>AGO</v>
      </c>
    </row>
    <row r="501" spans="1:13" x14ac:dyDescent="0.25">
      <c r="A501" t="s">
        <v>16</v>
      </c>
      <c r="B501">
        <v>1400</v>
      </c>
      <c r="C501">
        <v>1</v>
      </c>
      <c r="D501" t="s">
        <v>29</v>
      </c>
      <c r="E501" t="s">
        <v>641</v>
      </c>
      <c r="F501" t="s">
        <v>803</v>
      </c>
      <c r="G501" t="s">
        <v>650</v>
      </c>
      <c r="H501">
        <v>35</v>
      </c>
      <c r="I501" t="s">
        <v>644</v>
      </c>
      <c r="J501">
        <v>1400</v>
      </c>
      <c r="K501" s="1">
        <v>44839</v>
      </c>
      <c r="L501">
        <v>2022</v>
      </c>
      <c r="M501" t="str">
        <f>UPPER(TEXT(_2020_2022[[#This Row],[Data da Venda]],"mmm"))</f>
        <v>OUT</v>
      </c>
    </row>
    <row r="502" spans="1:13" x14ac:dyDescent="0.25">
      <c r="A502" t="s">
        <v>11</v>
      </c>
      <c r="B502">
        <v>4500</v>
      </c>
      <c r="C502">
        <v>1</v>
      </c>
      <c r="D502" t="s">
        <v>37</v>
      </c>
      <c r="E502" t="s">
        <v>645</v>
      </c>
      <c r="F502" t="s">
        <v>1019</v>
      </c>
      <c r="G502" t="s">
        <v>643</v>
      </c>
      <c r="H502">
        <v>48</v>
      </c>
      <c r="I502" t="s">
        <v>644</v>
      </c>
      <c r="J502">
        <v>4500</v>
      </c>
      <c r="K502" s="1">
        <v>44780</v>
      </c>
      <c r="L502">
        <v>2022</v>
      </c>
      <c r="M502" t="str">
        <f>UPPER(TEXT(_2020_2022[[#This Row],[Data da Venda]],"mmm"))</f>
        <v>AGO</v>
      </c>
    </row>
    <row r="503" spans="1:13" x14ac:dyDescent="0.25">
      <c r="A503" t="s">
        <v>5</v>
      </c>
      <c r="B503">
        <v>1750</v>
      </c>
      <c r="C503">
        <v>1</v>
      </c>
      <c r="D503" t="s">
        <v>29</v>
      </c>
      <c r="E503" t="s">
        <v>641</v>
      </c>
      <c r="F503" t="s">
        <v>1020</v>
      </c>
      <c r="G503" t="s">
        <v>650</v>
      </c>
      <c r="H503">
        <v>40</v>
      </c>
      <c r="I503" t="s">
        <v>644</v>
      </c>
      <c r="J503">
        <v>1750</v>
      </c>
      <c r="K503" s="1">
        <v>44866</v>
      </c>
      <c r="L503">
        <v>2022</v>
      </c>
      <c r="M503" t="str">
        <f>UPPER(TEXT(_2020_2022[[#This Row],[Data da Venda]],"mmm"))</f>
        <v>NOV</v>
      </c>
    </row>
    <row r="504" spans="1:13" x14ac:dyDescent="0.25">
      <c r="A504" t="s">
        <v>28</v>
      </c>
      <c r="B504">
        <v>1400</v>
      </c>
      <c r="C504">
        <v>2</v>
      </c>
      <c r="D504" t="s">
        <v>35</v>
      </c>
      <c r="E504" t="s">
        <v>666</v>
      </c>
      <c r="F504" t="s">
        <v>703</v>
      </c>
      <c r="G504" t="s">
        <v>643</v>
      </c>
      <c r="H504">
        <v>33</v>
      </c>
      <c r="I504" t="s">
        <v>644</v>
      </c>
      <c r="J504">
        <v>2800</v>
      </c>
      <c r="K504" s="1">
        <v>44849</v>
      </c>
      <c r="L504">
        <v>2022</v>
      </c>
      <c r="M504" t="str">
        <f>UPPER(TEXT(_2020_2022[[#This Row],[Data da Venda]],"mmm"))</f>
        <v>OUT</v>
      </c>
    </row>
    <row r="505" spans="1:13" x14ac:dyDescent="0.25">
      <c r="A505" t="s">
        <v>22</v>
      </c>
      <c r="B505">
        <v>5200</v>
      </c>
      <c r="C505">
        <v>3</v>
      </c>
      <c r="D505" t="s">
        <v>34</v>
      </c>
      <c r="E505" t="s">
        <v>679</v>
      </c>
      <c r="F505" t="s">
        <v>1021</v>
      </c>
      <c r="G505" t="s">
        <v>650</v>
      </c>
      <c r="H505">
        <v>71</v>
      </c>
      <c r="I505" t="s">
        <v>647</v>
      </c>
      <c r="J505">
        <v>15600</v>
      </c>
      <c r="K505" s="1">
        <v>44712</v>
      </c>
      <c r="L505">
        <v>2022</v>
      </c>
      <c r="M505" t="str">
        <f>UPPER(TEXT(_2020_2022[[#This Row],[Data da Venda]],"mmm"))</f>
        <v>MAI</v>
      </c>
    </row>
    <row r="506" spans="1:13" x14ac:dyDescent="0.25">
      <c r="A506" t="s">
        <v>22</v>
      </c>
      <c r="B506">
        <v>5200</v>
      </c>
      <c r="C506">
        <v>5</v>
      </c>
      <c r="D506" t="s">
        <v>30</v>
      </c>
      <c r="E506" t="s">
        <v>645</v>
      </c>
      <c r="F506" t="s">
        <v>736</v>
      </c>
      <c r="G506" t="s">
        <v>643</v>
      </c>
      <c r="H506">
        <v>37</v>
      </c>
      <c r="I506" t="s">
        <v>644</v>
      </c>
      <c r="J506">
        <v>26000</v>
      </c>
      <c r="K506" s="1">
        <v>44839</v>
      </c>
      <c r="L506">
        <v>2022</v>
      </c>
      <c r="M506" t="str">
        <f>UPPER(TEXT(_2020_2022[[#This Row],[Data da Venda]],"mmm"))</f>
        <v>OUT</v>
      </c>
    </row>
    <row r="507" spans="1:13" x14ac:dyDescent="0.25">
      <c r="A507" t="s">
        <v>24</v>
      </c>
      <c r="B507">
        <v>2000</v>
      </c>
      <c r="C507">
        <v>1</v>
      </c>
      <c r="D507" t="s">
        <v>31</v>
      </c>
      <c r="E507" t="s">
        <v>645</v>
      </c>
      <c r="F507" t="s">
        <v>967</v>
      </c>
      <c r="G507" t="s">
        <v>643</v>
      </c>
      <c r="H507">
        <v>38</v>
      </c>
      <c r="I507" t="s">
        <v>644</v>
      </c>
      <c r="J507">
        <v>2000</v>
      </c>
      <c r="K507" s="1">
        <v>44838</v>
      </c>
      <c r="L507">
        <v>2022</v>
      </c>
      <c r="M507" t="str">
        <f>UPPER(TEXT(_2020_2022[[#This Row],[Data da Venda]],"mmm"))</f>
        <v>OUT</v>
      </c>
    </row>
    <row r="508" spans="1:13" x14ac:dyDescent="0.25">
      <c r="A508" t="s">
        <v>1443</v>
      </c>
      <c r="B508">
        <v>1550</v>
      </c>
      <c r="C508">
        <v>2</v>
      </c>
      <c r="D508" t="s">
        <v>29</v>
      </c>
      <c r="E508" t="s">
        <v>641</v>
      </c>
      <c r="F508" t="s">
        <v>1022</v>
      </c>
      <c r="G508" t="s">
        <v>650</v>
      </c>
      <c r="H508">
        <v>61</v>
      </c>
      <c r="I508" t="s">
        <v>647</v>
      </c>
      <c r="J508">
        <v>3100</v>
      </c>
      <c r="K508" s="1">
        <v>44713</v>
      </c>
      <c r="L508">
        <v>2022</v>
      </c>
      <c r="M508" t="str">
        <f>UPPER(TEXT(_2020_2022[[#This Row],[Data da Venda]],"mmm"))</f>
        <v>JUN</v>
      </c>
    </row>
    <row r="509" spans="1:13" x14ac:dyDescent="0.25">
      <c r="A509" t="s">
        <v>1441</v>
      </c>
      <c r="B509">
        <v>1450</v>
      </c>
      <c r="C509">
        <v>1</v>
      </c>
      <c r="D509" t="s">
        <v>29</v>
      </c>
      <c r="E509" t="s">
        <v>641</v>
      </c>
      <c r="F509" t="s">
        <v>916</v>
      </c>
      <c r="G509" t="s">
        <v>643</v>
      </c>
      <c r="H509">
        <v>57</v>
      </c>
      <c r="I509" t="s">
        <v>647</v>
      </c>
      <c r="J509">
        <v>1450</v>
      </c>
      <c r="K509" s="1">
        <v>44652</v>
      </c>
      <c r="L509">
        <v>2022</v>
      </c>
      <c r="M509" t="str">
        <f>UPPER(TEXT(_2020_2022[[#This Row],[Data da Venda]],"mmm"))</f>
        <v>ABR</v>
      </c>
    </row>
    <row r="510" spans="1:13" x14ac:dyDescent="0.25">
      <c r="A510" t="s">
        <v>1440</v>
      </c>
      <c r="B510">
        <v>700</v>
      </c>
      <c r="C510">
        <v>4</v>
      </c>
      <c r="D510" t="s">
        <v>40</v>
      </c>
      <c r="E510" t="s">
        <v>657</v>
      </c>
      <c r="F510" t="s">
        <v>1023</v>
      </c>
      <c r="G510" t="s">
        <v>650</v>
      </c>
      <c r="H510">
        <v>43</v>
      </c>
      <c r="I510" t="s">
        <v>644</v>
      </c>
      <c r="J510">
        <v>2800</v>
      </c>
      <c r="K510" s="1">
        <v>44567</v>
      </c>
      <c r="L510">
        <v>2022</v>
      </c>
      <c r="M510" t="str">
        <f>UPPER(TEXT(_2020_2022[[#This Row],[Data da Venda]],"mmm"))</f>
        <v>JAN</v>
      </c>
    </row>
    <row r="511" spans="1:13" x14ac:dyDescent="0.25">
      <c r="A511" t="s">
        <v>1444</v>
      </c>
      <c r="B511">
        <v>1500</v>
      </c>
      <c r="C511">
        <v>1</v>
      </c>
      <c r="D511" t="s">
        <v>32</v>
      </c>
      <c r="E511" t="s">
        <v>652</v>
      </c>
      <c r="F511" t="s">
        <v>1024</v>
      </c>
      <c r="G511" t="s">
        <v>643</v>
      </c>
      <c r="H511">
        <v>76</v>
      </c>
      <c r="I511" t="s">
        <v>647</v>
      </c>
      <c r="J511">
        <v>1500</v>
      </c>
      <c r="K511" s="1">
        <v>44654</v>
      </c>
      <c r="L511">
        <v>2022</v>
      </c>
      <c r="M511" t="str">
        <f>UPPER(TEXT(_2020_2022[[#This Row],[Data da Venda]],"mmm"))</f>
        <v>ABR</v>
      </c>
    </row>
    <row r="512" spans="1:13" x14ac:dyDescent="0.25">
      <c r="A512" t="s">
        <v>1445</v>
      </c>
      <c r="B512">
        <v>1500</v>
      </c>
      <c r="C512">
        <v>3</v>
      </c>
      <c r="D512" t="s">
        <v>34</v>
      </c>
      <c r="E512" t="s">
        <v>679</v>
      </c>
      <c r="F512" t="s">
        <v>1025</v>
      </c>
      <c r="G512" t="s">
        <v>650</v>
      </c>
      <c r="H512">
        <v>76</v>
      </c>
      <c r="I512" t="s">
        <v>647</v>
      </c>
      <c r="J512">
        <v>4500</v>
      </c>
      <c r="K512" s="1">
        <v>44597</v>
      </c>
      <c r="L512">
        <v>2022</v>
      </c>
      <c r="M512" t="str">
        <f>UPPER(TEXT(_2020_2022[[#This Row],[Data da Venda]],"mmm"))</f>
        <v>FEV</v>
      </c>
    </row>
    <row r="513" spans="1:13" x14ac:dyDescent="0.25">
      <c r="A513" t="s">
        <v>21</v>
      </c>
      <c r="B513">
        <v>2400</v>
      </c>
      <c r="C513">
        <v>3</v>
      </c>
      <c r="D513" t="s">
        <v>31</v>
      </c>
      <c r="E513" t="s">
        <v>645</v>
      </c>
      <c r="F513" t="s">
        <v>695</v>
      </c>
      <c r="G513" t="s">
        <v>650</v>
      </c>
      <c r="H513">
        <v>73</v>
      </c>
      <c r="I513" t="s">
        <v>647</v>
      </c>
      <c r="J513">
        <v>7200</v>
      </c>
      <c r="K513" s="1">
        <v>44843</v>
      </c>
      <c r="L513">
        <v>2022</v>
      </c>
      <c r="M513" t="str">
        <f>UPPER(TEXT(_2020_2022[[#This Row],[Data da Venda]],"mmm"))</f>
        <v>OUT</v>
      </c>
    </row>
    <row r="514" spans="1:13" x14ac:dyDescent="0.25">
      <c r="A514" t="s">
        <v>1441</v>
      </c>
      <c r="B514">
        <v>1450</v>
      </c>
      <c r="C514">
        <v>1</v>
      </c>
      <c r="D514" t="s">
        <v>38</v>
      </c>
      <c r="E514" t="s">
        <v>648</v>
      </c>
      <c r="F514" t="s">
        <v>935</v>
      </c>
      <c r="G514" t="s">
        <v>643</v>
      </c>
      <c r="H514">
        <v>47</v>
      </c>
      <c r="I514" t="s">
        <v>644</v>
      </c>
      <c r="J514">
        <v>1450</v>
      </c>
      <c r="K514" s="1">
        <v>44625</v>
      </c>
      <c r="L514">
        <v>2022</v>
      </c>
      <c r="M514" t="str">
        <f>UPPER(TEXT(_2020_2022[[#This Row],[Data da Venda]],"mmm"))</f>
        <v>MAR</v>
      </c>
    </row>
    <row r="515" spans="1:13" x14ac:dyDescent="0.25">
      <c r="A515" t="s">
        <v>16</v>
      </c>
      <c r="B515">
        <v>1400</v>
      </c>
      <c r="C515">
        <v>2</v>
      </c>
      <c r="D515" t="s">
        <v>40</v>
      </c>
      <c r="E515" t="s">
        <v>657</v>
      </c>
      <c r="F515" t="s">
        <v>770</v>
      </c>
      <c r="G515" t="s">
        <v>643</v>
      </c>
      <c r="H515">
        <v>31</v>
      </c>
      <c r="I515" t="s">
        <v>644</v>
      </c>
      <c r="J515">
        <v>2800</v>
      </c>
      <c r="K515" s="1">
        <v>44667</v>
      </c>
      <c r="L515">
        <v>2022</v>
      </c>
      <c r="M515" t="str">
        <f>UPPER(TEXT(_2020_2022[[#This Row],[Data da Venda]],"mmm"))</f>
        <v>ABR</v>
      </c>
    </row>
    <row r="516" spans="1:13" x14ac:dyDescent="0.25">
      <c r="A516" t="s">
        <v>9</v>
      </c>
      <c r="B516">
        <v>1500</v>
      </c>
      <c r="C516">
        <v>5</v>
      </c>
      <c r="D516" t="s">
        <v>29</v>
      </c>
      <c r="E516" t="s">
        <v>641</v>
      </c>
      <c r="F516" t="s">
        <v>994</v>
      </c>
      <c r="G516" t="s">
        <v>643</v>
      </c>
      <c r="H516">
        <v>46</v>
      </c>
      <c r="I516" t="s">
        <v>644</v>
      </c>
      <c r="J516">
        <v>7500</v>
      </c>
      <c r="K516" s="1">
        <v>44709</v>
      </c>
      <c r="L516">
        <v>2022</v>
      </c>
      <c r="M516" t="str">
        <f>UPPER(TEXT(_2020_2022[[#This Row],[Data da Venda]],"mmm"))</f>
        <v>MAI</v>
      </c>
    </row>
    <row r="517" spans="1:13" x14ac:dyDescent="0.25">
      <c r="A517" t="s">
        <v>20</v>
      </c>
      <c r="B517">
        <v>2600</v>
      </c>
      <c r="C517">
        <v>2</v>
      </c>
      <c r="D517" t="s">
        <v>32</v>
      </c>
      <c r="E517" t="s">
        <v>652</v>
      </c>
      <c r="F517" t="s">
        <v>715</v>
      </c>
      <c r="G517" t="s">
        <v>643</v>
      </c>
      <c r="H517">
        <v>72</v>
      </c>
      <c r="I517" t="s">
        <v>647</v>
      </c>
      <c r="J517">
        <v>5200</v>
      </c>
      <c r="K517" s="1">
        <v>44707</v>
      </c>
      <c r="L517">
        <v>2022</v>
      </c>
      <c r="M517" t="str">
        <f>UPPER(TEXT(_2020_2022[[#This Row],[Data da Venda]],"mmm"))</f>
        <v>MAI</v>
      </c>
    </row>
    <row r="518" spans="1:13" x14ac:dyDescent="0.25">
      <c r="A518" t="s">
        <v>1445</v>
      </c>
      <c r="B518">
        <v>1500</v>
      </c>
      <c r="C518">
        <v>3</v>
      </c>
      <c r="D518" t="s">
        <v>31</v>
      </c>
      <c r="E518" t="s">
        <v>645</v>
      </c>
      <c r="F518" t="s">
        <v>1026</v>
      </c>
      <c r="G518" t="s">
        <v>643</v>
      </c>
      <c r="H518">
        <v>53</v>
      </c>
      <c r="I518" t="s">
        <v>647</v>
      </c>
      <c r="J518">
        <v>4500</v>
      </c>
      <c r="K518" s="1">
        <v>44781</v>
      </c>
      <c r="L518">
        <v>2022</v>
      </c>
      <c r="M518" t="str">
        <f>UPPER(TEXT(_2020_2022[[#This Row],[Data da Venda]],"mmm"))</f>
        <v>AGO</v>
      </c>
    </row>
    <row r="519" spans="1:13" x14ac:dyDescent="0.25">
      <c r="A519" t="s">
        <v>1442</v>
      </c>
      <c r="B519">
        <v>1200</v>
      </c>
      <c r="C519">
        <v>2</v>
      </c>
      <c r="D519" t="s">
        <v>33</v>
      </c>
      <c r="E519" t="s">
        <v>641</v>
      </c>
      <c r="F519" t="s">
        <v>683</v>
      </c>
      <c r="G519" t="s">
        <v>643</v>
      </c>
      <c r="H519">
        <v>76</v>
      </c>
      <c r="I519" t="s">
        <v>647</v>
      </c>
      <c r="J519">
        <v>2400</v>
      </c>
      <c r="K519" s="1">
        <v>44627</v>
      </c>
      <c r="L519">
        <v>2022</v>
      </c>
      <c r="M519" t="str">
        <f>UPPER(TEXT(_2020_2022[[#This Row],[Data da Venda]],"mmm"))</f>
        <v>MAR</v>
      </c>
    </row>
    <row r="520" spans="1:13" x14ac:dyDescent="0.25">
      <c r="A520" t="s">
        <v>20</v>
      </c>
      <c r="B520">
        <v>2600</v>
      </c>
      <c r="C520">
        <v>1</v>
      </c>
      <c r="D520" t="s">
        <v>29</v>
      </c>
      <c r="E520" t="s">
        <v>641</v>
      </c>
      <c r="F520" t="s">
        <v>950</v>
      </c>
      <c r="G520" t="s">
        <v>650</v>
      </c>
      <c r="H520">
        <v>48</v>
      </c>
      <c r="I520" t="s">
        <v>644</v>
      </c>
      <c r="J520">
        <v>2600</v>
      </c>
      <c r="K520" s="1">
        <v>44721</v>
      </c>
      <c r="L520">
        <v>2022</v>
      </c>
      <c r="M520" t="str">
        <f>UPPER(TEXT(_2020_2022[[#This Row],[Data da Venda]],"mmm"))</f>
        <v>JUN</v>
      </c>
    </row>
    <row r="521" spans="1:13" x14ac:dyDescent="0.25">
      <c r="A521" t="s">
        <v>1444</v>
      </c>
      <c r="B521">
        <v>1500</v>
      </c>
      <c r="C521">
        <v>3</v>
      </c>
      <c r="D521" t="s">
        <v>31</v>
      </c>
      <c r="E521" t="s">
        <v>645</v>
      </c>
      <c r="F521" t="s">
        <v>695</v>
      </c>
      <c r="G521" t="s">
        <v>650</v>
      </c>
      <c r="H521">
        <v>73</v>
      </c>
      <c r="I521" t="s">
        <v>647</v>
      </c>
      <c r="J521">
        <v>4500</v>
      </c>
      <c r="K521" s="1">
        <v>44594</v>
      </c>
      <c r="L521">
        <v>2022</v>
      </c>
      <c r="M521" t="str">
        <f>UPPER(TEXT(_2020_2022[[#This Row],[Data da Venda]],"mmm"))</f>
        <v>FEV</v>
      </c>
    </row>
    <row r="522" spans="1:13" x14ac:dyDescent="0.25">
      <c r="A522" t="s">
        <v>8</v>
      </c>
      <c r="B522">
        <v>5500</v>
      </c>
      <c r="C522">
        <v>2</v>
      </c>
      <c r="D522" t="s">
        <v>30</v>
      </c>
      <c r="E522" t="s">
        <v>645</v>
      </c>
      <c r="F522" t="s">
        <v>864</v>
      </c>
      <c r="G522" t="s">
        <v>650</v>
      </c>
      <c r="H522">
        <v>29</v>
      </c>
      <c r="I522" t="s">
        <v>651</v>
      </c>
      <c r="J522">
        <v>11000</v>
      </c>
      <c r="K522" s="1">
        <v>44709</v>
      </c>
      <c r="L522">
        <v>2022</v>
      </c>
      <c r="M522" t="str">
        <f>UPPER(TEXT(_2020_2022[[#This Row],[Data da Venda]],"mmm"))</f>
        <v>MAI</v>
      </c>
    </row>
    <row r="523" spans="1:13" x14ac:dyDescent="0.25">
      <c r="A523" t="s">
        <v>1445</v>
      </c>
      <c r="B523">
        <v>1500</v>
      </c>
      <c r="C523">
        <v>4</v>
      </c>
      <c r="D523" t="s">
        <v>37</v>
      </c>
      <c r="E523" t="s">
        <v>645</v>
      </c>
      <c r="F523" t="s">
        <v>968</v>
      </c>
      <c r="G523" t="s">
        <v>650</v>
      </c>
      <c r="H523">
        <v>25</v>
      </c>
      <c r="I523" t="s">
        <v>651</v>
      </c>
      <c r="J523">
        <v>6000</v>
      </c>
      <c r="K523" s="1">
        <v>44800</v>
      </c>
      <c r="L523">
        <v>2022</v>
      </c>
      <c r="M523" t="str">
        <f>UPPER(TEXT(_2020_2022[[#This Row],[Data da Venda]],"mmm"))</f>
        <v>AGO</v>
      </c>
    </row>
    <row r="524" spans="1:13" x14ac:dyDescent="0.25">
      <c r="A524" t="s">
        <v>25</v>
      </c>
      <c r="B524">
        <v>2500</v>
      </c>
      <c r="C524">
        <v>2</v>
      </c>
      <c r="D524" t="s">
        <v>29</v>
      </c>
      <c r="E524" t="s">
        <v>641</v>
      </c>
      <c r="F524" t="s">
        <v>1027</v>
      </c>
      <c r="G524" t="s">
        <v>643</v>
      </c>
      <c r="H524">
        <v>34</v>
      </c>
      <c r="I524" t="s">
        <v>644</v>
      </c>
      <c r="J524">
        <v>5000</v>
      </c>
      <c r="K524" s="1">
        <v>44833</v>
      </c>
      <c r="L524">
        <v>2022</v>
      </c>
      <c r="M524" t="str">
        <f>UPPER(TEXT(_2020_2022[[#This Row],[Data da Venda]],"mmm"))</f>
        <v>SET</v>
      </c>
    </row>
    <row r="525" spans="1:13" x14ac:dyDescent="0.25">
      <c r="A525" t="s">
        <v>16</v>
      </c>
      <c r="B525">
        <v>1400</v>
      </c>
      <c r="C525">
        <v>2</v>
      </c>
      <c r="D525" t="s">
        <v>32</v>
      </c>
      <c r="E525" t="s">
        <v>652</v>
      </c>
      <c r="F525" t="s">
        <v>715</v>
      </c>
      <c r="G525" t="s">
        <v>643</v>
      </c>
      <c r="H525">
        <v>72</v>
      </c>
      <c r="I525" t="s">
        <v>647</v>
      </c>
      <c r="J525">
        <v>2800</v>
      </c>
      <c r="K525" s="1">
        <v>44617</v>
      </c>
      <c r="L525">
        <v>2022</v>
      </c>
      <c r="M525" t="str">
        <f>UPPER(TEXT(_2020_2022[[#This Row],[Data da Venda]],"mmm"))</f>
        <v>FEV</v>
      </c>
    </row>
    <row r="526" spans="1:13" x14ac:dyDescent="0.25">
      <c r="A526" t="s">
        <v>20</v>
      </c>
      <c r="B526">
        <v>2600</v>
      </c>
      <c r="C526">
        <v>3</v>
      </c>
      <c r="D526" t="s">
        <v>40</v>
      </c>
      <c r="E526" t="s">
        <v>657</v>
      </c>
      <c r="F526" t="s">
        <v>1028</v>
      </c>
      <c r="G526" t="s">
        <v>650</v>
      </c>
      <c r="H526">
        <v>55</v>
      </c>
      <c r="I526" t="s">
        <v>647</v>
      </c>
      <c r="J526">
        <v>7800</v>
      </c>
      <c r="K526" s="1">
        <v>44739</v>
      </c>
      <c r="L526">
        <v>2022</v>
      </c>
      <c r="M526" t="str">
        <f>UPPER(TEXT(_2020_2022[[#This Row],[Data da Venda]],"mmm"))</f>
        <v>JUN</v>
      </c>
    </row>
    <row r="527" spans="1:13" x14ac:dyDescent="0.25">
      <c r="A527" t="s">
        <v>12</v>
      </c>
      <c r="B527">
        <v>6500</v>
      </c>
      <c r="C527">
        <v>1</v>
      </c>
      <c r="D527" t="s">
        <v>33</v>
      </c>
      <c r="E527" t="s">
        <v>641</v>
      </c>
      <c r="F527" t="s">
        <v>851</v>
      </c>
      <c r="G527" t="s">
        <v>650</v>
      </c>
      <c r="H527">
        <v>72</v>
      </c>
      <c r="I527" t="s">
        <v>647</v>
      </c>
      <c r="J527">
        <v>6500</v>
      </c>
      <c r="K527" s="1">
        <v>44568</v>
      </c>
      <c r="L527">
        <v>2022</v>
      </c>
      <c r="M527" t="str">
        <f>UPPER(TEXT(_2020_2022[[#This Row],[Data da Venda]],"mmm"))</f>
        <v>JAN</v>
      </c>
    </row>
    <row r="528" spans="1:13" x14ac:dyDescent="0.25">
      <c r="A528" t="s">
        <v>1442</v>
      </c>
      <c r="B528">
        <v>1200</v>
      </c>
      <c r="C528">
        <v>5</v>
      </c>
      <c r="D528" t="s">
        <v>36</v>
      </c>
      <c r="E528" t="s">
        <v>677</v>
      </c>
      <c r="F528" t="s">
        <v>886</v>
      </c>
      <c r="G528" t="s">
        <v>650</v>
      </c>
      <c r="H528">
        <v>27</v>
      </c>
      <c r="I528" t="s">
        <v>651</v>
      </c>
      <c r="J528">
        <v>6000</v>
      </c>
      <c r="K528" s="1">
        <v>44581</v>
      </c>
      <c r="L528">
        <v>2022</v>
      </c>
      <c r="M528" t="str">
        <f>UPPER(TEXT(_2020_2022[[#This Row],[Data da Venda]],"mmm"))</f>
        <v>JAN</v>
      </c>
    </row>
    <row r="529" spans="1:13" x14ac:dyDescent="0.25">
      <c r="A529" t="s">
        <v>1442</v>
      </c>
      <c r="B529">
        <v>1200</v>
      </c>
      <c r="C529">
        <v>1</v>
      </c>
      <c r="D529" t="s">
        <v>29</v>
      </c>
      <c r="E529" t="s">
        <v>641</v>
      </c>
      <c r="F529" t="s">
        <v>1029</v>
      </c>
      <c r="G529" t="s">
        <v>643</v>
      </c>
      <c r="H529">
        <v>44</v>
      </c>
      <c r="I529" t="s">
        <v>644</v>
      </c>
      <c r="J529">
        <v>1200</v>
      </c>
      <c r="K529" s="1">
        <v>44912</v>
      </c>
      <c r="L529">
        <v>2022</v>
      </c>
      <c r="M529" t="str">
        <f>UPPER(TEXT(_2020_2022[[#This Row],[Data da Venda]],"mmm"))</f>
        <v>DEZ</v>
      </c>
    </row>
    <row r="530" spans="1:13" x14ac:dyDescent="0.25">
      <c r="A530" t="s">
        <v>11</v>
      </c>
      <c r="B530">
        <v>4500</v>
      </c>
      <c r="C530">
        <v>5</v>
      </c>
      <c r="D530" t="s">
        <v>31</v>
      </c>
      <c r="E530" t="s">
        <v>645</v>
      </c>
      <c r="F530" t="s">
        <v>1030</v>
      </c>
      <c r="G530" t="s">
        <v>650</v>
      </c>
      <c r="H530">
        <v>41</v>
      </c>
      <c r="I530" t="s">
        <v>644</v>
      </c>
      <c r="J530">
        <v>22500</v>
      </c>
      <c r="K530" s="1">
        <v>44815</v>
      </c>
      <c r="L530">
        <v>2022</v>
      </c>
      <c r="M530" t="str">
        <f>UPPER(TEXT(_2020_2022[[#This Row],[Data da Venda]],"mmm"))</f>
        <v>SET</v>
      </c>
    </row>
    <row r="531" spans="1:13" x14ac:dyDescent="0.25">
      <c r="A531" t="s">
        <v>5</v>
      </c>
      <c r="B531">
        <v>1750</v>
      </c>
      <c r="C531">
        <v>5</v>
      </c>
      <c r="D531" t="s">
        <v>32</v>
      </c>
      <c r="E531" t="s">
        <v>652</v>
      </c>
      <c r="F531" t="s">
        <v>1031</v>
      </c>
      <c r="G531" t="s">
        <v>643</v>
      </c>
      <c r="H531">
        <v>44</v>
      </c>
      <c r="I531" t="s">
        <v>644</v>
      </c>
      <c r="J531">
        <v>8750</v>
      </c>
      <c r="K531" s="1">
        <v>44806</v>
      </c>
      <c r="L531">
        <v>2022</v>
      </c>
      <c r="M531" t="str">
        <f>UPPER(TEXT(_2020_2022[[#This Row],[Data da Venda]],"mmm"))</f>
        <v>SET</v>
      </c>
    </row>
    <row r="532" spans="1:13" x14ac:dyDescent="0.25">
      <c r="A532" t="s">
        <v>9</v>
      </c>
      <c r="B532">
        <v>1500</v>
      </c>
      <c r="C532">
        <v>3</v>
      </c>
      <c r="D532" t="s">
        <v>33</v>
      </c>
      <c r="E532" t="s">
        <v>641</v>
      </c>
      <c r="F532" t="s">
        <v>1032</v>
      </c>
      <c r="G532" t="s">
        <v>650</v>
      </c>
      <c r="H532">
        <v>33</v>
      </c>
      <c r="I532" t="s">
        <v>644</v>
      </c>
      <c r="J532">
        <v>4500</v>
      </c>
      <c r="K532" s="1">
        <v>44880</v>
      </c>
      <c r="L532">
        <v>2022</v>
      </c>
      <c r="M532" t="str">
        <f>UPPER(TEXT(_2020_2022[[#This Row],[Data da Venda]],"mmm"))</f>
        <v>NOV</v>
      </c>
    </row>
    <row r="533" spans="1:13" x14ac:dyDescent="0.25">
      <c r="A533" t="s">
        <v>15</v>
      </c>
      <c r="B533">
        <v>1900</v>
      </c>
      <c r="C533">
        <v>1</v>
      </c>
      <c r="D533" t="s">
        <v>36</v>
      </c>
      <c r="E533" t="s">
        <v>677</v>
      </c>
      <c r="F533" t="s">
        <v>882</v>
      </c>
      <c r="G533" t="s">
        <v>643</v>
      </c>
      <c r="H533">
        <v>35</v>
      </c>
      <c r="I533" t="s">
        <v>644</v>
      </c>
      <c r="J533">
        <v>1900</v>
      </c>
      <c r="K533" s="1">
        <v>44626</v>
      </c>
      <c r="L533">
        <v>2022</v>
      </c>
      <c r="M533" t="str">
        <f>UPPER(TEXT(_2020_2022[[#This Row],[Data da Venda]],"mmm"))</f>
        <v>MAR</v>
      </c>
    </row>
    <row r="534" spans="1:13" x14ac:dyDescent="0.25">
      <c r="A534" t="s">
        <v>1444</v>
      </c>
      <c r="B534">
        <v>1500</v>
      </c>
      <c r="C534">
        <v>2</v>
      </c>
      <c r="D534" t="s">
        <v>29</v>
      </c>
      <c r="E534" t="s">
        <v>641</v>
      </c>
      <c r="F534" t="s">
        <v>785</v>
      </c>
      <c r="G534" t="s">
        <v>643</v>
      </c>
      <c r="H534">
        <v>41</v>
      </c>
      <c r="I534" t="s">
        <v>644</v>
      </c>
      <c r="J534">
        <v>3000</v>
      </c>
      <c r="K534" s="1">
        <v>44883</v>
      </c>
      <c r="L534">
        <v>2022</v>
      </c>
      <c r="M534" t="str">
        <f>UPPER(TEXT(_2020_2022[[#This Row],[Data da Venda]],"mmm"))</f>
        <v>NOV</v>
      </c>
    </row>
    <row r="535" spans="1:13" x14ac:dyDescent="0.25">
      <c r="A535" t="s">
        <v>12</v>
      </c>
      <c r="B535">
        <v>6500</v>
      </c>
      <c r="C535">
        <v>2</v>
      </c>
      <c r="D535" t="s">
        <v>37</v>
      </c>
      <c r="E535" t="s">
        <v>645</v>
      </c>
      <c r="F535" t="s">
        <v>870</v>
      </c>
      <c r="G535" t="s">
        <v>643</v>
      </c>
      <c r="H535">
        <v>40</v>
      </c>
      <c r="I535" t="s">
        <v>644</v>
      </c>
      <c r="J535">
        <v>13000</v>
      </c>
      <c r="K535" s="1">
        <v>44625</v>
      </c>
      <c r="L535">
        <v>2022</v>
      </c>
      <c r="M535" t="str">
        <f>UPPER(TEXT(_2020_2022[[#This Row],[Data da Venda]],"mmm"))</f>
        <v>MAR</v>
      </c>
    </row>
    <row r="536" spans="1:13" x14ac:dyDescent="0.25">
      <c r="A536" t="s">
        <v>21</v>
      </c>
      <c r="B536">
        <v>2400</v>
      </c>
      <c r="C536">
        <v>2</v>
      </c>
      <c r="D536" t="s">
        <v>29</v>
      </c>
      <c r="E536" t="s">
        <v>641</v>
      </c>
      <c r="F536" t="s">
        <v>994</v>
      </c>
      <c r="G536" t="s">
        <v>643</v>
      </c>
      <c r="H536">
        <v>46</v>
      </c>
      <c r="I536" t="s">
        <v>644</v>
      </c>
      <c r="J536">
        <v>4800</v>
      </c>
      <c r="K536" s="1">
        <v>44713</v>
      </c>
      <c r="L536">
        <v>2022</v>
      </c>
      <c r="M536" t="str">
        <f>UPPER(TEXT(_2020_2022[[#This Row],[Data da Venda]],"mmm"))</f>
        <v>JUN</v>
      </c>
    </row>
    <row r="537" spans="1:13" x14ac:dyDescent="0.25">
      <c r="A537" t="s">
        <v>1445</v>
      </c>
      <c r="B537">
        <v>1500</v>
      </c>
      <c r="C537">
        <v>1</v>
      </c>
      <c r="D537" t="s">
        <v>32</v>
      </c>
      <c r="E537" t="s">
        <v>652</v>
      </c>
      <c r="F537" t="s">
        <v>861</v>
      </c>
      <c r="G537" t="s">
        <v>650</v>
      </c>
      <c r="H537">
        <v>34</v>
      </c>
      <c r="I537" t="s">
        <v>644</v>
      </c>
      <c r="J537">
        <v>1500</v>
      </c>
      <c r="K537" s="1">
        <v>44685</v>
      </c>
      <c r="L537">
        <v>2022</v>
      </c>
      <c r="M537" t="str">
        <f>UPPER(TEXT(_2020_2022[[#This Row],[Data da Venda]],"mmm"))</f>
        <v>MAI</v>
      </c>
    </row>
    <row r="538" spans="1:13" x14ac:dyDescent="0.25">
      <c r="A538" t="s">
        <v>28</v>
      </c>
      <c r="B538">
        <v>1400</v>
      </c>
      <c r="C538">
        <v>3</v>
      </c>
      <c r="D538" t="s">
        <v>29</v>
      </c>
      <c r="E538" t="s">
        <v>641</v>
      </c>
      <c r="F538" t="s">
        <v>1033</v>
      </c>
      <c r="G538" t="s">
        <v>650</v>
      </c>
      <c r="H538">
        <v>44</v>
      </c>
      <c r="I538" t="s">
        <v>644</v>
      </c>
      <c r="J538">
        <v>4200</v>
      </c>
      <c r="K538" s="1">
        <v>44736</v>
      </c>
      <c r="L538">
        <v>2022</v>
      </c>
      <c r="M538" t="str">
        <f>UPPER(TEXT(_2020_2022[[#This Row],[Data da Venda]],"mmm"))</f>
        <v>JUN</v>
      </c>
    </row>
    <row r="539" spans="1:13" x14ac:dyDescent="0.25">
      <c r="A539" t="s">
        <v>28</v>
      </c>
      <c r="B539">
        <v>1400</v>
      </c>
      <c r="C539">
        <v>3</v>
      </c>
      <c r="D539" t="s">
        <v>29</v>
      </c>
      <c r="E539" t="s">
        <v>641</v>
      </c>
      <c r="F539" t="s">
        <v>888</v>
      </c>
      <c r="G539" t="s">
        <v>650</v>
      </c>
      <c r="H539">
        <v>60</v>
      </c>
      <c r="I539" t="s">
        <v>647</v>
      </c>
      <c r="J539">
        <v>4200</v>
      </c>
      <c r="K539" s="1">
        <v>44563</v>
      </c>
      <c r="L539">
        <v>2022</v>
      </c>
      <c r="M539" t="str">
        <f>UPPER(TEXT(_2020_2022[[#This Row],[Data da Venda]],"mmm"))</f>
        <v>JAN</v>
      </c>
    </row>
    <row r="540" spans="1:13" x14ac:dyDescent="0.25">
      <c r="A540" t="s">
        <v>22</v>
      </c>
      <c r="B540">
        <v>5200</v>
      </c>
      <c r="C540">
        <v>2</v>
      </c>
      <c r="D540" t="s">
        <v>40</v>
      </c>
      <c r="E540" t="s">
        <v>657</v>
      </c>
      <c r="F540" t="s">
        <v>1034</v>
      </c>
      <c r="G540" t="s">
        <v>643</v>
      </c>
      <c r="H540">
        <v>75</v>
      </c>
      <c r="I540" t="s">
        <v>647</v>
      </c>
      <c r="J540">
        <v>10400</v>
      </c>
      <c r="K540" s="1">
        <v>44654</v>
      </c>
      <c r="L540">
        <v>2022</v>
      </c>
      <c r="M540" t="str">
        <f>UPPER(TEXT(_2020_2022[[#This Row],[Data da Venda]],"mmm"))</f>
        <v>ABR</v>
      </c>
    </row>
    <row r="541" spans="1:13" x14ac:dyDescent="0.25">
      <c r="A541" t="s">
        <v>14</v>
      </c>
      <c r="B541">
        <v>2000</v>
      </c>
      <c r="C541">
        <v>3</v>
      </c>
      <c r="D541" t="s">
        <v>34</v>
      </c>
      <c r="E541" t="s">
        <v>679</v>
      </c>
      <c r="F541" t="s">
        <v>956</v>
      </c>
      <c r="G541" t="s">
        <v>650</v>
      </c>
      <c r="H541">
        <v>66</v>
      </c>
      <c r="I541" t="s">
        <v>647</v>
      </c>
      <c r="J541">
        <v>6000</v>
      </c>
      <c r="K541" s="1">
        <v>44893</v>
      </c>
      <c r="L541">
        <v>2022</v>
      </c>
      <c r="M541" t="str">
        <f>UPPER(TEXT(_2020_2022[[#This Row],[Data da Venda]],"mmm"))</f>
        <v>NOV</v>
      </c>
    </row>
    <row r="542" spans="1:13" x14ac:dyDescent="0.25">
      <c r="A542" t="s">
        <v>5</v>
      </c>
      <c r="B542">
        <v>1750</v>
      </c>
      <c r="C542">
        <v>1</v>
      </c>
      <c r="D542" t="s">
        <v>29</v>
      </c>
      <c r="E542" t="s">
        <v>641</v>
      </c>
      <c r="F542" t="s">
        <v>872</v>
      </c>
      <c r="G542" t="s">
        <v>650</v>
      </c>
      <c r="H542">
        <v>49</v>
      </c>
      <c r="I542" t="s">
        <v>644</v>
      </c>
      <c r="J542">
        <v>1750</v>
      </c>
      <c r="K542" s="1">
        <v>44596</v>
      </c>
      <c r="L542">
        <v>2022</v>
      </c>
      <c r="M542" t="str">
        <f>UPPER(TEXT(_2020_2022[[#This Row],[Data da Venda]],"mmm"))</f>
        <v>FEV</v>
      </c>
    </row>
    <row r="543" spans="1:13" x14ac:dyDescent="0.25">
      <c r="A543" t="s">
        <v>25</v>
      </c>
      <c r="B543">
        <v>2500</v>
      </c>
      <c r="C543">
        <v>5</v>
      </c>
      <c r="D543" t="s">
        <v>39</v>
      </c>
      <c r="E543" t="s">
        <v>641</v>
      </c>
      <c r="F543" t="s">
        <v>814</v>
      </c>
      <c r="G543" t="s">
        <v>650</v>
      </c>
      <c r="H543">
        <v>66</v>
      </c>
      <c r="I543" t="s">
        <v>647</v>
      </c>
      <c r="J543">
        <v>12500</v>
      </c>
      <c r="K543" s="1">
        <v>44615</v>
      </c>
      <c r="L543">
        <v>2022</v>
      </c>
      <c r="M543" t="str">
        <f>UPPER(TEXT(_2020_2022[[#This Row],[Data da Venda]],"mmm"))</f>
        <v>FEV</v>
      </c>
    </row>
    <row r="544" spans="1:13" x14ac:dyDescent="0.25">
      <c r="A544" t="s">
        <v>22</v>
      </c>
      <c r="B544">
        <v>5200</v>
      </c>
      <c r="C544">
        <v>4</v>
      </c>
      <c r="D544" t="s">
        <v>37</v>
      </c>
      <c r="E544" t="s">
        <v>645</v>
      </c>
      <c r="F544" t="s">
        <v>694</v>
      </c>
      <c r="G544" t="s">
        <v>643</v>
      </c>
      <c r="H544">
        <v>44</v>
      </c>
      <c r="I544" t="s">
        <v>644</v>
      </c>
      <c r="J544">
        <v>20800</v>
      </c>
      <c r="K544" s="1">
        <v>44664</v>
      </c>
      <c r="L544">
        <v>2022</v>
      </c>
      <c r="M544" t="str">
        <f>UPPER(TEXT(_2020_2022[[#This Row],[Data da Venda]],"mmm"))</f>
        <v>ABR</v>
      </c>
    </row>
    <row r="545" spans="1:13" x14ac:dyDescent="0.25">
      <c r="A545" t="s">
        <v>25</v>
      </c>
      <c r="B545">
        <v>2500</v>
      </c>
      <c r="C545">
        <v>1</v>
      </c>
      <c r="D545" t="s">
        <v>29</v>
      </c>
      <c r="E545" t="s">
        <v>641</v>
      </c>
      <c r="F545" t="s">
        <v>1035</v>
      </c>
      <c r="G545" t="s">
        <v>643</v>
      </c>
      <c r="H545">
        <v>57</v>
      </c>
      <c r="I545" t="s">
        <v>647</v>
      </c>
      <c r="J545">
        <v>2500</v>
      </c>
      <c r="K545" s="1">
        <v>44714</v>
      </c>
      <c r="L545">
        <v>2022</v>
      </c>
      <c r="M545" t="str">
        <f>UPPER(TEXT(_2020_2022[[#This Row],[Data da Venda]],"mmm"))</f>
        <v>JUN</v>
      </c>
    </row>
    <row r="546" spans="1:13" x14ac:dyDescent="0.25">
      <c r="A546" t="s">
        <v>15</v>
      </c>
      <c r="B546">
        <v>1900</v>
      </c>
      <c r="C546">
        <v>4</v>
      </c>
      <c r="D546" t="s">
        <v>36</v>
      </c>
      <c r="E546" t="s">
        <v>677</v>
      </c>
      <c r="F546" t="s">
        <v>1036</v>
      </c>
      <c r="G546" t="s">
        <v>650</v>
      </c>
      <c r="H546">
        <v>49</v>
      </c>
      <c r="I546" t="s">
        <v>644</v>
      </c>
      <c r="J546">
        <v>7600</v>
      </c>
      <c r="K546" s="1">
        <v>44810</v>
      </c>
      <c r="L546">
        <v>2022</v>
      </c>
      <c r="M546" t="str">
        <f>UPPER(TEXT(_2020_2022[[#This Row],[Data da Venda]],"mmm"))</f>
        <v>SET</v>
      </c>
    </row>
    <row r="547" spans="1:13" x14ac:dyDescent="0.25">
      <c r="A547" t="s">
        <v>1440</v>
      </c>
      <c r="B547">
        <v>700</v>
      </c>
      <c r="C547">
        <v>4</v>
      </c>
      <c r="D547" t="s">
        <v>40</v>
      </c>
      <c r="E547" t="s">
        <v>657</v>
      </c>
      <c r="F547" t="s">
        <v>1037</v>
      </c>
      <c r="G547" t="s">
        <v>650</v>
      </c>
      <c r="H547">
        <v>36</v>
      </c>
      <c r="I547" t="s">
        <v>644</v>
      </c>
      <c r="J547">
        <v>2800</v>
      </c>
      <c r="K547" s="1">
        <v>44877</v>
      </c>
      <c r="L547">
        <v>2022</v>
      </c>
      <c r="M547" t="str">
        <f>UPPER(TEXT(_2020_2022[[#This Row],[Data da Venda]],"mmm"))</f>
        <v>NOV</v>
      </c>
    </row>
    <row r="548" spans="1:13" x14ac:dyDescent="0.25">
      <c r="A548" t="s">
        <v>7</v>
      </c>
      <c r="B548">
        <v>750</v>
      </c>
      <c r="C548">
        <v>4</v>
      </c>
      <c r="D548" t="s">
        <v>30</v>
      </c>
      <c r="E548" t="s">
        <v>645</v>
      </c>
      <c r="F548" t="s">
        <v>1038</v>
      </c>
      <c r="G548" t="s">
        <v>643</v>
      </c>
      <c r="H548">
        <v>37</v>
      </c>
      <c r="I548" t="s">
        <v>644</v>
      </c>
      <c r="J548">
        <v>3000</v>
      </c>
      <c r="K548" s="1">
        <v>44864</v>
      </c>
      <c r="L548">
        <v>2022</v>
      </c>
      <c r="M548" t="str">
        <f>UPPER(TEXT(_2020_2022[[#This Row],[Data da Venda]],"mmm"))</f>
        <v>OUT</v>
      </c>
    </row>
    <row r="549" spans="1:13" x14ac:dyDescent="0.25">
      <c r="A549" t="s">
        <v>26</v>
      </c>
      <c r="B549">
        <v>1100</v>
      </c>
      <c r="C549">
        <v>2</v>
      </c>
      <c r="D549" t="s">
        <v>35</v>
      </c>
      <c r="E549" t="s">
        <v>666</v>
      </c>
      <c r="F549" t="s">
        <v>779</v>
      </c>
      <c r="G549" t="s">
        <v>650</v>
      </c>
      <c r="H549">
        <v>32</v>
      </c>
      <c r="I549" t="s">
        <v>644</v>
      </c>
      <c r="J549">
        <v>2200</v>
      </c>
      <c r="K549" s="1">
        <v>44866</v>
      </c>
      <c r="L549">
        <v>2022</v>
      </c>
      <c r="M549" t="str">
        <f>UPPER(TEXT(_2020_2022[[#This Row],[Data da Venda]],"mmm"))</f>
        <v>NOV</v>
      </c>
    </row>
    <row r="550" spans="1:13" x14ac:dyDescent="0.25">
      <c r="A550" t="s">
        <v>8</v>
      </c>
      <c r="B550">
        <v>5500</v>
      </c>
      <c r="C550">
        <v>1</v>
      </c>
      <c r="D550" t="s">
        <v>38</v>
      </c>
      <c r="E550" t="s">
        <v>648</v>
      </c>
      <c r="F550" t="s">
        <v>837</v>
      </c>
      <c r="G550" t="s">
        <v>650</v>
      </c>
      <c r="H550">
        <v>63</v>
      </c>
      <c r="I550" t="s">
        <v>647</v>
      </c>
      <c r="J550">
        <v>5500</v>
      </c>
      <c r="K550" s="1">
        <v>44822</v>
      </c>
      <c r="L550">
        <v>2022</v>
      </c>
      <c r="M550" t="str">
        <f>UPPER(TEXT(_2020_2022[[#This Row],[Data da Venda]],"mmm"))</f>
        <v>SET</v>
      </c>
    </row>
    <row r="551" spans="1:13" x14ac:dyDescent="0.25">
      <c r="A551" t="s">
        <v>24</v>
      </c>
      <c r="B551">
        <v>2000</v>
      </c>
      <c r="C551">
        <v>1</v>
      </c>
      <c r="D551" t="s">
        <v>41</v>
      </c>
      <c r="E551" t="s">
        <v>681</v>
      </c>
      <c r="F551" t="s">
        <v>1039</v>
      </c>
      <c r="G551" t="s">
        <v>643</v>
      </c>
      <c r="H551">
        <v>70</v>
      </c>
      <c r="I551" t="s">
        <v>647</v>
      </c>
      <c r="J551">
        <v>2000</v>
      </c>
      <c r="K551" s="1">
        <v>44785</v>
      </c>
      <c r="L551">
        <v>2022</v>
      </c>
      <c r="M551" t="str">
        <f>UPPER(TEXT(_2020_2022[[#This Row],[Data da Venda]],"mmm"))</f>
        <v>AGO</v>
      </c>
    </row>
    <row r="552" spans="1:13" x14ac:dyDescent="0.25">
      <c r="A552" t="s">
        <v>18</v>
      </c>
      <c r="B552">
        <v>3000</v>
      </c>
      <c r="C552">
        <v>1</v>
      </c>
      <c r="D552" t="s">
        <v>29</v>
      </c>
      <c r="E552" t="s">
        <v>641</v>
      </c>
      <c r="F552" t="s">
        <v>1040</v>
      </c>
      <c r="G552" t="s">
        <v>650</v>
      </c>
      <c r="H552">
        <v>46</v>
      </c>
      <c r="I552" t="s">
        <v>644</v>
      </c>
      <c r="J552">
        <v>3000</v>
      </c>
      <c r="K552" s="1">
        <v>44827</v>
      </c>
      <c r="L552">
        <v>2022</v>
      </c>
      <c r="M552" t="str">
        <f>UPPER(TEXT(_2020_2022[[#This Row],[Data da Venda]],"mmm"))</f>
        <v>SET</v>
      </c>
    </row>
    <row r="553" spans="1:13" x14ac:dyDescent="0.25">
      <c r="A553" t="s">
        <v>5</v>
      </c>
      <c r="B553">
        <v>1750</v>
      </c>
      <c r="C553">
        <v>1</v>
      </c>
      <c r="D553" t="s">
        <v>38</v>
      </c>
      <c r="E553" t="s">
        <v>648</v>
      </c>
      <c r="F553" t="s">
        <v>1041</v>
      </c>
      <c r="G553" t="s">
        <v>643</v>
      </c>
      <c r="H553">
        <v>57</v>
      </c>
      <c r="I553" t="s">
        <v>647</v>
      </c>
      <c r="J553">
        <v>1750</v>
      </c>
      <c r="K553" s="1">
        <v>44760</v>
      </c>
      <c r="L553">
        <v>2022</v>
      </c>
      <c r="M553" t="str">
        <f>UPPER(TEXT(_2020_2022[[#This Row],[Data da Venda]],"mmm"))</f>
        <v>JUL</v>
      </c>
    </row>
    <row r="554" spans="1:13" x14ac:dyDescent="0.25">
      <c r="A554" t="s">
        <v>1445</v>
      </c>
      <c r="B554">
        <v>1500</v>
      </c>
      <c r="C554">
        <v>5</v>
      </c>
      <c r="D554" t="s">
        <v>31</v>
      </c>
      <c r="E554" t="s">
        <v>645</v>
      </c>
      <c r="F554" t="s">
        <v>967</v>
      </c>
      <c r="G554" t="s">
        <v>643</v>
      </c>
      <c r="H554">
        <v>38</v>
      </c>
      <c r="I554" t="s">
        <v>644</v>
      </c>
      <c r="J554">
        <v>7500</v>
      </c>
      <c r="K554" s="1">
        <v>44838</v>
      </c>
      <c r="L554">
        <v>2022</v>
      </c>
      <c r="M554" t="str">
        <f>UPPER(TEXT(_2020_2022[[#This Row],[Data da Venda]],"mmm"))</f>
        <v>OUT</v>
      </c>
    </row>
    <row r="555" spans="1:13" x14ac:dyDescent="0.25">
      <c r="A555" t="s">
        <v>1445</v>
      </c>
      <c r="B555">
        <v>1500</v>
      </c>
      <c r="C555">
        <v>2</v>
      </c>
      <c r="D555" t="s">
        <v>40</v>
      </c>
      <c r="E555" t="s">
        <v>657</v>
      </c>
      <c r="F555" t="s">
        <v>716</v>
      </c>
      <c r="G555" t="s">
        <v>650</v>
      </c>
      <c r="H555">
        <v>52</v>
      </c>
      <c r="I555" t="s">
        <v>647</v>
      </c>
      <c r="J555">
        <v>3000</v>
      </c>
      <c r="K555" s="1">
        <v>44786</v>
      </c>
      <c r="L555">
        <v>2022</v>
      </c>
      <c r="M555" t="str">
        <f>UPPER(TEXT(_2020_2022[[#This Row],[Data da Venda]],"mmm"))</f>
        <v>AGO</v>
      </c>
    </row>
    <row r="556" spans="1:13" x14ac:dyDescent="0.25">
      <c r="A556" t="s">
        <v>20</v>
      </c>
      <c r="B556">
        <v>2600</v>
      </c>
      <c r="C556">
        <v>2</v>
      </c>
      <c r="D556" t="s">
        <v>32</v>
      </c>
      <c r="E556" t="s">
        <v>652</v>
      </c>
      <c r="F556" t="s">
        <v>1042</v>
      </c>
      <c r="G556" t="s">
        <v>650</v>
      </c>
      <c r="H556">
        <v>72</v>
      </c>
      <c r="I556" t="s">
        <v>647</v>
      </c>
      <c r="J556">
        <v>5200</v>
      </c>
      <c r="K556" s="1">
        <v>44745</v>
      </c>
      <c r="L556">
        <v>2022</v>
      </c>
      <c r="M556" t="str">
        <f>UPPER(TEXT(_2020_2022[[#This Row],[Data da Venda]],"mmm"))</f>
        <v>JUL</v>
      </c>
    </row>
    <row r="557" spans="1:13" x14ac:dyDescent="0.25">
      <c r="A557" t="s">
        <v>14</v>
      </c>
      <c r="B557">
        <v>2000</v>
      </c>
      <c r="C557">
        <v>2</v>
      </c>
      <c r="D557" t="s">
        <v>30</v>
      </c>
      <c r="E557" t="s">
        <v>645</v>
      </c>
      <c r="F557" t="s">
        <v>975</v>
      </c>
      <c r="G557" t="s">
        <v>650</v>
      </c>
      <c r="H557">
        <v>58</v>
      </c>
      <c r="I557" t="s">
        <v>647</v>
      </c>
      <c r="J557">
        <v>4000</v>
      </c>
      <c r="K557" s="1">
        <v>44779</v>
      </c>
      <c r="L557">
        <v>2022</v>
      </c>
      <c r="M557" t="str">
        <f>UPPER(TEXT(_2020_2022[[#This Row],[Data da Venda]],"mmm"))</f>
        <v>AGO</v>
      </c>
    </row>
    <row r="558" spans="1:13" x14ac:dyDescent="0.25">
      <c r="A558" t="s">
        <v>1441</v>
      </c>
      <c r="B558">
        <v>1450</v>
      </c>
      <c r="C558">
        <v>1</v>
      </c>
      <c r="D558" t="s">
        <v>32</v>
      </c>
      <c r="E558" t="s">
        <v>652</v>
      </c>
      <c r="F558" t="s">
        <v>934</v>
      </c>
      <c r="G558" t="s">
        <v>643</v>
      </c>
      <c r="H558">
        <v>67</v>
      </c>
      <c r="I558" t="s">
        <v>647</v>
      </c>
      <c r="J558">
        <v>1450</v>
      </c>
      <c r="K558" s="1">
        <v>44825</v>
      </c>
      <c r="L558">
        <v>2022</v>
      </c>
      <c r="M558" t="str">
        <f>UPPER(TEXT(_2020_2022[[#This Row],[Data da Venda]],"mmm"))</f>
        <v>SET</v>
      </c>
    </row>
    <row r="559" spans="1:13" x14ac:dyDescent="0.25">
      <c r="A559" t="s">
        <v>1440</v>
      </c>
      <c r="B559">
        <v>700</v>
      </c>
      <c r="C559">
        <v>5</v>
      </c>
      <c r="D559" t="s">
        <v>29</v>
      </c>
      <c r="E559" t="s">
        <v>641</v>
      </c>
      <c r="F559" t="s">
        <v>785</v>
      </c>
      <c r="G559" t="s">
        <v>643</v>
      </c>
      <c r="H559">
        <v>41</v>
      </c>
      <c r="I559" t="s">
        <v>644</v>
      </c>
      <c r="J559">
        <v>3500</v>
      </c>
      <c r="K559" s="1">
        <v>44647</v>
      </c>
      <c r="L559">
        <v>2022</v>
      </c>
      <c r="M559" t="str">
        <f>UPPER(TEXT(_2020_2022[[#This Row],[Data da Venda]],"mmm"))</f>
        <v>MAR</v>
      </c>
    </row>
    <row r="560" spans="1:13" x14ac:dyDescent="0.25">
      <c r="A560" t="s">
        <v>5</v>
      </c>
      <c r="B560">
        <v>1750</v>
      </c>
      <c r="C560">
        <v>3</v>
      </c>
      <c r="D560" t="s">
        <v>37</v>
      </c>
      <c r="E560" t="s">
        <v>645</v>
      </c>
      <c r="F560" t="s">
        <v>1043</v>
      </c>
      <c r="G560" t="s">
        <v>650</v>
      </c>
      <c r="H560">
        <v>43</v>
      </c>
      <c r="I560" t="s">
        <v>644</v>
      </c>
      <c r="J560">
        <v>5250</v>
      </c>
      <c r="K560" s="1">
        <v>44585</v>
      </c>
      <c r="L560">
        <v>2022</v>
      </c>
      <c r="M560" t="str">
        <f>UPPER(TEXT(_2020_2022[[#This Row],[Data da Venda]],"mmm"))</f>
        <v>JAN</v>
      </c>
    </row>
    <row r="561" spans="1:13" x14ac:dyDescent="0.25">
      <c r="A561" t="s">
        <v>16</v>
      </c>
      <c r="B561">
        <v>1400</v>
      </c>
      <c r="C561">
        <v>3</v>
      </c>
      <c r="D561" t="s">
        <v>39</v>
      </c>
      <c r="E561" t="s">
        <v>641</v>
      </c>
      <c r="F561" t="s">
        <v>959</v>
      </c>
      <c r="G561" t="s">
        <v>650</v>
      </c>
      <c r="H561">
        <v>66</v>
      </c>
      <c r="I561" t="s">
        <v>647</v>
      </c>
      <c r="J561">
        <v>4200</v>
      </c>
      <c r="K561" s="1">
        <v>44833</v>
      </c>
      <c r="L561">
        <v>2022</v>
      </c>
      <c r="M561" t="str">
        <f>UPPER(TEXT(_2020_2022[[#This Row],[Data da Venda]],"mmm"))</f>
        <v>SET</v>
      </c>
    </row>
    <row r="562" spans="1:13" x14ac:dyDescent="0.25">
      <c r="A562" t="s">
        <v>21</v>
      </c>
      <c r="B562">
        <v>2400</v>
      </c>
      <c r="C562">
        <v>2</v>
      </c>
      <c r="D562" t="s">
        <v>30</v>
      </c>
      <c r="E562" t="s">
        <v>645</v>
      </c>
      <c r="F562" t="s">
        <v>1044</v>
      </c>
      <c r="G562" t="s">
        <v>650</v>
      </c>
      <c r="H562">
        <v>45</v>
      </c>
      <c r="I562" t="s">
        <v>644</v>
      </c>
      <c r="J562">
        <v>4800</v>
      </c>
      <c r="K562" s="1">
        <v>44922</v>
      </c>
      <c r="L562">
        <v>2022</v>
      </c>
      <c r="M562" t="str">
        <f>UPPER(TEXT(_2020_2022[[#This Row],[Data da Venda]],"mmm"))</f>
        <v>DEZ</v>
      </c>
    </row>
    <row r="563" spans="1:13" x14ac:dyDescent="0.25">
      <c r="A563" t="s">
        <v>7</v>
      </c>
      <c r="B563">
        <v>750</v>
      </c>
      <c r="C563">
        <v>1</v>
      </c>
      <c r="D563" t="s">
        <v>35</v>
      </c>
      <c r="E563" t="s">
        <v>666</v>
      </c>
      <c r="F563" t="s">
        <v>878</v>
      </c>
      <c r="G563" t="s">
        <v>650</v>
      </c>
      <c r="H563">
        <v>26</v>
      </c>
      <c r="I563" t="s">
        <v>651</v>
      </c>
      <c r="J563">
        <v>750</v>
      </c>
      <c r="K563" s="1">
        <v>44905</v>
      </c>
      <c r="L563">
        <v>2022</v>
      </c>
      <c r="M563" t="str">
        <f>UPPER(TEXT(_2020_2022[[#This Row],[Data da Venda]],"mmm"))</f>
        <v>DEZ</v>
      </c>
    </row>
    <row r="564" spans="1:13" x14ac:dyDescent="0.25">
      <c r="A564" t="s">
        <v>21</v>
      </c>
      <c r="B564">
        <v>2400</v>
      </c>
      <c r="C564">
        <v>3</v>
      </c>
      <c r="D564" t="s">
        <v>31</v>
      </c>
      <c r="E564" t="s">
        <v>645</v>
      </c>
      <c r="F564" t="s">
        <v>1045</v>
      </c>
      <c r="G564" t="s">
        <v>650</v>
      </c>
      <c r="H564">
        <v>28</v>
      </c>
      <c r="I564" t="s">
        <v>651</v>
      </c>
      <c r="J564">
        <v>7200</v>
      </c>
      <c r="K564" s="1">
        <v>44769</v>
      </c>
      <c r="L564">
        <v>2022</v>
      </c>
      <c r="M564" t="str">
        <f>UPPER(TEXT(_2020_2022[[#This Row],[Data da Venda]],"mmm"))</f>
        <v>JUL</v>
      </c>
    </row>
    <row r="565" spans="1:13" x14ac:dyDescent="0.25">
      <c r="A565" t="s">
        <v>8</v>
      </c>
      <c r="B565">
        <v>5500</v>
      </c>
      <c r="C565">
        <v>4</v>
      </c>
      <c r="D565" t="s">
        <v>35</v>
      </c>
      <c r="E565" t="s">
        <v>666</v>
      </c>
      <c r="F565" t="s">
        <v>1046</v>
      </c>
      <c r="G565" t="s">
        <v>643</v>
      </c>
      <c r="H565">
        <v>41</v>
      </c>
      <c r="I565" t="s">
        <v>644</v>
      </c>
      <c r="J565">
        <v>22000</v>
      </c>
      <c r="K565" s="1">
        <v>44764</v>
      </c>
      <c r="L565">
        <v>2022</v>
      </c>
      <c r="M565" t="str">
        <f>UPPER(TEXT(_2020_2022[[#This Row],[Data da Venda]],"mmm"))</f>
        <v>JUL</v>
      </c>
    </row>
    <row r="566" spans="1:13" x14ac:dyDescent="0.25">
      <c r="A566" t="s">
        <v>16</v>
      </c>
      <c r="B566">
        <v>1400</v>
      </c>
      <c r="C566">
        <v>3</v>
      </c>
      <c r="D566" t="s">
        <v>33</v>
      </c>
      <c r="E566" t="s">
        <v>641</v>
      </c>
      <c r="F566" t="s">
        <v>880</v>
      </c>
      <c r="G566" t="s">
        <v>643</v>
      </c>
      <c r="H566">
        <v>44</v>
      </c>
      <c r="I566" t="s">
        <v>644</v>
      </c>
      <c r="J566">
        <v>4200</v>
      </c>
      <c r="K566" s="1">
        <v>44612</v>
      </c>
      <c r="L566">
        <v>2022</v>
      </c>
      <c r="M566" t="str">
        <f>UPPER(TEXT(_2020_2022[[#This Row],[Data da Venda]],"mmm"))</f>
        <v>FEV</v>
      </c>
    </row>
    <row r="567" spans="1:13" x14ac:dyDescent="0.25">
      <c r="A567" t="s">
        <v>1444</v>
      </c>
      <c r="B567">
        <v>1500</v>
      </c>
      <c r="C567">
        <v>1</v>
      </c>
      <c r="D567" t="s">
        <v>30</v>
      </c>
      <c r="E567" t="s">
        <v>645</v>
      </c>
      <c r="F567" t="s">
        <v>1047</v>
      </c>
      <c r="G567" t="s">
        <v>650</v>
      </c>
      <c r="H567">
        <v>29</v>
      </c>
      <c r="I567" t="s">
        <v>651</v>
      </c>
      <c r="J567">
        <v>1500</v>
      </c>
      <c r="K567" s="1">
        <v>44751</v>
      </c>
      <c r="L567">
        <v>2022</v>
      </c>
      <c r="M567" t="str">
        <f>UPPER(TEXT(_2020_2022[[#This Row],[Data da Venda]],"mmm"))</f>
        <v>JUL</v>
      </c>
    </row>
    <row r="568" spans="1:13" x14ac:dyDescent="0.25">
      <c r="A568" t="s">
        <v>16</v>
      </c>
      <c r="B568">
        <v>1400</v>
      </c>
      <c r="C568">
        <v>2</v>
      </c>
      <c r="D568" t="s">
        <v>41</v>
      </c>
      <c r="E568" t="s">
        <v>681</v>
      </c>
      <c r="F568" t="s">
        <v>1048</v>
      </c>
      <c r="G568" t="s">
        <v>643</v>
      </c>
      <c r="H568">
        <v>38</v>
      </c>
      <c r="I568" t="s">
        <v>644</v>
      </c>
      <c r="J568">
        <v>2800</v>
      </c>
      <c r="K568" s="1">
        <v>44595</v>
      </c>
      <c r="L568">
        <v>2022</v>
      </c>
      <c r="M568" t="str">
        <f>UPPER(TEXT(_2020_2022[[#This Row],[Data da Venda]],"mmm"))</f>
        <v>FEV</v>
      </c>
    </row>
    <row r="569" spans="1:13" x14ac:dyDescent="0.25">
      <c r="A569" t="s">
        <v>28</v>
      </c>
      <c r="B569">
        <v>1400</v>
      </c>
      <c r="C569">
        <v>1</v>
      </c>
      <c r="D569" t="s">
        <v>40</v>
      </c>
      <c r="E569" t="s">
        <v>657</v>
      </c>
      <c r="F569" t="s">
        <v>1049</v>
      </c>
      <c r="G569" t="s">
        <v>650</v>
      </c>
      <c r="H569">
        <v>44</v>
      </c>
      <c r="I569" t="s">
        <v>644</v>
      </c>
      <c r="J569">
        <v>1400</v>
      </c>
      <c r="K569" s="1">
        <v>44872</v>
      </c>
      <c r="L569">
        <v>2022</v>
      </c>
      <c r="M569" t="str">
        <f>UPPER(TEXT(_2020_2022[[#This Row],[Data da Venda]],"mmm"))</f>
        <v>NOV</v>
      </c>
    </row>
    <row r="570" spans="1:13" x14ac:dyDescent="0.25">
      <c r="A570" t="s">
        <v>1440</v>
      </c>
      <c r="B570">
        <v>700</v>
      </c>
      <c r="C570">
        <v>4</v>
      </c>
      <c r="D570" t="s">
        <v>39</v>
      </c>
      <c r="E570" t="s">
        <v>641</v>
      </c>
      <c r="F570" t="s">
        <v>1050</v>
      </c>
      <c r="G570" t="s">
        <v>643</v>
      </c>
      <c r="H570">
        <v>40</v>
      </c>
      <c r="I570" t="s">
        <v>644</v>
      </c>
      <c r="J570">
        <v>2800</v>
      </c>
      <c r="K570" s="1">
        <v>44870</v>
      </c>
      <c r="L570">
        <v>2022</v>
      </c>
      <c r="M570" t="str">
        <f>UPPER(TEXT(_2020_2022[[#This Row],[Data da Venda]],"mmm"))</f>
        <v>NOV</v>
      </c>
    </row>
    <row r="571" spans="1:13" x14ac:dyDescent="0.25">
      <c r="A571" t="s">
        <v>1440</v>
      </c>
      <c r="B571">
        <v>700</v>
      </c>
      <c r="C571">
        <v>2</v>
      </c>
      <c r="D571" t="s">
        <v>39</v>
      </c>
      <c r="E571" t="s">
        <v>641</v>
      </c>
      <c r="F571" t="s">
        <v>1051</v>
      </c>
      <c r="G571" t="s">
        <v>643</v>
      </c>
      <c r="H571">
        <v>61</v>
      </c>
      <c r="I571" t="s">
        <v>647</v>
      </c>
      <c r="J571">
        <v>1400</v>
      </c>
      <c r="K571" s="1">
        <v>44808</v>
      </c>
      <c r="L571">
        <v>2022</v>
      </c>
      <c r="M571" t="str">
        <f>UPPER(TEXT(_2020_2022[[#This Row],[Data da Venda]],"mmm"))</f>
        <v>SET</v>
      </c>
    </row>
    <row r="572" spans="1:13" x14ac:dyDescent="0.25">
      <c r="A572" t="s">
        <v>18</v>
      </c>
      <c r="B572">
        <v>3000</v>
      </c>
      <c r="C572">
        <v>5</v>
      </c>
      <c r="D572" t="s">
        <v>35</v>
      </c>
      <c r="E572" t="s">
        <v>666</v>
      </c>
      <c r="F572" t="s">
        <v>1052</v>
      </c>
      <c r="G572" t="s">
        <v>650</v>
      </c>
      <c r="H572">
        <v>31</v>
      </c>
      <c r="I572" t="s">
        <v>644</v>
      </c>
      <c r="J572">
        <v>15000</v>
      </c>
      <c r="K572" s="1">
        <v>44802</v>
      </c>
      <c r="L572">
        <v>2022</v>
      </c>
      <c r="M572" t="str">
        <f>UPPER(TEXT(_2020_2022[[#This Row],[Data da Venda]],"mmm"))</f>
        <v>AGO</v>
      </c>
    </row>
    <row r="573" spans="1:13" x14ac:dyDescent="0.25">
      <c r="A573" t="s">
        <v>1442</v>
      </c>
      <c r="B573">
        <v>1200</v>
      </c>
      <c r="C573">
        <v>4</v>
      </c>
      <c r="D573" t="s">
        <v>30</v>
      </c>
      <c r="E573" t="s">
        <v>645</v>
      </c>
      <c r="F573" t="s">
        <v>940</v>
      </c>
      <c r="G573" t="s">
        <v>650</v>
      </c>
      <c r="H573">
        <v>45</v>
      </c>
      <c r="I573" t="s">
        <v>644</v>
      </c>
      <c r="J573">
        <v>4800</v>
      </c>
      <c r="K573" s="1">
        <v>44727</v>
      </c>
      <c r="L573">
        <v>2022</v>
      </c>
      <c r="M573" t="str">
        <f>UPPER(TEXT(_2020_2022[[#This Row],[Data da Venda]],"mmm"))</f>
        <v>JUN</v>
      </c>
    </row>
    <row r="574" spans="1:13" x14ac:dyDescent="0.25">
      <c r="A574" t="s">
        <v>25</v>
      </c>
      <c r="B574">
        <v>2500</v>
      </c>
      <c r="C574">
        <v>5</v>
      </c>
      <c r="D574" t="s">
        <v>32</v>
      </c>
      <c r="E574" t="s">
        <v>652</v>
      </c>
      <c r="F574" t="s">
        <v>1053</v>
      </c>
      <c r="G574" t="s">
        <v>643</v>
      </c>
      <c r="H574">
        <v>27</v>
      </c>
      <c r="I574" t="s">
        <v>651</v>
      </c>
      <c r="J574">
        <v>12500</v>
      </c>
      <c r="K574" s="1">
        <v>44595</v>
      </c>
      <c r="L574">
        <v>2022</v>
      </c>
      <c r="M574" t="str">
        <f>UPPER(TEXT(_2020_2022[[#This Row],[Data da Venda]],"mmm"))</f>
        <v>FEV</v>
      </c>
    </row>
    <row r="575" spans="1:13" x14ac:dyDescent="0.25">
      <c r="A575" t="s">
        <v>1440</v>
      </c>
      <c r="B575">
        <v>700</v>
      </c>
      <c r="C575">
        <v>2</v>
      </c>
      <c r="D575" t="s">
        <v>38</v>
      </c>
      <c r="E575" t="s">
        <v>648</v>
      </c>
      <c r="F575" t="s">
        <v>1054</v>
      </c>
      <c r="G575" t="s">
        <v>650</v>
      </c>
      <c r="H575">
        <v>67</v>
      </c>
      <c r="I575" t="s">
        <v>647</v>
      </c>
      <c r="J575">
        <v>1400</v>
      </c>
      <c r="K575" s="1">
        <v>44909</v>
      </c>
      <c r="L575">
        <v>2022</v>
      </c>
      <c r="M575" t="str">
        <f>UPPER(TEXT(_2020_2022[[#This Row],[Data da Venda]],"mmm"))</f>
        <v>DEZ</v>
      </c>
    </row>
    <row r="576" spans="1:13" x14ac:dyDescent="0.25">
      <c r="A576" t="s">
        <v>22</v>
      </c>
      <c r="B576">
        <v>5200</v>
      </c>
      <c r="C576">
        <v>2</v>
      </c>
      <c r="D576" t="s">
        <v>34</v>
      </c>
      <c r="E576" t="s">
        <v>679</v>
      </c>
      <c r="F576" t="s">
        <v>1055</v>
      </c>
      <c r="G576" t="s">
        <v>650</v>
      </c>
      <c r="H576">
        <v>67</v>
      </c>
      <c r="I576" t="s">
        <v>647</v>
      </c>
      <c r="J576">
        <v>10400</v>
      </c>
      <c r="K576" s="1">
        <v>44574</v>
      </c>
      <c r="L576">
        <v>2022</v>
      </c>
      <c r="M576" t="str">
        <f>UPPER(TEXT(_2020_2022[[#This Row],[Data da Venda]],"mmm"))</f>
        <v>JAN</v>
      </c>
    </row>
    <row r="577" spans="1:13" x14ac:dyDescent="0.25">
      <c r="A577" t="s">
        <v>1444</v>
      </c>
      <c r="B577">
        <v>1500</v>
      </c>
      <c r="C577">
        <v>1</v>
      </c>
      <c r="D577" t="s">
        <v>35</v>
      </c>
      <c r="E577" t="s">
        <v>666</v>
      </c>
      <c r="F577" t="s">
        <v>884</v>
      </c>
      <c r="G577" t="s">
        <v>650</v>
      </c>
      <c r="H577">
        <v>58</v>
      </c>
      <c r="I577" t="s">
        <v>647</v>
      </c>
      <c r="J577">
        <v>1500</v>
      </c>
      <c r="K577" s="1">
        <v>44630</v>
      </c>
      <c r="L577">
        <v>2022</v>
      </c>
      <c r="M577" t="str">
        <f>UPPER(TEXT(_2020_2022[[#This Row],[Data da Venda]],"mmm"))</f>
        <v>MAR</v>
      </c>
    </row>
    <row r="578" spans="1:13" x14ac:dyDescent="0.25">
      <c r="A578" t="s">
        <v>18</v>
      </c>
      <c r="B578">
        <v>3000</v>
      </c>
      <c r="C578">
        <v>4</v>
      </c>
      <c r="D578" t="s">
        <v>38</v>
      </c>
      <c r="E578" t="s">
        <v>648</v>
      </c>
      <c r="F578" t="s">
        <v>1056</v>
      </c>
      <c r="G578" t="s">
        <v>650</v>
      </c>
      <c r="H578">
        <v>40</v>
      </c>
      <c r="I578" t="s">
        <v>644</v>
      </c>
      <c r="J578">
        <v>12000</v>
      </c>
      <c r="K578" s="1">
        <v>44603</v>
      </c>
      <c r="L578">
        <v>2022</v>
      </c>
      <c r="M578" t="str">
        <f>UPPER(TEXT(_2020_2022[[#This Row],[Data da Venda]],"mmm"))</f>
        <v>FEV</v>
      </c>
    </row>
    <row r="579" spans="1:13" x14ac:dyDescent="0.25">
      <c r="A579" t="s">
        <v>1443</v>
      </c>
      <c r="B579">
        <v>1550</v>
      </c>
      <c r="C579">
        <v>2</v>
      </c>
      <c r="D579" t="s">
        <v>41</v>
      </c>
      <c r="E579" t="s">
        <v>681</v>
      </c>
      <c r="F579" t="s">
        <v>1057</v>
      </c>
      <c r="G579" t="s">
        <v>650</v>
      </c>
      <c r="H579">
        <v>61</v>
      </c>
      <c r="I579" t="s">
        <v>647</v>
      </c>
      <c r="J579">
        <v>3100</v>
      </c>
      <c r="K579" s="1">
        <v>44868</v>
      </c>
      <c r="L579">
        <v>2022</v>
      </c>
      <c r="M579" t="str">
        <f>UPPER(TEXT(_2020_2022[[#This Row],[Data da Venda]],"mmm"))</f>
        <v>NOV</v>
      </c>
    </row>
    <row r="580" spans="1:13" x14ac:dyDescent="0.25">
      <c r="A580" t="s">
        <v>9</v>
      </c>
      <c r="B580">
        <v>1500</v>
      </c>
      <c r="C580">
        <v>3</v>
      </c>
      <c r="D580" t="s">
        <v>32</v>
      </c>
      <c r="E580" t="s">
        <v>652</v>
      </c>
      <c r="F580" t="s">
        <v>1058</v>
      </c>
      <c r="G580" t="s">
        <v>650</v>
      </c>
      <c r="H580">
        <v>59</v>
      </c>
      <c r="I580" t="s">
        <v>647</v>
      </c>
      <c r="J580">
        <v>4500</v>
      </c>
      <c r="K580" s="1">
        <v>44735</v>
      </c>
      <c r="L580">
        <v>2022</v>
      </c>
      <c r="M580" t="str">
        <f>UPPER(TEXT(_2020_2022[[#This Row],[Data da Venda]],"mmm"))</f>
        <v>JUN</v>
      </c>
    </row>
    <row r="581" spans="1:13" x14ac:dyDescent="0.25">
      <c r="A581" t="s">
        <v>25</v>
      </c>
      <c r="B581">
        <v>2500</v>
      </c>
      <c r="C581">
        <v>3</v>
      </c>
      <c r="D581" t="s">
        <v>35</v>
      </c>
      <c r="E581" t="s">
        <v>666</v>
      </c>
      <c r="F581" t="s">
        <v>1059</v>
      </c>
      <c r="G581" t="s">
        <v>643</v>
      </c>
      <c r="H581">
        <v>57</v>
      </c>
      <c r="I581" t="s">
        <v>647</v>
      </c>
      <c r="J581">
        <v>7500</v>
      </c>
      <c r="K581" s="1">
        <v>44708</v>
      </c>
      <c r="L581">
        <v>2022</v>
      </c>
      <c r="M581" t="str">
        <f>UPPER(TEXT(_2020_2022[[#This Row],[Data da Venda]],"mmm"))</f>
        <v>MAI</v>
      </c>
    </row>
    <row r="582" spans="1:13" x14ac:dyDescent="0.25">
      <c r="A582" t="s">
        <v>1440</v>
      </c>
      <c r="B582">
        <v>700</v>
      </c>
      <c r="C582">
        <v>1</v>
      </c>
      <c r="D582" t="s">
        <v>34</v>
      </c>
      <c r="E582" t="s">
        <v>679</v>
      </c>
      <c r="F582" t="s">
        <v>1060</v>
      </c>
      <c r="G582" t="s">
        <v>643</v>
      </c>
      <c r="H582">
        <v>64</v>
      </c>
      <c r="I582" t="s">
        <v>647</v>
      </c>
      <c r="J582">
        <v>700</v>
      </c>
      <c r="K582" s="1">
        <v>44634</v>
      </c>
      <c r="L582">
        <v>2022</v>
      </c>
      <c r="M582" t="str">
        <f>UPPER(TEXT(_2020_2022[[#This Row],[Data da Venda]],"mmm"))</f>
        <v>MAR</v>
      </c>
    </row>
    <row r="583" spans="1:13" x14ac:dyDescent="0.25">
      <c r="A583" t="s">
        <v>15</v>
      </c>
      <c r="B583">
        <v>1900</v>
      </c>
      <c r="C583">
        <v>1</v>
      </c>
      <c r="D583" t="s">
        <v>30</v>
      </c>
      <c r="E583" t="s">
        <v>645</v>
      </c>
      <c r="F583" t="s">
        <v>1061</v>
      </c>
      <c r="G583" t="s">
        <v>643</v>
      </c>
      <c r="H583">
        <v>32</v>
      </c>
      <c r="I583" t="s">
        <v>644</v>
      </c>
      <c r="J583">
        <v>1900</v>
      </c>
      <c r="K583" s="1">
        <v>44820</v>
      </c>
      <c r="L583">
        <v>2022</v>
      </c>
      <c r="M583" t="str">
        <f>UPPER(TEXT(_2020_2022[[#This Row],[Data da Venda]],"mmm"))</f>
        <v>SET</v>
      </c>
    </row>
    <row r="584" spans="1:13" x14ac:dyDescent="0.25">
      <c r="A584" t="s">
        <v>16</v>
      </c>
      <c r="B584">
        <v>1400</v>
      </c>
      <c r="C584">
        <v>1</v>
      </c>
      <c r="D584" t="s">
        <v>35</v>
      </c>
      <c r="E584" t="s">
        <v>666</v>
      </c>
      <c r="F584" t="s">
        <v>1062</v>
      </c>
      <c r="G584" t="s">
        <v>650</v>
      </c>
      <c r="H584">
        <v>56</v>
      </c>
      <c r="I584" t="s">
        <v>647</v>
      </c>
      <c r="J584">
        <v>1400</v>
      </c>
      <c r="K584" s="1">
        <v>44680</v>
      </c>
      <c r="L584">
        <v>2022</v>
      </c>
      <c r="M584" t="str">
        <f>UPPER(TEXT(_2020_2022[[#This Row],[Data da Venda]],"mmm"))</f>
        <v>ABR</v>
      </c>
    </row>
    <row r="585" spans="1:13" x14ac:dyDescent="0.25">
      <c r="A585" t="s">
        <v>13</v>
      </c>
      <c r="B585">
        <v>2300</v>
      </c>
      <c r="C585">
        <v>4</v>
      </c>
      <c r="D585" t="s">
        <v>39</v>
      </c>
      <c r="E585" t="s">
        <v>641</v>
      </c>
      <c r="F585" t="s">
        <v>1001</v>
      </c>
      <c r="G585" t="s">
        <v>643</v>
      </c>
      <c r="H585">
        <v>40</v>
      </c>
      <c r="I585" t="s">
        <v>644</v>
      </c>
      <c r="J585">
        <v>9200</v>
      </c>
      <c r="K585" s="1">
        <v>44680</v>
      </c>
      <c r="L585">
        <v>2022</v>
      </c>
      <c r="M585" t="str">
        <f>UPPER(TEXT(_2020_2022[[#This Row],[Data da Venda]],"mmm"))</f>
        <v>ABR</v>
      </c>
    </row>
    <row r="586" spans="1:13" x14ac:dyDescent="0.25">
      <c r="A586" t="s">
        <v>22</v>
      </c>
      <c r="B586">
        <v>5200</v>
      </c>
      <c r="C586">
        <v>4</v>
      </c>
      <c r="D586" t="s">
        <v>41</v>
      </c>
      <c r="E586" t="s">
        <v>681</v>
      </c>
      <c r="F586" t="s">
        <v>1063</v>
      </c>
      <c r="G586" t="s">
        <v>650</v>
      </c>
      <c r="H586">
        <v>27</v>
      </c>
      <c r="I586" t="s">
        <v>651</v>
      </c>
      <c r="J586">
        <v>20800</v>
      </c>
      <c r="K586" s="1">
        <v>44583</v>
      </c>
      <c r="L586">
        <v>2022</v>
      </c>
      <c r="M586" t="str">
        <f>UPPER(TEXT(_2020_2022[[#This Row],[Data da Venda]],"mmm"))</f>
        <v>JAN</v>
      </c>
    </row>
    <row r="587" spans="1:13" x14ac:dyDescent="0.25">
      <c r="A587" t="s">
        <v>26</v>
      </c>
      <c r="B587">
        <v>1100</v>
      </c>
      <c r="C587">
        <v>5</v>
      </c>
      <c r="D587" t="s">
        <v>31</v>
      </c>
      <c r="E587" t="s">
        <v>645</v>
      </c>
      <c r="F587" t="s">
        <v>1064</v>
      </c>
      <c r="G587" t="s">
        <v>643</v>
      </c>
      <c r="H587">
        <v>64</v>
      </c>
      <c r="I587" t="s">
        <v>647</v>
      </c>
      <c r="J587">
        <v>5500</v>
      </c>
      <c r="K587" s="1">
        <v>44909</v>
      </c>
      <c r="L587">
        <v>2022</v>
      </c>
      <c r="M587" t="str">
        <f>UPPER(TEXT(_2020_2022[[#This Row],[Data da Venda]],"mmm"))</f>
        <v>DEZ</v>
      </c>
    </row>
    <row r="588" spans="1:13" x14ac:dyDescent="0.25">
      <c r="A588" t="s">
        <v>21</v>
      </c>
      <c r="B588">
        <v>2400</v>
      </c>
      <c r="C588">
        <v>1</v>
      </c>
      <c r="D588" t="s">
        <v>29</v>
      </c>
      <c r="E588" t="s">
        <v>641</v>
      </c>
      <c r="F588" t="s">
        <v>1065</v>
      </c>
      <c r="G588" t="s">
        <v>650</v>
      </c>
      <c r="H588">
        <v>71</v>
      </c>
      <c r="I588" t="s">
        <v>647</v>
      </c>
      <c r="J588">
        <v>2400</v>
      </c>
      <c r="K588" s="1">
        <v>44732</v>
      </c>
      <c r="L588">
        <v>2022</v>
      </c>
      <c r="M588" t="str">
        <f>UPPER(TEXT(_2020_2022[[#This Row],[Data da Venda]],"mmm"))</f>
        <v>JUN</v>
      </c>
    </row>
    <row r="589" spans="1:13" x14ac:dyDescent="0.25">
      <c r="A589" t="s">
        <v>18</v>
      </c>
      <c r="B589">
        <v>3000</v>
      </c>
      <c r="C589">
        <v>5</v>
      </c>
      <c r="D589" t="s">
        <v>41</v>
      </c>
      <c r="E589" t="s">
        <v>681</v>
      </c>
      <c r="F589" t="s">
        <v>1066</v>
      </c>
      <c r="G589" t="s">
        <v>643</v>
      </c>
      <c r="H589">
        <v>61</v>
      </c>
      <c r="I589" t="s">
        <v>647</v>
      </c>
      <c r="J589">
        <v>15000</v>
      </c>
      <c r="K589" s="1">
        <v>44857</v>
      </c>
      <c r="L589">
        <v>2022</v>
      </c>
      <c r="M589" t="str">
        <f>UPPER(TEXT(_2020_2022[[#This Row],[Data da Venda]],"mmm"))</f>
        <v>OUT</v>
      </c>
    </row>
    <row r="590" spans="1:13" x14ac:dyDescent="0.25">
      <c r="A590" t="s">
        <v>22</v>
      </c>
      <c r="B590">
        <v>5200</v>
      </c>
      <c r="C590">
        <v>5</v>
      </c>
      <c r="D590" t="s">
        <v>36</v>
      </c>
      <c r="E590" t="s">
        <v>677</v>
      </c>
      <c r="F590" t="s">
        <v>801</v>
      </c>
      <c r="G590" t="s">
        <v>650</v>
      </c>
      <c r="H590">
        <v>64</v>
      </c>
      <c r="I590" t="s">
        <v>647</v>
      </c>
      <c r="J590">
        <v>26000</v>
      </c>
      <c r="K590" s="1">
        <v>44735</v>
      </c>
      <c r="L590">
        <v>2022</v>
      </c>
      <c r="M590" t="str">
        <f>UPPER(TEXT(_2020_2022[[#This Row],[Data da Venda]],"mmm"))</f>
        <v>JUN</v>
      </c>
    </row>
    <row r="591" spans="1:13" x14ac:dyDescent="0.25">
      <c r="A591" t="s">
        <v>1443</v>
      </c>
      <c r="B591">
        <v>1550</v>
      </c>
      <c r="C591">
        <v>5</v>
      </c>
      <c r="D591" t="s">
        <v>36</v>
      </c>
      <c r="E591" t="s">
        <v>677</v>
      </c>
      <c r="F591" t="s">
        <v>805</v>
      </c>
      <c r="G591" t="s">
        <v>650</v>
      </c>
      <c r="H591">
        <v>47</v>
      </c>
      <c r="I591" t="s">
        <v>644</v>
      </c>
      <c r="J591">
        <v>7750</v>
      </c>
      <c r="K591" s="1">
        <v>44790</v>
      </c>
      <c r="L591">
        <v>2022</v>
      </c>
      <c r="M591" t="str">
        <f>UPPER(TEXT(_2020_2022[[#This Row],[Data da Venda]],"mmm"))</f>
        <v>AGO</v>
      </c>
    </row>
    <row r="592" spans="1:13" x14ac:dyDescent="0.25">
      <c r="A592" t="s">
        <v>26</v>
      </c>
      <c r="B592">
        <v>1100</v>
      </c>
      <c r="C592">
        <v>3</v>
      </c>
      <c r="D592" t="s">
        <v>33</v>
      </c>
      <c r="E592" t="s">
        <v>641</v>
      </c>
      <c r="F592" t="s">
        <v>788</v>
      </c>
      <c r="G592" t="s">
        <v>643</v>
      </c>
      <c r="H592">
        <v>49</v>
      </c>
      <c r="I592" t="s">
        <v>644</v>
      </c>
      <c r="J592">
        <v>3300</v>
      </c>
      <c r="K592" s="1">
        <v>44705</v>
      </c>
      <c r="L592">
        <v>2022</v>
      </c>
      <c r="M592" t="str">
        <f>UPPER(TEXT(_2020_2022[[#This Row],[Data da Venda]],"mmm"))</f>
        <v>MAI</v>
      </c>
    </row>
    <row r="593" spans="1:13" x14ac:dyDescent="0.25">
      <c r="A593" t="s">
        <v>7</v>
      </c>
      <c r="B593">
        <v>750</v>
      </c>
      <c r="C593">
        <v>1</v>
      </c>
      <c r="D593" t="s">
        <v>33</v>
      </c>
      <c r="E593" t="s">
        <v>641</v>
      </c>
      <c r="F593" t="s">
        <v>1067</v>
      </c>
      <c r="G593" t="s">
        <v>650</v>
      </c>
      <c r="H593">
        <v>45</v>
      </c>
      <c r="I593" t="s">
        <v>644</v>
      </c>
      <c r="J593">
        <v>750</v>
      </c>
      <c r="K593" s="1">
        <v>44618</v>
      </c>
      <c r="L593">
        <v>2022</v>
      </c>
      <c r="M593" t="str">
        <f>UPPER(TEXT(_2020_2022[[#This Row],[Data da Venda]],"mmm"))</f>
        <v>FEV</v>
      </c>
    </row>
    <row r="594" spans="1:13" x14ac:dyDescent="0.25">
      <c r="A594" t="s">
        <v>5</v>
      </c>
      <c r="B594">
        <v>1750</v>
      </c>
      <c r="C594">
        <v>3</v>
      </c>
      <c r="D594" t="s">
        <v>36</v>
      </c>
      <c r="E594" t="s">
        <v>677</v>
      </c>
      <c r="F594" t="s">
        <v>678</v>
      </c>
      <c r="G594" t="s">
        <v>650</v>
      </c>
      <c r="H594">
        <v>65</v>
      </c>
      <c r="I594" t="s">
        <v>647</v>
      </c>
      <c r="J594">
        <v>5250</v>
      </c>
      <c r="K594" s="1">
        <v>44865</v>
      </c>
      <c r="L594">
        <v>2022</v>
      </c>
      <c r="M594" t="str">
        <f>UPPER(TEXT(_2020_2022[[#This Row],[Data da Venda]],"mmm"))</f>
        <v>OUT</v>
      </c>
    </row>
    <row r="595" spans="1:13" x14ac:dyDescent="0.25">
      <c r="A595" t="s">
        <v>21</v>
      </c>
      <c r="B595">
        <v>2400</v>
      </c>
      <c r="C595">
        <v>1</v>
      </c>
      <c r="D595" t="s">
        <v>33</v>
      </c>
      <c r="E595" t="s">
        <v>641</v>
      </c>
      <c r="F595" t="s">
        <v>853</v>
      </c>
      <c r="G595" t="s">
        <v>643</v>
      </c>
      <c r="H595">
        <v>42</v>
      </c>
      <c r="I595" t="s">
        <v>644</v>
      </c>
      <c r="J595">
        <v>2400</v>
      </c>
      <c r="K595" s="1">
        <v>44751</v>
      </c>
      <c r="L595">
        <v>2022</v>
      </c>
      <c r="M595" t="str">
        <f>UPPER(TEXT(_2020_2022[[#This Row],[Data da Venda]],"mmm"))</f>
        <v>JUL</v>
      </c>
    </row>
    <row r="596" spans="1:13" x14ac:dyDescent="0.25">
      <c r="A596" t="s">
        <v>1443</v>
      </c>
      <c r="B596">
        <v>1550</v>
      </c>
      <c r="C596">
        <v>4</v>
      </c>
      <c r="D596" t="s">
        <v>35</v>
      </c>
      <c r="E596" t="s">
        <v>666</v>
      </c>
      <c r="F596" t="s">
        <v>1068</v>
      </c>
      <c r="G596" t="s">
        <v>650</v>
      </c>
      <c r="H596">
        <v>35</v>
      </c>
      <c r="I596" t="s">
        <v>644</v>
      </c>
      <c r="J596">
        <v>6200</v>
      </c>
      <c r="K596" s="1">
        <v>44828</v>
      </c>
      <c r="L596">
        <v>2022</v>
      </c>
      <c r="M596" t="str">
        <f>UPPER(TEXT(_2020_2022[[#This Row],[Data da Venda]],"mmm"))</f>
        <v>SET</v>
      </c>
    </row>
    <row r="597" spans="1:13" x14ac:dyDescent="0.25">
      <c r="A597" t="s">
        <v>24</v>
      </c>
      <c r="B597">
        <v>2000</v>
      </c>
      <c r="C597">
        <v>1</v>
      </c>
      <c r="D597" t="s">
        <v>31</v>
      </c>
      <c r="E597" t="s">
        <v>645</v>
      </c>
      <c r="F597" t="s">
        <v>1069</v>
      </c>
      <c r="G597" t="s">
        <v>643</v>
      </c>
      <c r="H597">
        <v>39</v>
      </c>
      <c r="I597" t="s">
        <v>644</v>
      </c>
      <c r="J597">
        <v>2000</v>
      </c>
      <c r="K597" s="1">
        <v>44830</v>
      </c>
      <c r="L597">
        <v>2022</v>
      </c>
      <c r="M597" t="str">
        <f>UPPER(TEXT(_2020_2022[[#This Row],[Data da Venda]],"mmm"))</f>
        <v>SET</v>
      </c>
    </row>
    <row r="598" spans="1:13" x14ac:dyDescent="0.25">
      <c r="A598" t="s">
        <v>1442</v>
      </c>
      <c r="B598">
        <v>1200</v>
      </c>
      <c r="C598">
        <v>1</v>
      </c>
      <c r="D598" t="s">
        <v>29</v>
      </c>
      <c r="E598" t="s">
        <v>641</v>
      </c>
      <c r="F598" t="s">
        <v>1070</v>
      </c>
      <c r="G598" t="s">
        <v>643</v>
      </c>
      <c r="H598">
        <v>49</v>
      </c>
      <c r="I598" t="s">
        <v>644</v>
      </c>
      <c r="J598">
        <v>1200</v>
      </c>
      <c r="K598" s="1">
        <v>44904</v>
      </c>
      <c r="L598">
        <v>2022</v>
      </c>
      <c r="M598" t="str">
        <f>UPPER(TEXT(_2020_2022[[#This Row],[Data da Venda]],"mmm"))</f>
        <v>DEZ</v>
      </c>
    </row>
    <row r="599" spans="1:13" x14ac:dyDescent="0.25">
      <c r="A599" t="s">
        <v>20</v>
      </c>
      <c r="B599">
        <v>2600</v>
      </c>
      <c r="C599">
        <v>1</v>
      </c>
      <c r="D599" t="s">
        <v>38</v>
      </c>
      <c r="E599" t="s">
        <v>648</v>
      </c>
      <c r="F599" t="s">
        <v>669</v>
      </c>
      <c r="G599" t="s">
        <v>650</v>
      </c>
      <c r="H599">
        <v>35</v>
      </c>
      <c r="I599" t="s">
        <v>644</v>
      </c>
      <c r="J599">
        <v>2600</v>
      </c>
      <c r="K599" s="1">
        <v>44818</v>
      </c>
      <c r="L599">
        <v>2022</v>
      </c>
      <c r="M599" t="str">
        <f>UPPER(TEXT(_2020_2022[[#This Row],[Data da Venda]],"mmm"))</f>
        <v>SET</v>
      </c>
    </row>
    <row r="600" spans="1:13" x14ac:dyDescent="0.25">
      <c r="A600" t="s">
        <v>7</v>
      </c>
      <c r="B600">
        <v>750</v>
      </c>
      <c r="C600">
        <v>5</v>
      </c>
      <c r="D600" t="s">
        <v>36</v>
      </c>
      <c r="E600" t="s">
        <v>677</v>
      </c>
      <c r="F600" t="s">
        <v>937</v>
      </c>
      <c r="G600" t="s">
        <v>650</v>
      </c>
      <c r="H600">
        <v>39</v>
      </c>
      <c r="I600" t="s">
        <v>644</v>
      </c>
      <c r="J600">
        <v>3750</v>
      </c>
      <c r="K600" s="1">
        <v>44787</v>
      </c>
      <c r="L600">
        <v>2022</v>
      </c>
      <c r="M600" t="str">
        <f>UPPER(TEXT(_2020_2022[[#This Row],[Data da Venda]],"mmm"))</f>
        <v>AGO</v>
      </c>
    </row>
    <row r="601" spans="1:13" x14ac:dyDescent="0.25">
      <c r="A601" t="s">
        <v>18</v>
      </c>
      <c r="B601">
        <v>3000</v>
      </c>
      <c r="C601">
        <v>4</v>
      </c>
      <c r="D601" t="s">
        <v>31</v>
      </c>
      <c r="E601" t="s">
        <v>645</v>
      </c>
      <c r="F601" t="s">
        <v>1071</v>
      </c>
      <c r="G601" t="s">
        <v>643</v>
      </c>
      <c r="H601">
        <v>51</v>
      </c>
      <c r="I601" t="s">
        <v>647</v>
      </c>
      <c r="J601">
        <v>12000</v>
      </c>
      <c r="K601" s="1">
        <v>44589</v>
      </c>
      <c r="L601">
        <v>2022</v>
      </c>
      <c r="M601" t="str">
        <f>UPPER(TEXT(_2020_2022[[#This Row],[Data da Venda]],"mmm"))</f>
        <v>JAN</v>
      </c>
    </row>
    <row r="602" spans="1:13" x14ac:dyDescent="0.25">
      <c r="A602" t="s">
        <v>28</v>
      </c>
      <c r="B602">
        <v>1400</v>
      </c>
      <c r="C602">
        <v>5</v>
      </c>
      <c r="D602" t="s">
        <v>30</v>
      </c>
      <c r="E602" t="s">
        <v>645</v>
      </c>
      <c r="F602" t="s">
        <v>1072</v>
      </c>
      <c r="G602" t="s">
        <v>643</v>
      </c>
      <c r="H602">
        <v>66</v>
      </c>
      <c r="I602" t="s">
        <v>647</v>
      </c>
      <c r="J602">
        <v>7000</v>
      </c>
      <c r="K602" s="1">
        <v>44671</v>
      </c>
      <c r="L602">
        <v>2022</v>
      </c>
      <c r="M602" t="str">
        <f>UPPER(TEXT(_2020_2022[[#This Row],[Data da Venda]],"mmm"))</f>
        <v>ABR</v>
      </c>
    </row>
    <row r="603" spans="1:13" x14ac:dyDescent="0.25">
      <c r="A603" t="s">
        <v>15</v>
      </c>
      <c r="B603">
        <v>1900</v>
      </c>
      <c r="C603">
        <v>5</v>
      </c>
      <c r="D603" t="s">
        <v>40</v>
      </c>
      <c r="E603" t="s">
        <v>657</v>
      </c>
      <c r="F603" t="s">
        <v>713</v>
      </c>
      <c r="G603" t="s">
        <v>643</v>
      </c>
      <c r="H603">
        <v>58</v>
      </c>
      <c r="I603" t="s">
        <v>647</v>
      </c>
      <c r="J603">
        <v>9500</v>
      </c>
      <c r="K603" s="1">
        <v>44691</v>
      </c>
      <c r="L603">
        <v>2022</v>
      </c>
      <c r="M603" t="str">
        <f>UPPER(TEXT(_2020_2022[[#This Row],[Data da Venda]],"mmm"))</f>
        <v>MAI</v>
      </c>
    </row>
    <row r="604" spans="1:13" x14ac:dyDescent="0.25">
      <c r="A604" t="s">
        <v>28</v>
      </c>
      <c r="B604">
        <v>1400</v>
      </c>
      <c r="C604">
        <v>4</v>
      </c>
      <c r="D604" t="s">
        <v>38</v>
      </c>
      <c r="E604" t="s">
        <v>648</v>
      </c>
      <c r="F604" t="s">
        <v>826</v>
      </c>
      <c r="G604" t="s">
        <v>643</v>
      </c>
      <c r="H604">
        <v>53</v>
      </c>
      <c r="I604" t="s">
        <v>647</v>
      </c>
      <c r="J604">
        <v>5600</v>
      </c>
      <c r="K604" s="1">
        <v>44657</v>
      </c>
      <c r="L604">
        <v>2022</v>
      </c>
      <c r="M604" t="str">
        <f>UPPER(TEXT(_2020_2022[[#This Row],[Data da Venda]],"mmm"))</f>
        <v>ABR</v>
      </c>
    </row>
    <row r="605" spans="1:13" x14ac:dyDescent="0.25">
      <c r="A605" t="s">
        <v>26</v>
      </c>
      <c r="B605">
        <v>1100</v>
      </c>
      <c r="C605">
        <v>5</v>
      </c>
      <c r="D605" t="s">
        <v>40</v>
      </c>
      <c r="E605" t="s">
        <v>657</v>
      </c>
      <c r="F605" t="s">
        <v>913</v>
      </c>
      <c r="G605" t="s">
        <v>650</v>
      </c>
      <c r="H605">
        <v>27</v>
      </c>
      <c r="I605" t="s">
        <v>651</v>
      </c>
      <c r="J605">
        <v>5500</v>
      </c>
      <c r="K605" s="1">
        <v>44837</v>
      </c>
      <c r="L605">
        <v>2022</v>
      </c>
      <c r="M605" t="str">
        <f>UPPER(TEXT(_2020_2022[[#This Row],[Data da Venda]],"mmm"))</f>
        <v>OUT</v>
      </c>
    </row>
    <row r="606" spans="1:13" x14ac:dyDescent="0.25">
      <c r="A606" t="s">
        <v>14</v>
      </c>
      <c r="B606">
        <v>2000</v>
      </c>
      <c r="C606">
        <v>5</v>
      </c>
      <c r="D606" t="s">
        <v>34</v>
      </c>
      <c r="E606" t="s">
        <v>679</v>
      </c>
      <c r="F606" t="s">
        <v>833</v>
      </c>
      <c r="G606" t="s">
        <v>643</v>
      </c>
      <c r="H606">
        <v>71</v>
      </c>
      <c r="I606" t="s">
        <v>647</v>
      </c>
      <c r="J606">
        <v>10000</v>
      </c>
      <c r="K606" s="1">
        <v>44757</v>
      </c>
      <c r="L606">
        <v>2022</v>
      </c>
      <c r="M606" t="str">
        <f>UPPER(TEXT(_2020_2022[[#This Row],[Data da Venda]],"mmm"))</f>
        <v>JUL</v>
      </c>
    </row>
    <row r="607" spans="1:13" x14ac:dyDescent="0.25">
      <c r="A607" t="s">
        <v>21</v>
      </c>
      <c r="B607">
        <v>2400</v>
      </c>
      <c r="C607">
        <v>5</v>
      </c>
      <c r="D607" t="s">
        <v>39</v>
      </c>
      <c r="E607" t="s">
        <v>641</v>
      </c>
      <c r="F607" t="s">
        <v>670</v>
      </c>
      <c r="G607" t="s">
        <v>643</v>
      </c>
      <c r="H607">
        <v>37</v>
      </c>
      <c r="I607" t="s">
        <v>644</v>
      </c>
      <c r="J607">
        <v>12000</v>
      </c>
      <c r="K607" s="1">
        <v>44689</v>
      </c>
      <c r="L607">
        <v>2022</v>
      </c>
      <c r="M607" t="str">
        <f>UPPER(TEXT(_2020_2022[[#This Row],[Data da Venda]],"mmm"))</f>
        <v>MAI</v>
      </c>
    </row>
    <row r="608" spans="1:13" x14ac:dyDescent="0.25">
      <c r="A608" t="s">
        <v>28</v>
      </c>
      <c r="B608">
        <v>1400</v>
      </c>
      <c r="C608">
        <v>1</v>
      </c>
      <c r="D608" t="s">
        <v>29</v>
      </c>
      <c r="E608" t="s">
        <v>641</v>
      </c>
      <c r="F608" t="s">
        <v>919</v>
      </c>
      <c r="G608" t="s">
        <v>643</v>
      </c>
      <c r="H608">
        <v>45</v>
      </c>
      <c r="I608" t="s">
        <v>644</v>
      </c>
      <c r="J608">
        <v>1400</v>
      </c>
      <c r="K608" s="1">
        <v>44751</v>
      </c>
      <c r="L608">
        <v>2022</v>
      </c>
      <c r="M608" t="str">
        <f>UPPER(TEXT(_2020_2022[[#This Row],[Data da Venda]],"mmm"))</f>
        <v>JUL</v>
      </c>
    </row>
    <row r="609" spans="1:13" x14ac:dyDescent="0.25">
      <c r="A609" t="s">
        <v>22</v>
      </c>
      <c r="B609">
        <v>5200</v>
      </c>
      <c r="C609">
        <v>4</v>
      </c>
      <c r="D609" t="s">
        <v>30</v>
      </c>
      <c r="E609" t="s">
        <v>645</v>
      </c>
      <c r="F609" t="s">
        <v>1073</v>
      </c>
      <c r="G609" t="s">
        <v>643</v>
      </c>
      <c r="H609">
        <v>66</v>
      </c>
      <c r="I609" t="s">
        <v>647</v>
      </c>
      <c r="J609">
        <v>20800</v>
      </c>
      <c r="K609" s="1">
        <v>44601</v>
      </c>
      <c r="L609">
        <v>2022</v>
      </c>
      <c r="M609" t="str">
        <f>UPPER(TEXT(_2020_2022[[#This Row],[Data da Venda]],"mmm"))</f>
        <v>FEV</v>
      </c>
    </row>
    <row r="610" spans="1:13" x14ac:dyDescent="0.25">
      <c r="A610" t="s">
        <v>11</v>
      </c>
      <c r="B610">
        <v>4500</v>
      </c>
      <c r="C610">
        <v>1</v>
      </c>
      <c r="D610" t="s">
        <v>33</v>
      </c>
      <c r="E610" t="s">
        <v>641</v>
      </c>
      <c r="F610" t="s">
        <v>701</v>
      </c>
      <c r="G610" t="s">
        <v>643</v>
      </c>
      <c r="H610">
        <v>50</v>
      </c>
      <c r="I610" t="s">
        <v>644</v>
      </c>
      <c r="J610">
        <v>4500</v>
      </c>
      <c r="K610" s="1">
        <v>44740</v>
      </c>
      <c r="L610">
        <v>2022</v>
      </c>
      <c r="M610" t="str">
        <f>UPPER(TEXT(_2020_2022[[#This Row],[Data da Venda]],"mmm"))</f>
        <v>JUN</v>
      </c>
    </row>
    <row r="611" spans="1:13" x14ac:dyDescent="0.25">
      <c r="A611" t="s">
        <v>13</v>
      </c>
      <c r="B611">
        <v>2300</v>
      </c>
      <c r="C611">
        <v>2</v>
      </c>
      <c r="D611" t="s">
        <v>41</v>
      </c>
      <c r="E611" t="s">
        <v>681</v>
      </c>
      <c r="F611" t="s">
        <v>689</v>
      </c>
      <c r="G611" t="s">
        <v>643</v>
      </c>
      <c r="H611">
        <v>36</v>
      </c>
      <c r="I611" t="s">
        <v>644</v>
      </c>
      <c r="J611">
        <v>4600</v>
      </c>
      <c r="K611" s="1">
        <v>44761</v>
      </c>
      <c r="L611">
        <v>2022</v>
      </c>
      <c r="M611" t="str">
        <f>UPPER(TEXT(_2020_2022[[#This Row],[Data da Venda]],"mmm"))</f>
        <v>JUL</v>
      </c>
    </row>
    <row r="612" spans="1:13" x14ac:dyDescent="0.25">
      <c r="A612" t="s">
        <v>1445</v>
      </c>
      <c r="B612">
        <v>1500</v>
      </c>
      <c r="C612">
        <v>4</v>
      </c>
      <c r="D612" t="s">
        <v>40</v>
      </c>
      <c r="E612" t="s">
        <v>657</v>
      </c>
      <c r="F612" t="s">
        <v>790</v>
      </c>
      <c r="G612" t="s">
        <v>650</v>
      </c>
      <c r="H612">
        <v>36</v>
      </c>
      <c r="I612" t="s">
        <v>644</v>
      </c>
      <c r="J612">
        <v>6000</v>
      </c>
      <c r="K612" s="1">
        <v>44869</v>
      </c>
      <c r="L612">
        <v>2022</v>
      </c>
      <c r="M612" t="str">
        <f>UPPER(TEXT(_2020_2022[[#This Row],[Data da Venda]],"mmm"))</f>
        <v>NOV</v>
      </c>
    </row>
    <row r="613" spans="1:13" x14ac:dyDescent="0.25">
      <c r="A613" t="s">
        <v>1443</v>
      </c>
      <c r="B613">
        <v>1550</v>
      </c>
      <c r="C613">
        <v>4</v>
      </c>
      <c r="D613" t="s">
        <v>39</v>
      </c>
      <c r="E613" t="s">
        <v>641</v>
      </c>
      <c r="F613" t="s">
        <v>943</v>
      </c>
      <c r="G613" t="s">
        <v>650</v>
      </c>
      <c r="H613">
        <v>32</v>
      </c>
      <c r="I613" t="s">
        <v>644</v>
      </c>
      <c r="J613">
        <v>6200</v>
      </c>
      <c r="K613" s="1">
        <v>44590</v>
      </c>
      <c r="L613">
        <v>2022</v>
      </c>
      <c r="M613" t="str">
        <f>UPPER(TEXT(_2020_2022[[#This Row],[Data da Venda]],"mmm"))</f>
        <v>JAN</v>
      </c>
    </row>
    <row r="614" spans="1:13" x14ac:dyDescent="0.25">
      <c r="A614" t="s">
        <v>24</v>
      </c>
      <c r="B614">
        <v>2000</v>
      </c>
      <c r="C614">
        <v>3</v>
      </c>
      <c r="D614" t="s">
        <v>40</v>
      </c>
      <c r="E614" t="s">
        <v>657</v>
      </c>
      <c r="F614" t="s">
        <v>1074</v>
      </c>
      <c r="G614" t="s">
        <v>643</v>
      </c>
      <c r="H614">
        <v>31</v>
      </c>
      <c r="I614" t="s">
        <v>644</v>
      </c>
      <c r="J614">
        <v>6000</v>
      </c>
      <c r="K614" s="1">
        <v>44828</v>
      </c>
      <c r="L614">
        <v>2022</v>
      </c>
      <c r="M614" t="str">
        <f>UPPER(TEXT(_2020_2022[[#This Row],[Data da Venda]],"mmm"))</f>
        <v>SET</v>
      </c>
    </row>
    <row r="615" spans="1:13" x14ac:dyDescent="0.25">
      <c r="A615" t="s">
        <v>1442</v>
      </c>
      <c r="B615">
        <v>1200</v>
      </c>
      <c r="C615">
        <v>2</v>
      </c>
      <c r="D615" t="s">
        <v>31</v>
      </c>
      <c r="E615" t="s">
        <v>645</v>
      </c>
      <c r="F615" t="s">
        <v>1075</v>
      </c>
      <c r="G615" t="s">
        <v>643</v>
      </c>
      <c r="H615">
        <v>73</v>
      </c>
      <c r="I615" t="s">
        <v>647</v>
      </c>
      <c r="J615">
        <v>2400</v>
      </c>
      <c r="K615" s="1">
        <v>44626</v>
      </c>
      <c r="L615">
        <v>2022</v>
      </c>
      <c r="M615" t="str">
        <f>UPPER(TEXT(_2020_2022[[#This Row],[Data da Venda]],"mmm"))</f>
        <v>MAR</v>
      </c>
    </row>
    <row r="616" spans="1:13" x14ac:dyDescent="0.25">
      <c r="A616" t="s">
        <v>14</v>
      </c>
      <c r="B616">
        <v>2000</v>
      </c>
      <c r="C616">
        <v>5</v>
      </c>
      <c r="D616" t="s">
        <v>30</v>
      </c>
      <c r="E616" t="s">
        <v>645</v>
      </c>
      <c r="F616" t="s">
        <v>921</v>
      </c>
      <c r="G616" t="s">
        <v>643</v>
      </c>
      <c r="H616">
        <v>49</v>
      </c>
      <c r="I616" t="s">
        <v>644</v>
      </c>
      <c r="J616">
        <v>10000</v>
      </c>
      <c r="K616" s="1">
        <v>44836</v>
      </c>
      <c r="L616">
        <v>2022</v>
      </c>
      <c r="M616" t="str">
        <f>UPPER(TEXT(_2020_2022[[#This Row],[Data da Venda]],"mmm"))</f>
        <v>OUT</v>
      </c>
    </row>
    <row r="617" spans="1:13" x14ac:dyDescent="0.25">
      <c r="A617" t="s">
        <v>1440</v>
      </c>
      <c r="B617">
        <v>700</v>
      </c>
      <c r="C617">
        <v>1</v>
      </c>
      <c r="D617" t="s">
        <v>32</v>
      </c>
      <c r="E617" t="s">
        <v>652</v>
      </c>
      <c r="F617" t="s">
        <v>804</v>
      </c>
      <c r="G617" t="s">
        <v>643</v>
      </c>
      <c r="H617">
        <v>75</v>
      </c>
      <c r="I617" t="s">
        <v>647</v>
      </c>
      <c r="J617">
        <v>700</v>
      </c>
      <c r="K617" s="1">
        <v>44829</v>
      </c>
      <c r="L617">
        <v>2022</v>
      </c>
      <c r="M617" t="str">
        <f>UPPER(TEXT(_2020_2022[[#This Row],[Data da Venda]],"mmm"))</f>
        <v>SET</v>
      </c>
    </row>
    <row r="618" spans="1:13" x14ac:dyDescent="0.25">
      <c r="A618" t="s">
        <v>22</v>
      </c>
      <c r="B618">
        <v>5200</v>
      </c>
      <c r="C618">
        <v>3</v>
      </c>
      <c r="D618" t="s">
        <v>31</v>
      </c>
      <c r="E618" t="s">
        <v>645</v>
      </c>
      <c r="F618" t="s">
        <v>979</v>
      </c>
      <c r="G618" t="s">
        <v>650</v>
      </c>
      <c r="H618">
        <v>69</v>
      </c>
      <c r="I618" t="s">
        <v>647</v>
      </c>
      <c r="J618">
        <v>15600</v>
      </c>
      <c r="K618" s="1">
        <v>44630</v>
      </c>
      <c r="L618">
        <v>2022</v>
      </c>
      <c r="M618" t="str">
        <f>UPPER(TEXT(_2020_2022[[#This Row],[Data da Venda]],"mmm"))</f>
        <v>MAR</v>
      </c>
    </row>
    <row r="619" spans="1:13" x14ac:dyDescent="0.25">
      <c r="A619" t="s">
        <v>22</v>
      </c>
      <c r="B619">
        <v>5200</v>
      </c>
      <c r="C619">
        <v>4</v>
      </c>
      <c r="D619" t="s">
        <v>40</v>
      </c>
      <c r="E619" t="s">
        <v>657</v>
      </c>
      <c r="F619" t="s">
        <v>1076</v>
      </c>
      <c r="G619" t="s">
        <v>650</v>
      </c>
      <c r="H619">
        <v>42</v>
      </c>
      <c r="I619" t="s">
        <v>644</v>
      </c>
      <c r="J619">
        <v>20800</v>
      </c>
      <c r="K619" s="1">
        <v>44830</v>
      </c>
      <c r="L619">
        <v>2022</v>
      </c>
      <c r="M619" t="str">
        <f>UPPER(TEXT(_2020_2022[[#This Row],[Data da Venda]],"mmm"))</f>
        <v>SET</v>
      </c>
    </row>
    <row r="620" spans="1:13" x14ac:dyDescent="0.25">
      <c r="A620" t="s">
        <v>25</v>
      </c>
      <c r="B620">
        <v>2500</v>
      </c>
      <c r="C620">
        <v>3</v>
      </c>
      <c r="D620" t="s">
        <v>31</v>
      </c>
      <c r="E620" t="s">
        <v>645</v>
      </c>
      <c r="F620" t="s">
        <v>1077</v>
      </c>
      <c r="G620" t="s">
        <v>643</v>
      </c>
      <c r="H620">
        <v>31</v>
      </c>
      <c r="I620" t="s">
        <v>644</v>
      </c>
      <c r="J620">
        <v>7500</v>
      </c>
      <c r="K620" s="1">
        <v>44898</v>
      </c>
      <c r="L620">
        <v>2022</v>
      </c>
      <c r="M620" t="str">
        <f>UPPER(TEXT(_2020_2022[[#This Row],[Data da Venda]],"mmm"))</f>
        <v>DEZ</v>
      </c>
    </row>
    <row r="621" spans="1:13" x14ac:dyDescent="0.25">
      <c r="A621" t="s">
        <v>12</v>
      </c>
      <c r="B621">
        <v>6500</v>
      </c>
      <c r="C621">
        <v>5</v>
      </c>
      <c r="D621" t="s">
        <v>31</v>
      </c>
      <c r="E621" t="s">
        <v>645</v>
      </c>
      <c r="F621" t="s">
        <v>1078</v>
      </c>
      <c r="G621" t="s">
        <v>650</v>
      </c>
      <c r="H621">
        <v>45</v>
      </c>
      <c r="I621" t="s">
        <v>644</v>
      </c>
      <c r="J621">
        <v>32500</v>
      </c>
      <c r="K621" s="1">
        <v>44674</v>
      </c>
      <c r="L621">
        <v>2022</v>
      </c>
      <c r="M621" t="str">
        <f>UPPER(TEXT(_2020_2022[[#This Row],[Data da Venda]],"mmm"))</f>
        <v>ABR</v>
      </c>
    </row>
    <row r="622" spans="1:13" x14ac:dyDescent="0.25">
      <c r="A622" t="s">
        <v>15</v>
      </c>
      <c r="B622">
        <v>1900</v>
      </c>
      <c r="C622">
        <v>3</v>
      </c>
      <c r="D622" t="s">
        <v>33</v>
      </c>
      <c r="E622" t="s">
        <v>641</v>
      </c>
      <c r="F622" t="s">
        <v>1079</v>
      </c>
      <c r="G622" t="s">
        <v>643</v>
      </c>
      <c r="H622">
        <v>42</v>
      </c>
      <c r="I622" t="s">
        <v>644</v>
      </c>
      <c r="J622">
        <v>5700</v>
      </c>
      <c r="K622" s="1">
        <v>44710</v>
      </c>
      <c r="L622">
        <v>2022</v>
      </c>
      <c r="M622" t="str">
        <f>UPPER(TEXT(_2020_2022[[#This Row],[Data da Venda]],"mmm"))</f>
        <v>MAI</v>
      </c>
    </row>
    <row r="623" spans="1:13" x14ac:dyDescent="0.25">
      <c r="A623" t="s">
        <v>20</v>
      </c>
      <c r="B623">
        <v>2600</v>
      </c>
      <c r="C623">
        <v>3</v>
      </c>
      <c r="D623" t="s">
        <v>29</v>
      </c>
      <c r="E623" t="s">
        <v>641</v>
      </c>
      <c r="F623" t="s">
        <v>969</v>
      </c>
      <c r="G623" t="s">
        <v>650</v>
      </c>
      <c r="H623">
        <v>34</v>
      </c>
      <c r="I623" t="s">
        <v>644</v>
      </c>
      <c r="J623">
        <v>7800</v>
      </c>
      <c r="K623" s="1">
        <v>44736</v>
      </c>
      <c r="L623">
        <v>2022</v>
      </c>
      <c r="M623" t="str">
        <f>UPPER(TEXT(_2020_2022[[#This Row],[Data da Venda]],"mmm"))</f>
        <v>JUN</v>
      </c>
    </row>
    <row r="624" spans="1:13" x14ac:dyDescent="0.25">
      <c r="A624" t="s">
        <v>16</v>
      </c>
      <c r="B624">
        <v>1400</v>
      </c>
      <c r="C624">
        <v>2</v>
      </c>
      <c r="D624" t="s">
        <v>30</v>
      </c>
      <c r="E624" t="s">
        <v>645</v>
      </c>
      <c r="F624" t="s">
        <v>864</v>
      </c>
      <c r="G624" t="s">
        <v>650</v>
      </c>
      <c r="H624">
        <v>29</v>
      </c>
      <c r="I624" t="s">
        <v>651</v>
      </c>
      <c r="J624">
        <v>2800</v>
      </c>
      <c r="K624" s="1">
        <v>44633</v>
      </c>
      <c r="L624">
        <v>2022</v>
      </c>
      <c r="M624" t="str">
        <f>UPPER(TEXT(_2020_2022[[#This Row],[Data da Venda]],"mmm"))</f>
        <v>MAR</v>
      </c>
    </row>
    <row r="625" spans="1:13" x14ac:dyDescent="0.25">
      <c r="A625" t="s">
        <v>1441</v>
      </c>
      <c r="B625">
        <v>1450</v>
      </c>
      <c r="C625">
        <v>1</v>
      </c>
      <c r="D625" t="s">
        <v>40</v>
      </c>
      <c r="E625" t="s">
        <v>657</v>
      </c>
      <c r="F625" t="s">
        <v>920</v>
      </c>
      <c r="G625" t="s">
        <v>650</v>
      </c>
      <c r="H625">
        <v>27</v>
      </c>
      <c r="I625" t="s">
        <v>651</v>
      </c>
      <c r="J625">
        <v>1450</v>
      </c>
      <c r="K625" s="1">
        <v>44703</v>
      </c>
      <c r="L625">
        <v>2022</v>
      </c>
      <c r="M625" t="str">
        <f>UPPER(TEXT(_2020_2022[[#This Row],[Data da Venda]],"mmm"))</f>
        <v>MAI</v>
      </c>
    </row>
    <row r="626" spans="1:13" x14ac:dyDescent="0.25">
      <c r="A626" t="s">
        <v>1441</v>
      </c>
      <c r="B626">
        <v>1450</v>
      </c>
      <c r="C626">
        <v>2</v>
      </c>
      <c r="D626" t="s">
        <v>29</v>
      </c>
      <c r="E626" t="s">
        <v>641</v>
      </c>
      <c r="F626" t="s">
        <v>872</v>
      </c>
      <c r="G626" t="s">
        <v>650</v>
      </c>
      <c r="H626">
        <v>49</v>
      </c>
      <c r="I626" t="s">
        <v>644</v>
      </c>
      <c r="J626">
        <v>2900</v>
      </c>
      <c r="K626" s="1">
        <v>44873</v>
      </c>
      <c r="L626">
        <v>2022</v>
      </c>
      <c r="M626" t="str">
        <f>UPPER(TEXT(_2020_2022[[#This Row],[Data da Venda]],"mmm"))</f>
        <v>NOV</v>
      </c>
    </row>
    <row r="627" spans="1:13" x14ac:dyDescent="0.25">
      <c r="A627" t="s">
        <v>8</v>
      </c>
      <c r="B627">
        <v>5500</v>
      </c>
      <c r="C627">
        <v>3</v>
      </c>
      <c r="D627" t="s">
        <v>31</v>
      </c>
      <c r="E627" t="s">
        <v>645</v>
      </c>
      <c r="F627" t="s">
        <v>952</v>
      </c>
      <c r="G627" t="s">
        <v>643</v>
      </c>
      <c r="H627">
        <v>74</v>
      </c>
      <c r="I627" t="s">
        <v>647</v>
      </c>
      <c r="J627">
        <v>16500</v>
      </c>
      <c r="K627" s="1">
        <v>44571</v>
      </c>
      <c r="L627">
        <v>2022</v>
      </c>
      <c r="M627" t="str">
        <f>UPPER(TEXT(_2020_2022[[#This Row],[Data da Venda]],"mmm"))</f>
        <v>JAN</v>
      </c>
    </row>
    <row r="628" spans="1:13" x14ac:dyDescent="0.25">
      <c r="A628" t="s">
        <v>12</v>
      </c>
      <c r="B628">
        <v>6500</v>
      </c>
      <c r="C628">
        <v>5</v>
      </c>
      <c r="D628" t="s">
        <v>30</v>
      </c>
      <c r="E628" t="s">
        <v>645</v>
      </c>
      <c r="F628" t="s">
        <v>753</v>
      </c>
      <c r="G628" t="s">
        <v>650</v>
      </c>
      <c r="H628">
        <v>57</v>
      </c>
      <c r="I628" t="s">
        <v>647</v>
      </c>
      <c r="J628">
        <v>32500</v>
      </c>
      <c r="K628" s="1">
        <v>44575</v>
      </c>
      <c r="L628">
        <v>2022</v>
      </c>
      <c r="M628" t="str">
        <f>UPPER(TEXT(_2020_2022[[#This Row],[Data da Venda]],"mmm"))</f>
        <v>JAN</v>
      </c>
    </row>
    <row r="629" spans="1:13" x14ac:dyDescent="0.25">
      <c r="A629" t="s">
        <v>1440</v>
      </c>
      <c r="B629">
        <v>700</v>
      </c>
      <c r="C629">
        <v>2</v>
      </c>
      <c r="D629" t="s">
        <v>37</v>
      </c>
      <c r="E629" t="s">
        <v>645</v>
      </c>
      <c r="F629" t="s">
        <v>828</v>
      </c>
      <c r="G629" t="s">
        <v>650</v>
      </c>
      <c r="H629">
        <v>63</v>
      </c>
      <c r="I629" t="s">
        <v>647</v>
      </c>
      <c r="J629">
        <v>1400</v>
      </c>
      <c r="K629" s="1">
        <v>44655</v>
      </c>
      <c r="L629">
        <v>2022</v>
      </c>
      <c r="M629" t="str">
        <f>UPPER(TEXT(_2020_2022[[#This Row],[Data da Venda]],"mmm"))</f>
        <v>ABR</v>
      </c>
    </row>
    <row r="630" spans="1:13" x14ac:dyDescent="0.25">
      <c r="A630" t="s">
        <v>9</v>
      </c>
      <c r="B630">
        <v>1500</v>
      </c>
      <c r="C630">
        <v>4</v>
      </c>
      <c r="D630" t="s">
        <v>36</v>
      </c>
      <c r="E630" t="s">
        <v>677</v>
      </c>
      <c r="F630" t="s">
        <v>1080</v>
      </c>
      <c r="G630" t="s">
        <v>650</v>
      </c>
      <c r="H630">
        <v>66</v>
      </c>
      <c r="I630" t="s">
        <v>647</v>
      </c>
      <c r="J630">
        <v>6000</v>
      </c>
      <c r="K630" s="1">
        <v>44813</v>
      </c>
      <c r="L630">
        <v>2022</v>
      </c>
      <c r="M630" t="str">
        <f>UPPER(TEXT(_2020_2022[[#This Row],[Data da Venda]],"mmm"))</f>
        <v>SET</v>
      </c>
    </row>
    <row r="631" spans="1:13" x14ac:dyDescent="0.25">
      <c r="A631" t="s">
        <v>1443</v>
      </c>
      <c r="B631">
        <v>1550</v>
      </c>
      <c r="C631">
        <v>4</v>
      </c>
      <c r="D631" t="s">
        <v>33</v>
      </c>
      <c r="E631" t="s">
        <v>641</v>
      </c>
      <c r="F631" t="s">
        <v>701</v>
      </c>
      <c r="G631" t="s">
        <v>643</v>
      </c>
      <c r="H631">
        <v>50</v>
      </c>
      <c r="I631" t="s">
        <v>644</v>
      </c>
      <c r="J631">
        <v>6200</v>
      </c>
      <c r="K631" s="1">
        <v>44831</v>
      </c>
      <c r="L631">
        <v>2022</v>
      </c>
      <c r="M631" t="str">
        <f>UPPER(TEXT(_2020_2022[[#This Row],[Data da Venda]],"mmm"))</f>
        <v>SET</v>
      </c>
    </row>
    <row r="632" spans="1:13" x14ac:dyDescent="0.25">
      <c r="A632" t="s">
        <v>24</v>
      </c>
      <c r="B632">
        <v>2000</v>
      </c>
      <c r="C632">
        <v>2</v>
      </c>
      <c r="D632" t="s">
        <v>41</v>
      </c>
      <c r="E632" t="s">
        <v>681</v>
      </c>
      <c r="F632" t="s">
        <v>1081</v>
      </c>
      <c r="G632" t="s">
        <v>643</v>
      </c>
      <c r="H632">
        <v>64</v>
      </c>
      <c r="I632" t="s">
        <v>647</v>
      </c>
      <c r="J632">
        <v>4000</v>
      </c>
      <c r="K632" s="1">
        <v>44677</v>
      </c>
      <c r="L632">
        <v>2022</v>
      </c>
      <c r="M632" t="str">
        <f>UPPER(TEXT(_2020_2022[[#This Row],[Data da Venda]],"mmm"))</f>
        <v>ABR</v>
      </c>
    </row>
    <row r="633" spans="1:13" x14ac:dyDescent="0.25">
      <c r="A633" t="s">
        <v>8</v>
      </c>
      <c r="B633">
        <v>5500</v>
      </c>
      <c r="C633">
        <v>3</v>
      </c>
      <c r="D633" t="s">
        <v>33</v>
      </c>
      <c r="E633" t="s">
        <v>641</v>
      </c>
      <c r="F633" t="s">
        <v>904</v>
      </c>
      <c r="G633" t="s">
        <v>643</v>
      </c>
      <c r="H633">
        <v>54</v>
      </c>
      <c r="I633" t="s">
        <v>647</v>
      </c>
      <c r="J633">
        <v>16500</v>
      </c>
      <c r="K633" s="1">
        <v>44858</v>
      </c>
      <c r="L633">
        <v>2022</v>
      </c>
      <c r="M633" t="str">
        <f>UPPER(TEXT(_2020_2022[[#This Row],[Data da Venda]],"mmm"))</f>
        <v>OUT</v>
      </c>
    </row>
    <row r="634" spans="1:13" x14ac:dyDescent="0.25">
      <c r="A634" t="s">
        <v>13</v>
      </c>
      <c r="B634">
        <v>2300</v>
      </c>
      <c r="C634">
        <v>5</v>
      </c>
      <c r="D634" t="s">
        <v>35</v>
      </c>
      <c r="E634" t="s">
        <v>666</v>
      </c>
      <c r="F634" t="s">
        <v>667</v>
      </c>
      <c r="G634" t="s">
        <v>643</v>
      </c>
      <c r="H634">
        <v>72</v>
      </c>
      <c r="I634" t="s">
        <v>647</v>
      </c>
      <c r="J634">
        <v>11500</v>
      </c>
      <c r="K634" s="1">
        <v>44782</v>
      </c>
      <c r="L634">
        <v>2022</v>
      </c>
      <c r="M634" t="str">
        <f>UPPER(TEXT(_2020_2022[[#This Row],[Data da Venda]],"mmm"))</f>
        <v>AGO</v>
      </c>
    </row>
    <row r="635" spans="1:13" x14ac:dyDescent="0.25">
      <c r="A635" t="s">
        <v>14</v>
      </c>
      <c r="B635">
        <v>2000</v>
      </c>
      <c r="C635">
        <v>3</v>
      </c>
      <c r="D635" t="s">
        <v>38</v>
      </c>
      <c r="E635" t="s">
        <v>648</v>
      </c>
      <c r="F635" t="s">
        <v>659</v>
      </c>
      <c r="G635" t="s">
        <v>643</v>
      </c>
      <c r="H635">
        <v>50</v>
      </c>
      <c r="I635" t="s">
        <v>644</v>
      </c>
      <c r="J635">
        <v>6000</v>
      </c>
      <c r="K635" s="1">
        <v>44839</v>
      </c>
      <c r="L635">
        <v>2022</v>
      </c>
      <c r="M635" t="str">
        <f>UPPER(TEXT(_2020_2022[[#This Row],[Data da Venda]],"mmm"))</f>
        <v>OUT</v>
      </c>
    </row>
    <row r="636" spans="1:13" x14ac:dyDescent="0.25">
      <c r="A636" t="s">
        <v>14</v>
      </c>
      <c r="B636">
        <v>2000</v>
      </c>
      <c r="C636">
        <v>2</v>
      </c>
      <c r="D636" t="s">
        <v>34</v>
      </c>
      <c r="E636" t="s">
        <v>679</v>
      </c>
      <c r="F636" t="s">
        <v>737</v>
      </c>
      <c r="G636" t="s">
        <v>650</v>
      </c>
      <c r="H636">
        <v>54</v>
      </c>
      <c r="I636" t="s">
        <v>647</v>
      </c>
      <c r="J636">
        <v>4000</v>
      </c>
      <c r="K636" s="1">
        <v>44874</v>
      </c>
      <c r="L636">
        <v>2022</v>
      </c>
      <c r="M636" t="str">
        <f>UPPER(TEXT(_2020_2022[[#This Row],[Data da Venda]],"mmm"))</f>
        <v>NOV</v>
      </c>
    </row>
    <row r="637" spans="1:13" x14ac:dyDescent="0.25">
      <c r="A637" t="s">
        <v>1441</v>
      </c>
      <c r="B637">
        <v>1450</v>
      </c>
      <c r="C637">
        <v>5</v>
      </c>
      <c r="D637" t="s">
        <v>31</v>
      </c>
      <c r="E637" t="s">
        <v>645</v>
      </c>
      <c r="F637" t="s">
        <v>817</v>
      </c>
      <c r="G637" t="s">
        <v>643</v>
      </c>
      <c r="H637">
        <v>32</v>
      </c>
      <c r="I637" t="s">
        <v>644</v>
      </c>
      <c r="J637">
        <v>7250</v>
      </c>
      <c r="K637" s="1">
        <v>44772</v>
      </c>
      <c r="L637">
        <v>2022</v>
      </c>
      <c r="M637" t="str">
        <f>UPPER(TEXT(_2020_2022[[#This Row],[Data da Venda]],"mmm"))</f>
        <v>JUL</v>
      </c>
    </row>
    <row r="638" spans="1:13" x14ac:dyDescent="0.25">
      <c r="A638" t="s">
        <v>1441</v>
      </c>
      <c r="B638">
        <v>1450</v>
      </c>
      <c r="C638">
        <v>5</v>
      </c>
      <c r="D638" t="s">
        <v>30</v>
      </c>
      <c r="E638" t="s">
        <v>645</v>
      </c>
      <c r="F638" t="s">
        <v>1082</v>
      </c>
      <c r="G638" t="s">
        <v>650</v>
      </c>
      <c r="H638">
        <v>53</v>
      </c>
      <c r="I638" t="s">
        <v>647</v>
      </c>
      <c r="J638">
        <v>7250</v>
      </c>
      <c r="K638" s="1">
        <v>44632</v>
      </c>
      <c r="L638">
        <v>2022</v>
      </c>
      <c r="M638" t="str">
        <f>UPPER(TEXT(_2020_2022[[#This Row],[Data da Venda]],"mmm"))</f>
        <v>MAR</v>
      </c>
    </row>
    <row r="639" spans="1:13" x14ac:dyDescent="0.25">
      <c r="A639" t="s">
        <v>1441</v>
      </c>
      <c r="B639">
        <v>1450</v>
      </c>
      <c r="C639">
        <v>4</v>
      </c>
      <c r="D639" t="s">
        <v>41</v>
      </c>
      <c r="E639" t="s">
        <v>681</v>
      </c>
      <c r="F639" t="s">
        <v>1083</v>
      </c>
      <c r="G639" t="s">
        <v>650</v>
      </c>
      <c r="H639">
        <v>40</v>
      </c>
      <c r="I639" t="s">
        <v>644</v>
      </c>
      <c r="J639">
        <v>5800</v>
      </c>
      <c r="K639" s="1">
        <v>44796</v>
      </c>
      <c r="L639">
        <v>2022</v>
      </c>
      <c r="M639" t="str">
        <f>UPPER(TEXT(_2020_2022[[#This Row],[Data da Venda]],"mmm"))</f>
        <v>AGO</v>
      </c>
    </row>
    <row r="640" spans="1:13" x14ac:dyDescent="0.25">
      <c r="A640" t="s">
        <v>16</v>
      </c>
      <c r="B640">
        <v>1400</v>
      </c>
      <c r="C640">
        <v>5</v>
      </c>
      <c r="D640" t="s">
        <v>32</v>
      </c>
      <c r="E640" t="s">
        <v>652</v>
      </c>
      <c r="F640" t="s">
        <v>685</v>
      </c>
      <c r="G640" t="s">
        <v>643</v>
      </c>
      <c r="H640">
        <v>36</v>
      </c>
      <c r="I640" t="s">
        <v>644</v>
      </c>
      <c r="J640">
        <v>7000</v>
      </c>
      <c r="K640" s="1">
        <v>44816</v>
      </c>
      <c r="L640">
        <v>2022</v>
      </c>
      <c r="M640" t="str">
        <f>UPPER(TEXT(_2020_2022[[#This Row],[Data da Venda]],"mmm"))</f>
        <v>SET</v>
      </c>
    </row>
    <row r="641" spans="1:13" x14ac:dyDescent="0.25">
      <c r="A641" t="s">
        <v>9</v>
      </c>
      <c r="B641">
        <v>1500</v>
      </c>
      <c r="C641">
        <v>5</v>
      </c>
      <c r="D641" t="s">
        <v>29</v>
      </c>
      <c r="E641" t="s">
        <v>641</v>
      </c>
      <c r="F641" t="s">
        <v>699</v>
      </c>
      <c r="G641" t="s">
        <v>650</v>
      </c>
      <c r="H641">
        <v>29</v>
      </c>
      <c r="I641" t="s">
        <v>651</v>
      </c>
      <c r="J641">
        <v>7500</v>
      </c>
      <c r="K641" s="1">
        <v>44723</v>
      </c>
      <c r="L641">
        <v>2022</v>
      </c>
      <c r="M641" t="str">
        <f>UPPER(TEXT(_2020_2022[[#This Row],[Data da Venda]],"mmm"))</f>
        <v>JUN</v>
      </c>
    </row>
    <row r="642" spans="1:13" x14ac:dyDescent="0.25">
      <c r="A642" t="s">
        <v>1442</v>
      </c>
      <c r="B642">
        <v>1200</v>
      </c>
      <c r="C642">
        <v>4</v>
      </c>
      <c r="D642" t="s">
        <v>35</v>
      </c>
      <c r="E642" t="s">
        <v>666</v>
      </c>
      <c r="F642" t="s">
        <v>891</v>
      </c>
      <c r="G642" t="s">
        <v>650</v>
      </c>
      <c r="H642">
        <v>68</v>
      </c>
      <c r="I642" t="s">
        <v>647</v>
      </c>
      <c r="J642">
        <v>4800</v>
      </c>
      <c r="K642" s="1">
        <v>44642</v>
      </c>
      <c r="L642">
        <v>2022</v>
      </c>
      <c r="M642" t="str">
        <f>UPPER(TEXT(_2020_2022[[#This Row],[Data da Venda]],"mmm"))</f>
        <v>MAR</v>
      </c>
    </row>
    <row r="643" spans="1:13" x14ac:dyDescent="0.25">
      <c r="A643" t="s">
        <v>18</v>
      </c>
      <c r="B643">
        <v>3000</v>
      </c>
      <c r="C643">
        <v>5</v>
      </c>
      <c r="D643" t="s">
        <v>36</v>
      </c>
      <c r="E643" t="s">
        <v>677</v>
      </c>
      <c r="F643" t="s">
        <v>1036</v>
      </c>
      <c r="G643" t="s">
        <v>650</v>
      </c>
      <c r="H643">
        <v>49</v>
      </c>
      <c r="I643" t="s">
        <v>644</v>
      </c>
      <c r="J643">
        <v>15000</v>
      </c>
      <c r="K643" s="1">
        <v>44837</v>
      </c>
      <c r="L643">
        <v>2022</v>
      </c>
      <c r="M643" t="str">
        <f>UPPER(TEXT(_2020_2022[[#This Row],[Data da Venda]],"mmm"))</f>
        <v>OUT</v>
      </c>
    </row>
    <row r="644" spans="1:13" x14ac:dyDescent="0.25">
      <c r="A644" t="s">
        <v>1443</v>
      </c>
      <c r="B644">
        <v>1550</v>
      </c>
      <c r="C644">
        <v>4</v>
      </c>
      <c r="D644" t="s">
        <v>37</v>
      </c>
      <c r="E644" t="s">
        <v>645</v>
      </c>
      <c r="F644" t="s">
        <v>1084</v>
      </c>
      <c r="G644" t="s">
        <v>643</v>
      </c>
      <c r="H644">
        <v>42</v>
      </c>
      <c r="I644" t="s">
        <v>644</v>
      </c>
      <c r="J644">
        <v>6200</v>
      </c>
      <c r="K644" s="1">
        <v>44922</v>
      </c>
      <c r="L644">
        <v>2022</v>
      </c>
      <c r="M644" t="str">
        <f>UPPER(TEXT(_2020_2022[[#This Row],[Data da Venda]],"mmm"))</f>
        <v>DEZ</v>
      </c>
    </row>
    <row r="645" spans="1:13" x14ac:dyDescent="0.25">
      <c r="A645" t="s">
        <v>1445</v>
      </c>
      <c r="B645">
        <v>1500</v>
      </c>
      <c r="C645">
        <v>5</v>
      </c>
      <c r="D645" t="s">
        <v>41</v>
      </c>
      <c r="E645" t="s">
        <v>681</v>
      </c>
      <c r="F645" t="s">
        <v>1085</v>
      </c>
      <c r="G645" t="s">
        <v>643</v>
      </c>
      <c r="H645">
        <v>49</v>
      </c>
      <c r="I645" t="s">
        <v>644</v>
      </c>
      <c r="J645">
        <v>7500</v>
      </c>
      <c r="K645" s="1">
        <v>44831</v>
      </c>
      <c r="L645">
        <v>2022</v>
      </c>
      <c r="M645" t="str">
        <f>UPPER(TEXT(_2020_2022[[#This Row],[Data da Venda]],"mmm"))</f>
        <v>SET</v>
      </c>
    </row>
    <row r="646" spans="1:13" x14ac:dyDescent="0.25">
      <c r="A646" t="s">
        <v>25</v>
      </c>
      <c r="B646">
        <v>2500</v>
      </c>
      <c r="C646">
        <v>1</v>
      </c>
      <c r="D646" t="s">
        <v>41</v>
      </c>
      <c r="E646" t="s">
        <v>681</v>
      </c>
      <c r="F646" t="s">
        <v>1085</v>
      </c>
      <c r="G646" t="s">
        <v>643</v>
      </c>
      <c r="H646">
        <v>49</v>
      </c>
      <c r="I646" t="s">
        <v>644</v>
      </c>
      <c r="J646">
        <v>2500</v>
      </c>
      <c r="K646" s="1">
        <v>44568</v>
      </c>
      <c r="L646">
        <v>2022</v>
      </c>
      <c r="M646" t="str">
        <f>UPPER(TEXT(_2020_2022[[#This Row],[Data da Venda]],"mmm"))</f>
        <v>JAN</v>
      </c>
    </row>
    <row r="647" spans="1:13" x14ac:dyDescent="0.25">
      <c r="A647" t="s">
        <v>25</v>
      </c>
      <c r="B647">
        <v>2500</v>
      </c>
      <c r="C647">
        <v>1</v>
      </c>
      <c r="D647" t="s">
        <v>37</v>
      </c>
      <c r="E647" t="s">
        <v>645</v>
      </c>
      <c r="F647" t="s">
        <v>1086</v>
      </c>
      <c r="G647" t="s">
        <v>643</v>
      </c>
      <c r="H647">
        <v>70</v>
      </c>
      <c r="I647" t="s">
        <v>647</v>
      </c>
      <c r="J647">
        <v>2500</v>
      </c>
      <c r="K647" s="1">
        <v>44725</v>
      </c>
      <c r="L647">
        <v>2022</v>
      </c>
      <c r="M647" t="str">
        <f>UPPER(TEXT(_2020_2022[[#This Row],[Data da Venda]],"mmm"))</f>
        <v>JUN</v>
      </c>
    </row>
    <row r="648" spans="1:13" x14ac:dyDescent="0.25">
      <c r="A648" t="s">
        <v>28</v>
      </c>
      <c r="B648">
        <v>1400</v>
      </c>
      <c r="C648">
        <v>3</v>
      </c>
      <c r="D648" t="s">
        <v>31</v>
      </c>
      <c r="E648" t="s">
        <v>645</v>
      </c>
      <c r="F648" t="s">
        <v>890</v>
      </c>
      <c r="G648" t="s">
        <v>643</v>
      </c>
      <c r="H648">
        <v>40</v>
      </c>
      <c r="I648" t="s">
        <v>644</v>
      </c>
      <c r="J648">
        <v>4200</v>
      </c>
      <c r="K648" s="1">
        <v>44822</v>
      </c>
      <c r="L648">
        <v>2022</v>
      </c>
      <c r="M648" t="str">
        <f>UPPER(TEXT(_2020_2022[[#This Row],[Data da Venda]],"mmm"))</f>
        <v>SET</v>
      </c>
    </row>
    <row r="649" spans="1:13" x14ac:dyDescent="0.25">
      <c r="A649" t="s">
        <v>14</v>
      </c>
      <c r="B649">
        <v>2000</v>
      </c>
      <c r="C649">
        <v>4</v>
      </c>
      <c r="D649" t="s">
        <v>31</v>
      </c>
      <c r="E649" t="s">
        <v>645</v>
      </c>
      <c r="F649" t="s">
        <v>1045</v>
      </c>
      <c r="G649" t="s">
        <v>650</v>
      </c>
      <c r="H649">
        <v>28</v>
      </c>
      <c r="I649" t="s">
        <v>651</v>
      </c>
      <c r="J649">
        <v>8000</v>
      </c>
      <c r="K649" s="1">
        <v>44622</v>
      </c>
      <c r="L649">
        <v>2022</v>
      </c>
      <c r="M649" t="str">
        <f>UPPER(TEXT(_2020_2022[[#This Row],[Data da Venda]],"mmm"))</f>
        <v>MAR</v>
      </c>
    </row>
    <row r="650" spans="1:13" x14ac:dyDescent="0.25">
      <c r="A650" t="s">
        <v>11</v>
      </c>
      <c r="B650">
        <v>4500</v>
      </c>
      <c r="C650">
        <v>1</v>
      </c>
      <c r="D650" t="s">
        <v>36</v>
      </c>
      <c r="E650" t="s">
        <v>677</v>
      </c>
      <c r="F650" t="s">
        <v>1087</v>
      </c>
      <c r="G650" t="s">
        <v>643</v>
      </c>
      <c r="H650">
        <v>56</v>
      </c>
      <c r="I650" t="s">
        <v>647</v>
      </c>
      <c r="J650">
        <v>4500</v>
      </c>
      <c r="K650" s="1">
        <v>44850</v>
      </c>
      <c r="L650">
        <v>2022</v>
      </c>
      <c r="M650" t="str">
        <f>UPPER(TEXT(_2020_2022[[#This Row],[Data da Venda]],"mmm"))</f>
        <v>OUT</v>
      </c>
    </row>
    <row r="651" spans="1:13" x14ac:dyDescent="0.25">
      <c r="A651" t="s">
        <v>15</v>
      </c>
      <c r="B651">
        <v>1900</v>
      </c>
      <c r="C651">
        <v>2</v>
      </c>
      <c r="D651" t="s">
        <v>39</v>
      </c>
      <c r="E651" t="s">
        <v>641</v>
      </c>
      <c r="F651" t="s">
        <v>1088</v>
      </c>
      <c r="G651" t="s">
        <v>643</v>
      </c>
      <c r="H651">
        <v>47</v>
      </c>
      <c r="I651" t="s">
        <v>644</v>
      </c>
      <c r="J651">
        <v>3800</v>
      </c>
      <c r="K651" s="1">
        <v>44912</v>
      </c>
      <c r="L651">
        <v>2022</v>
      </c>
      <c r="M651" t="str">
        <f>UPPER(TEXT(_2020_2022[[#This Row],[Data da Venda]],"mmm"))</f>
        <v>DEZ</v>
      </c>
    </row>
    <row r="652" spans="1:13" x14ac:dyDescent="0.25">
      <c r="A652" t="s">
        <v>28</v>
      </c>
      <c r="B652">
        <v>1400</v>
      </c>
      <c r="C652">
        <v>3</v>
      </c>
      <c r="D652" t="s">
        <v>33</v>
      </c>
      <c r="E652" t="s">
        <v>641</v>
      </c>
      <c r="F652" t="s">
        <v>1089</v>
      </c>
      <c r="G652" t="s">
        <v>643</v>
      </c>
      <c r="H652">
        <v>69</v>
      </c>
      <c r="I652" t="s">
        <v>647</v>
      </c>
      <c r="J652">
        <v>4200</v>
      </c>
      <c r="K652" s="1">
        <v>44714</v>
      </c>
      <c r="L652">
        <v>2022</v>
      </c>
      <c r="M652" t="str">
        <f>UPPER(TEXT(_2020_2022[[#This Row],[Data da Venda]],"mmm"))</f>
        <v>JUN</v>
      </c>
    </row>
    <row r="653" spans="1:13" x14ac:dyDescent="0.25">
      <c r="A653" t="s">
        <v>7</v>
      </c>
      <c r="B653">
        <v>750</v>
      </c>
      <c r="C653">
        <v>1</v>
      </c>
      <c r="D653" t="s">
        <v>30</v>
      </c>
      <c r="E653" t="s">
        <v>645</v>
      </c>
      <c r="F653" t="s">
        <v>722</v>
      </c>
      <c r="G653" t="s">
        <v>643</v>
      </c>
      <c r="H653">
        <v>64</v>
      </c>
      <c r="I653" t="s">
        <v>647</v>
      </c>
      <c r="J653">
        <v>750</v>
      </c>
      <c r="K653" s="1">
        <v>44656</v>
      </c>
      <c r="L653">
        <v>2022</v>
      </c>
      <c r="M653" t="str">
        <f>UPPER(TEXT(_2020_2022[[#This Row],[Data da Venda]],"mmm"))</f>
        <v>ABR</v>
      </c>
    </row>
    <row r="654" spans="1:13" x14ac:dyDescent="0.25">
      <c r="A654" t="s">
        <v>16</v>
      </c>
      <c r="B654">
        <v>1400</v>
      </c>
      <c r="C654">
        <v>2</v>
      </c>
      <c r="D654" t="s">
        <v>36</v>
      </c>
      <c r="E654" t="s">
        <v>677</v>
      </c>
      <c r="F654" t="s">
        <v>1090</v>
      </c>
      <c r="G654" t="s">
        <v>643</v>
      </c>
      <c r="H654">
        <v>41</v>
      </c>
      <c r="I654" t="s">
        <v>644</v>
      </c>
      <c r="J654">
        <v>2800</v>
      </c>
      <c r="K654" s="1">
        <v>44630</v>
      </c>
      <c r="L654">
        <v>2022</v>
      </c>
      <c r="M654" t="str">
        <f>UPPER(TEXT(_2020_2022[[#This Row],[Data da Venda]],"mmm"))</f>
        <v>MAR</v>
      </c>
    </row>
    <row r="655" spans="1:13" x14ac:dyDescent="0.25">
      <c r="A655" t="s">
        <v>15</v>
      </c>
      <c r="B655">
        <v>1900</v>
      </c>
      <c r="C655">
        <v>1</v>
      </c>
      <c r="D655" t="s">
        <v>38</v>
      </c>
      <c r="E655" t="s">
        <v>648</v>
      </c>
      <c r="F655" t="s">
        <v>1091</v>
      </c>
      <c r="G655" t="s">
        <v>650</v>
      </c>
      <c r="H655">
        <v>40</v>
      </c>
      <c r="I655" t="s">
        <v>644</v>
      </c>
      <c r="J655">
        <v>1900</v>
      </c>
      <c r="K655" s="1">
        <v>44620</v>
      </c>
      <c r="L655">
        <v>2022</v>
      </c>
      <c r="M655" t="str">
        <f>UPPER(TEXT(_2020_2022[[#This Row],[Data da Venda]],"mmm"))</f>
        <v>FEV</v>
      </c>
    </row>
    <row r="656" spans="1:13" x14ac:dyDescent="0.25">
      <c r="A656" t="s">
        <v>7</v>
      </c>
      <c r="B656">
        <v>750</v>
      </c>
      <c r="C656">
        <v>5</v>
      </c>
      <c r="D656" t="s">
        <v>41</v>
      </c>
      <c r="E656" t="s">
        <v>681</v>
      </c>
      <c r="F656" t="s">
        <v>1092</v>
      </c>
      <c r="G656" t="s">
        <v>643</v>
      </c>
      <c r="H656">
        <v>59</v>
      </c>
      <c r="I656" t="s">
        <v>647</v>
      </c>
      <c r="J656">
        <v>3750</v>
      </c>
      <c r="K656" s="1">
        <v>44724</v>
      </c>
      <c r="L656">
        <v>2022</v>
      </c>
      <c r="M656" t="str">
        <f>UPPER(TEXT(_2020_2022[[#This Row],[Data da Venda]],"mmm"))</f>
        <v>JUN</v>
      </c>
    </row>
    <row r="657" spans="1:13" x14ac:dyDescent="0.25">
      <c r="A657" t="s">
        <v>28</v>
      </c>
      <c r="B657">
        <v>1400</v>
      </c>
      <c r="C657">
        <v>1</v>
      </c>
      <c r="D657" t="s">
        <v>31</v>
      </c>
      <c r="E657" t="s">
        <v>645</v>
      </c>
      <c r="F657" t="s">
        <v>747</v>
      </c>
      <c r="G657" t="s">
        <v>650</v>
      </c>
      <c r="H657">
        <v>45</v>
      </c>
      <c r="I657" t="s">
        <v>644</v>
      </c>
      <c r="J657">
        <v>1400</v>
      </c>
      <c r="K657" s="1">
        <v>44829</v>
      </c>
      <c r="L657">
        <v>2022</v>
      </c>
      <c r="M657" t="str">
        <f>UPPER(TEXT(_2020_2022[[#This Row],[Data da Venda]],"mmm"))</f>
        <v>SET</v>
      </c>
    </row>
    <row r="658" spans="1:13" x14ac:dyDescent="0.25">
      <c r="A658" t="s">
        <v>21</v>
      </c>
      <c r="B658">
        <v>2400</v>
      </c>
      <c r="C658">
        <v>4</v>
      </c>
      <c r="D658" t="s">
        <v>38</v>
      </c>
      <c r="E658" t="s">
        <v>648</v>
      </c>
      <c r="F658" t="s">
        <v>931</v>
      </c>
      <c r="G658" t="s">
        <v>650</v>
      </c>
      <c r="H658">
        <v>54</v>
      </c>
      <c r="I658" t="s">
        <v>647</v>
      </c>
      <c r="J658">
        <v>9600</v>
      </c>
      <c r="K658" s="1">
        <v>44777</v>
      </c>
      <c r="L658">
        <v>2022</v>
      </c>
      <c r="M658" t="str">
        <f>UPPER(TEXT(_2020_2022[[#This Row],[Data da Venda]],"mmm"))</f>
        <v>AGO</v>
      </c>
    </row>
    <row r="659" spans="1:13" x14ac:dyDescent="0.25">
      <c r="A659" t="s">
        <v>22</v>
      </c>
      <c r="B659">
        <v>5200</v>
      </c>
      <c r="C659">
        <v>2</v>
      </c>
      <c r="D659" t="s">
        <v>33</v>
      </c>
      <c r="E659" t="s">
        <v>641</v>
      </c>
      <c r="F659" t="s">
        <v>894</v>
      </c>
      <c r="G659" t="s">
        <v>643</v>
      </c>
      <c r="H659">
        <v>33</v>
      </c>
      <c r="I659" t="s">
        <v>644</v>
      </c>
      <c r="J659">
        <v>10400</v>
      </c>
      <c r="K659" s="1">
        <v>44800</v>
      </c>
      <c r="L659">
        <v>2022</v>
      </c>
      <c r="M659" t="str">
        <f>UPPER(TEXT(_2020_2022[[#This Row],[Data da Venda]],"mmm"))</f>
        <v>AGO</v>
      </c>
    </row>
    <row r="660" spans="1:13" x14ac:dyDescent="0.25">
      <c r="A660" t="s">
        <v>1445</v>
      </c>
      <c r="B660">
        <v>1500</v>
      </c>
      <c r="C660">
        <v>2</v>
      </c>
      <c r="D660" t="s">
        <v>29</v>
      </c>
      <c r="E660" t="s">
        <v>641</v>
      </c>
      <c r="F660" t="s">
        <v>1093</v>
      </c>
      <c r="G660" t="s">
        <v>650</v>
      </c>
      <c r="H660">
        <v>50</v>
      </c>
      <c r="I660" t="s">
        <v>644</v>
      </c>
      <c r="J660">
        <v>3000</v>
      </c>
      <c r="K660" s="1">
        <v>44885</v>
      </c>
      <c r="L660">
        <v>2022</v>
      </c>
      <c r="M660" t="str">
        <f>UPPER(TEXT(_2020_2022[[#This Row],[Data da Venda]],"mmm"))</f>
        <v>NOV</v>
      </c>
    </row>
    <row r="661" spans="1:13" x14ac:dyDescent="0.25">
      <c r="A661" t="s">
        <v>18</v>
      </c>
      <c r="B661">
        <v>3000</v>
      </c>
      <c r="C661">
        <v>4</v>
      </c>
      <c r="D661" t="s">
        <v>36</v>
      </c>
      <c r="E661" t="s">
        <v>677</v>
      </c>
      <c r="F661" t="s">
        <v>1094</v>
      </c>
      <c r="G661" t="s">
        <v>650</v>
      </c>
      <c r="H661">
        <v>26</v>
      </c>
      <c r="I661" t="s">
        <v>651</v>
      </c>
      <c r="J661">
        <v>12000</v>
      </c>
      <c r="K661" s="1">
        <v>44623</v>
      </c>
      <c r="L661">
        <v>2022</v>
      </c>
      <c r="M661" t="str">
        <f>UPPER(TEXT(_2020_2022[[#This Row],[Data da Venda]],"mmm"))</f>
        <v>MAR</v>
      </c>
    </row>
    <row r="662" spans="1:13" x14ac:dyDescent="0.25">
      <c r="A662" t="s">
        <v>15</v>
      </c>
      <c r="B662">
        <v>1900</v>
      </c>
      <c r="C662">
        <v>4</v>
      </c>
      <c r="D662" t="s">
        <v>41</v>
      </c>
      <c r="E662" t="s">
        <v>681</v>
      </c>
      <c r="F662" t="s">
        <v>1085</v>
      </c>
      <c r="G662" t="s">
        <v>643</v>
      </c>
      <c r="H662">
        <v>49</v>
      </c>
      <c r="I662" t="s">
        <v>644</v>
      </c>
      <c r="J662">
        <v>7600</v>
      </c>
      <c r="K662" s="1">
        <v>44851</v>
      </c>
      <c r="L662">
        <v>2022</v>
      </c>
      <c r="M662" t="str">
        <f>UPPER(TEXT(_2020_2022[[#This Row],[Data da Venda]],"mmm"))</f>
        <v>OUT</v>
      </c>
    </row>
    <row r="663" spans="1:13" x14ac:dyDescent="0.25">
      <c r="A663" t="s">
        <v>25</v>
      </c>
      <c r="B663">
        <v>2500</v>
      </c>
      <c r="C663">
        <v>4</v>
      </c>
      <c r="D663" t="s">
        <v>37</v>
      </c>
      <c r="E663" t="s">
        <v>645</v>
      </c>
      <c r="F663" t="s">
        <v>1095</v>
      </c>
      <c r="G663" t="s">
        <v>643</v>
      </c>
      <c r="H663">
        <v>44</v>
      </c>
      <c r="I663" t="s">
        <v>644</v>
      </c>
      <c r="J663">
        <v>10000</v>
      </c>
      <c r="K663" s="1">
        <v>44776</v>
      </c>
      <c r="L663">
        <v>2022</v>
      </c>
      <c r="M663" t="str">
        <f>UPPER(TEXT(_2020_2022[[#This Row],[Data da Venda]],"mmm"))</f>
        <v>AGO</v>
      </c>
    </row>
    <row r="664" spans="1:13" x14ac:dyDescent="0.25">
      <c r="A664" t="s">
        <v>18</v>
      </c>
      <c r="B664">
        <v>3000</v>
      </c>
      <c r="C664">
        <v>5</v>
      </c>
      <c r="D664" t="s">
        <v>29</v>
      </c>
      <c r="E664" t="s">
        <v>641</v>
      </c>
      <c r="F664" t="s">
        <v>989</v>
      </c>
      <c r="G664" t="s">
        <v>643</v>
      </c>
      <c r="H664">
        <v>33</v>
      </c>
      <c r="I664" t="s">
        <v>644</v>
      </c>
      <c r="J664">
        <v>15000</v>
      </c>
      <c r="K664" s="1">
        <v>44725</v>
      </c>
      <c r="L664">
        <v>2022</v>
      </c>
      <c r="M664" t="str">
        <f>UPPER(TEXT(_2020_2022[[#This Row],[Data da Venda]],"mmm"))</f>
        <v>JUN</v>
      </c>
    </row>
    <row r="665" spans="1:13" x14ac:dyDescent="0.25">
      <c r="A665" t="s">
        <v>8</v>
      </c>
      <c r="B665">
        <v>5500</v>
      </c>
      <c r="C665">
        <v>1</v>
      </c>
      <c r="D665" t="s">
        <v>34</v>
      </c>
      <c r="E665" t="s">
        <v>679</v>
      </c>
      <c r="F665" t="s">
        <v>1096</v>
      </c>
      <c r="G665" t="s">
        <v>643</v>
      </c>
      <c r="H665">
        <v>26</v>
      </c>
      <c r="I665" t="s">
        <v>651</v>
      </c>
      <c r="J665">
        <v>5500</v>
      </c>
      <c r="K665" s="1">
        <v>44715</v>
      </c>
      <c r="L665">
        <v>2022</v>
      </c>
      <c r="M665" t="str">
        <f>UPPER(TEXT(_2020_2022[[#This Row],[Data da Venda]],"mmm"))</f>
        <v>JUN</v>
      </c>
    </row>
    <row r="666" spans="1:13" x14ac:dyDescent="0.25">
      <c r="A666" t="s">
        <v>16</v>
      </c>
      <c r="B666">
        <v>1400</v>
      </c>
      <c r="C666">
        <v>5</v>
      </c>
      <c r="D666" t="s">
        <v>39</v>
      </c>
      <c r="E666" t="s">
        <v>641</v>
      </c>
      <c r="F666" t="s">
        <v>1097</v>
      </c>
      <c r="G666" t="s">
        <v>643</v>
      </c>
      <c r="H666">
        <v>52</v>
      </c>
      <c r="I666" t="s">
        <v>647</v>
      </c>
      <c r="J666">
        <v>7000</v>
      </c>
      <c r="K666" s="1">
        <v>44635</v>
      </c>
      <c r="L666">
        <v>2022</v>
      </c>
      <c r="M666" t="str">
        <f>UPPER(TEXT(_2020_2022[[#This Row],[Data da Venda]],"mmm"))</f>
        <v>MAR</v>
      </c>
    </row>
    <row r="667" spans="1:13" x14ac:dyDescent="0.25">
      <c r="A667" t="s">
        <v>12</v>
      </c>
      <c r="B667">
        <v>6500</v>
      </c>
      <c r="C667">
        <v>4</v>
      </c>
      <c r="D667" t="s">
        <v>32</v>
      </c>
      <c r="E667" t="s">
        <v>652</v>
      </c>
      <c r="F667" t="s">
        <v>1098</v>
      </c>
      <c r="G667" t="s">
        <v>650</v>
      </c>
      <c r="H667">
        <v>44</v>
      </c>
      <c r="I667" t="s">
        <v>644</v>
      </c>
      <c r="J667">
        <v>26000</v>
      </c>
      <c r="K667" s="1">
        <v>44688</v>
      </c>
      <c r="L667">
        <v>2022</v>
      </c>
      <c r="M667" t="str">
        <f>UPPER(TEXT(_2020_2022[[#This Row],[Data da Venda]],"mmm"))</f>
        <v>MAI</v>
      </c>
    </row>
    <row r="668" spans="1:13" x14ac:dyDescent="0.25">
      <c r="A668" t="s">
        <v>20</v>
      </c>
      <c r="B668">
        <v>2600</v>
      </c>
      <c r="C668">
        <v>3</v>
      </c>
      <c r="D668" t="s">
        <v>37</v>
      </c>
      <c r="E668" t="s">
        <v>645</v>
      </c>
      <c r="F668" t="s">
        <v>971</v>
      </c>
      <c r="G668" t="s">
        <v>643</v>
      </c>
      <c r="H668">
        <v>43</v>
      </c>
      <c r="I668" t="s">
        <v>644</v>
      </c>
      <c r="J668">
        <v>7800</v>
      </c>
      <c r="K668" s="1">
        <v>44808</v>
      </c>
      <c r="L668">
        <v>2022</v>
      </c>
      <c r="M668" t="str">
        <f>UPPER(TEXT(_2020_2022[[#This Row],[Data da Venda]],"mmm"))</f>
        <v>SET</v>
      </c>
    </row>
    <row r="669" spans="1:13" x14ac:dyDescent="0.25">
      <c r="A669" t="s">
        <v>24</v>
      </c>
      <c r="B669">
        <v>2000</v>
      </c>
      <c r="C669">
        <v>5</v>
      </c>
      <c r="D669" t="s">
        <v>36</v>
      </c>
      <c r="E669" t="s">
        <v>677</v>
      </c>
      <c r="F669" t="s">
        <v>1099</v>
      </c>
      <c r="G669" t="s">
        <v>650</v>
      </c>
      <c r="H669">
        <v>47</v>
      </c>
      <c r="I669" t="s">
        <v>644</v>
      </c>
      <c r="J669">
        <v>10000</v>
      </c>
      <c r="K669" s="1">
        <v>44745</v>
      </c>
      <c r="L669">
        <v>2022</v>
      </c>
      <c r="M669" t="str">
        <f>UPPER(TEXT(_2020_2022[[#This Row],[Data da Venda]],"mmm"))</f>
        <v>JUL</v>
      </c>
    </row>
    <row r="670" spans="1:13" x14ac:dyDescent="0.25">
      <c r="A670" t="s">
        <v>18</v>
      </c>
      <c r="B670">
        <v>3000</v>
      </c>
      <c r="C670">
        <v>2</v>
      </c>
      <c r="D670" t="s">
        <v>36</v>
      </c>
      <c r="E670" t="s">
        <v>677</v>
      </c>
      <c r="F670" t="s">
        <v>728</v>
      </c>
      <c r="G670" t="s">
        <v>643</v>
      </c>
      <c r="H670">
        <v>60</v>
      </c>
      <c r="I670" t="s">
        <v>647</v>
      </c>
      <c r="J670">
        <v>6000</v>
      </c>
      <c r="K670" s="1">
        <v>44771</v>
      </c>
      <c r="L670">
        <v>2022</v>
      </c>
      <c r="M670" t="str">
        <f>UPPER(TEXT(_2020_2022[[#This Row],[Data da Venda]],"mmm"))</f>
        <v>JUL</v>
      </c>
    </row>
    <row r="671" spans="1:13" x14ac:dyDescent="0.25">
      <c r="A671" t="s">
        <v>7</v>
      </c>
      <c r="B671">
        <v>750</v>
      </c>
      <c r="C671">
        <v>1</v>
      </c>
      <c r="D671" t="s">
        <v>38</v>
      </c>
      <c r="E671" t="s">
        <v>648</v>
      </c>
      <c r="F671" t="s">
        <v>1100</v>
      </c>
      <c r="G671" t="s">
        <v>650</v>
      </c>
      <c r="H671">
        <v>35</v>
      </c>
      <c r="I671" t="s">
        <v>644</v>
      </c>
      <c r="J671">
        <v>750</v>
      </c>
      <c r="K671" s="1">
        <v>44630</v>
      </c>
      <c r="L671">
        <v>2022</v>
      </c>
      <c r="M671" t="str">
        <f>UPPER(TEXT(_2020_2022[[#This Row],[Data da Venda]],"mmm"))</f>
        <v>MAR</v>
      </c>
    </row>
    <row r="672" spans="1:13" x14ac:dyDescent="0.25">
      <c r="A672" t="s">
        <v>25</v>
      </c>
      <c r="B672">
        <v>2500</v>
      </c>
      <c r="C672">
        <v>3</v>
      </c>
      <c r="D672" t="s">
        <v>32</v>
      </c>
      <c r="E672" t="s">
        <v>652</v>
      </c>
      <c r="F672" t="s">
        <v>698</v>
      </c>
      <c r="G672" t="s">
        <v>650</v>
      </c>
      <c r="H672">
        <v>45</v>
      </c>
      <c r="I672" t="s">
        <v>644</v>
      </c>
      <c r="J672">
        <v>7500</v>
      </c>
      <c r="K672" s="1">
        <v>44808</v>
      </c>
      <c r="L672">
        <v>2022</v>
      </c>
      <c r="M672" t="str">
        <f>UPPER(TEXT(_2020_2022[[#This Row],[Data da Venda]],"mmm"))</f>
        <v>SET</v>
      </c>
    </row>
    <row r="673" spans="1:13" x14ac:dyDescent="0.25">
      <c r="A673" t="s">
        <v>16</v>
      </c>
      <c r="B673">
        <v>1400</v>
      </c>
      <c r="C673">
        <v>2</v>
      </c>
      <c r="D673" t="s">
        <v>31</v>
      </c>
      <c r="E673" t="s">
        <v>645</v>
      </c>
      <c r="F673" t="s">
        <v>776</v>
      </c>
      <c r="G673" t="s">
        <v>643</v>
      </c>
      <c r="H673">
        <v>29</v>
      </c>
      <c r="I673" t="s">
        <v>651</v>
      </c>
      <c r="J673">
        <v>2800</v>
      </c>
      <c r="K673" s="1">
        <v>44610</v>
      </c>
      <c r="L673">
        <v>2022</v>
      </c>
      <c r="M673" t="str">
        <f>UPPER(TEXT(_2020_2022[[#This Row],[Data da Venda]],"mmm"))</f>
        <v>FEV</v>
      </c>
    </row>
    <row r="674" spans="1:13" x14ac:dyDescent="0.25">
      <c r="A674" t="s">
        <v>26</v>
      </c>
      <c r="B674">
        <v>1100</v>
      </c>
      <c r="C674">
        <v>2</v>
      </c>
      <c r="D674" t="s">
        <v>39</v>
      </c>
      <c r="E674" t="s">
        <v>641</v>
      </c>
      <c r="F674" t="s">
        <v>1001</v>
      </c>
      <c r="G674" t="s">
        <v>643</v>
      </c>
      <c r="H674">
        <v>40</v>
      </c>
      <c r="I674" t="s">
        <v>644</v>
      </c>
      <c r="J674">
        <v>2200</v>
      </c>
      <c r="K674" s="1">
        <v>44791</v>
      </c>
      <c r="L674">
        <v>2022</v>
      </c>
      <c r="M674" t="str">
        <f>UPPER(TEXT(_2020_2022[[#This Row],[Data da Venda]],"mmm"))</f>
        <v>AGO</v>
      </c>
    </row>
    <row r="675" spans="1:13" x14ac:dyDescent="0.25">
      <c r="A675" t="s">
        <v>12</v>
      </c>
      <c r="B675">
        <v>6500</v>
      </c>
      <c r="C675">
        <v>5</v>
      </c>
      <c r="D675" t="s">
        <v>32</v>
      </c>
      <c r="E675" t="s">
        <v>652</v>
      </c>
      <c r="F675" t="s">
        <v>1024</v>
      </c>
      <c r="G675" t="s">
        <v>643</v>
      </c>
      <c r="H675">
        <v>76</v>
      </c>
      <c r="I675" t="s">
        <v>647</v>
      </c>
      <c r="J675">
        <v>32500</v>
      </c>
      <c r="K675" s="1">
        <v>44872</v>
      </c>
      <c r="L675">
        <v>2022</v>
      </c>
      <c r="M675" t="str">
        <f>UPPER(TEXT(_2020_2022[[#This Row],[Data da Venda]],"mmm"))</f>
        <v>NOV</v>
      </c>
    </row>
    <row r="676" spans="1:13" x14ac:dyDescent="0.25">
      <c r="A676" t="s">
        <v>26</v>
      </c>
      <c r="B676">
        <v>1100</v>
      </c>
      <c r="C676">
        <v>1</v>
      </c>
      <c r="D676" t="s">
        <v>40</v>
      </c>
      <c r="E676" t="s">
        <v>657</v>
      </c>
      <c r="F676" t="s">
        <v>773</v>
      </c>
      <c r="G676" t="s">
        <v>643</v>
      </c>
      <c r="H676">
        <v>27</v>
      </c>
      <c r="I676" t="s">
        <v>651</v>
      </c>
      <c r="J676">
        <v>1100</v>
      </c>
      <c r="K676" s="1">
        <v>44704</v>
      </c>
      <c r="L676">
        <v>2022</v>
      </c>
      <c r="M676" t="str">
        <f>UPPER(TEXT(_2020_2022[[#This Row],[Data da Venda]],"mmm"))</f>
        <v>MAI</v>
      </c>
    </row>
    <row r="677" spans="1:13" x14ac:dyDescent="0.25">
      <c r="A677" t="s">
        <v>1444</v>
      </c>
      <c r="B677">
        <v>1500</v>
      </c>
      <c r="C677">
        <v>3</v>
      </c>
      <c r="D677" t="s">
        <v>37</v>
      </c>
      <c r="E677" t="s">
        <v>645</v>
      </c>
      <c r="F677" t="s">
        <v>691</v>
      </c>
      <c r="G677" t="s">
        <v>650</v>
      </c>
      <c r="H677">
        <v>45</v>
      </c>
      <c r="I677" t="s">
        <v>644</v>
      </c>
      <c r="J677">
        <v>4500</v>
      </c>
      <c r="K677" s="1">
        <v>44828</v>
      </c>
      <c r="L677">
        <v>2022</v>
      </c>
      <c r="M677" t="str">
        <f>UPPER(TEXT(_2020_2022[[#This Row],[Data da Venda]],"mmm"))</f>
        <v>SET</v>
      </c>
    </row>
    <row r="678" spans="1:13" x14ac:dyDescent="0.25">
      <c r="A678" t="s">
        <v>14</v>
      </c>
      <c r="B678">
        <v>2000</v>
      </c>
      <c r="C678">
        <v>3</v>
      </c>
      <c r="D678" t="s">
        <v>38</v>
      </c>
      <c r="E678" t="s">
        <v>648</v>
      </c>
      <c r="F678" t="s">
        <v>837</v>
      </c>
      <c r="G678" t="s">
        <v>650</v>
      </c>
      <c r="H678">
        <v>63</v>
      </c>
      <c r="I678" t="s">
        <v>647</v>
      </c>
      <c r="J678">
        <v>6000</v>
      </c>
      <c r="K678" s="1">
        <v>44627</v>
      </c>
      <c r="L678">
        <v>2022</v>
      </c>
      <c r="M678" t="str">
        <f>UPPER(TEXT(_2020_2022[[#This Row],[Data da Venda]],"mmm"))</f>
        <v>MAR</v>
      </c>
    </row>
    <row r="679" spans="1:13" x14ac:dyDescent="0.25">
      <c r="A679" t="s">
        <v>21</v>
      </c>
      <c r="B679">
        <v>2400</v>
      </c>
      <c r="C679">
        <v>4</v>
      </c>
      <c r="D679" t="s">
        <v>32</v>
      </c>
      <c r="E679" t="s">
        <v>652</v>
      </c>
      <c r="F679" t="s">
        <v>1101</v>
      </c>
      <c r="G679" t="s">
        <v>643</v>
      </c>
      <c r="H679">
        <v>72</v>
      </c>
      <c r="I679" t="s">
        <v>647</v>
      </c>
      <c r="J679">
        <v>9600</v>
      </c>
      <c r="K679" s="1">
        <v>44605</v>
      </c>
      <c r="L679">
        <v>2022</v>
      </c>
      <c r="M679" t="str">
        <f>UPPER(TEXT(_2020_2022[[#This Row],[Data da Venda]],"mmm"))</f>
        <v>FEV</v>
      </c>
    </row>
    <row r="680" spans="1:13" x14ac:dyDescent="0.25">
      <c r="A680" t="s">
        <v>24</v>
      </c>
      <c r="B680">
        <v>2000</v>
      </c>
      <c r="C680">
        <v>1</v>
      </c>
      <c r="D680" t="s">
        <v>33</v>
      </c>
      <c r="E680" t="s">
        <v>641</v>
      </c>
      <c r="F680" t="s">
        <v>793</v>
      </c>
      <c r="G680" t="s">
        <v>643</v>
      </c>
      <c r="H680">
        <v>25</v>
      </c>
      <c r="I680" t="s">
        <v>651</v>
      </c>
      <c r="J680">
        <v>2000</v>
      </c>
      <c r="K680" s="1">
        <v>44671</v>
      </c>
      <c r="L680">
        <v>2022</v>
      </c>
      <c r="M680" t="str">
        <f>UPPER(TEXT(_2020_2022[[#This Row],[Data da Venda]],"mmm"))</f>
        <v>ABR</v>
      </c>
    </row>
    <row r="681" spans="1:13" x14ac:dyDescent="0.25">
      <c r="A681" t="s">
        <v>7</v>
      </c>
      <c r="B681">
        <v>750</v>
      </c>
      <c r="C681">
        <v>1</v>
      </c>
      <c r="D681" t="s">
        <v>29</v>
      </c>
      <c r="E681" t="s">
        <v>641</v>
      </c>
      <c r="F681" t="s">
        <v>1102</v>
      </c>
      <c r="G681" t="s">
        <v>643</v>
      </c>
      <c r="H681">
        <v>44</v>
      </c>
      <c r="I681" t="s">
        <v>644</v>
      </c>
      <c r="J681">
        <v>750</v>
      </c>
      <c r="K681" s="1">
        <v>44636</v>
      </c>
      <c r="L681">
        <v>2022</v>
      </c>
      <c r="M681" t="str">
        <f>UPPER(TEXT(_2020_2022[[#This Row],[Data da Venda]],"mmm"))</f>
        <v>MAR</v>
      </c>
    </row>
    <row r="682" spans="1:13" x14ac:dyDescent="0.25">
      <c r="A682" t="s">
        <v>14</v>
      </c>
      <c r="B682">
        <v>2000</v>
      </c>
      <c r="C682">
        <v>3</v>
      </c>
      <c r="D682" t="s">
        <v>40</v>
      </c>
      <c r="E682" t="s">
        <v>657</v>
      </c>
      <c r="F682" t="s">
        <v>1049</v>
      </c>
      <c r="G682" t="s">
        <v>650</v>
      </c>
      <c r="H682">
        <v>44</v>
      </c>
      <c r="I682" t="s">
        <v>644</v>
      </c>
      <c r="J682">
        <v>6000</v>
      </c>
      <c r="K682" s="1">
        <v>44712</v>
      </c>
      <c r="L682">
        <v>2022</v>
      </c>
      <c r="M682" t="str">
        <f>UPPER(TEXT(_2020_2022[[#This Row],[Data da Venda]],"mmm"))</f>
        <v>MAI</v>
      </c>
    </row>
    <row r="683" spans="1:13" x14ac:dyDescent="0.25">
      <c r="A683" t="s">
        <v>18</v>
      </c>
      <c r="B683">
        <v>3000</v>
      </c>
      <c r="C683">
        <v>4</v>
      </c>
      <c r="D683" t="s">
        <v>38</v>
      </c>
      <c r="E683" t="s">
        <v>648</v>
      </c>
      <c r="F683" t="s">
        <v>649</v>
      </c>
      <c r="G683" t="s">
        <v>650</v>
      </c>
      <c r="H683">
        <v>27</v>
      </c>
      <c r="I683" t="s">
        <v>651</v>
      </c>
      <c r="J683">
        <v>12000</v>
      </c>
      <c r="K683" s="1">
        <v>44862</v>
      </c>
      <c r="L683">
        <v>2022</v>
      </c>
      <c r="M683" t="str">
        <f>UPPER(TEXT(_2020_2022[[#This Row],[Data da Venda]],"mmm"))</f>
        <v>OUT</v>
      </c>
    </row>
    <row r="684" spans="1:13" x14ac:dyDescent="0.25">
      <c r="A684" t="s">
        <v>11</v>
      </c>
      <c r="B684">
        <v>4500</v>
      </c>
      <c r="C684">
        <v>3</v>
      </c>
      <c r="D684" t="s">
        <v>31</v>
      </c>
      <c r="E684" t="s">
        <v>645</v>
      </c>
      <c r="F684" t="s">
        <v>1103</v>
      </c>
      <c r="G684" t="s">
        <v>650</v>
      </c>
      <c r="H684">
        <v>29</v>
      </c>
      <c r="I684" t="s">
        <v>651</v>
      </c>
      <c r="J684">
        <v>13500</v>
      </c>
      <c r="K684" s="1">
        <v>44563</v>
      </c>
      <c r="L684">
        <v>2022</v>
      </c>
      <c r="M684" t="str">
        <f>UPPER(TEXT(_2020_2022[[#This Row],[Data da Venda]],"mmm"))</f>
        <v>JAN</v>
      </c>
    </row>
    <row r="685" spans="1:13" x14ac:dyDescent="0.25">
      <c r="A685" t="s">
        <v>25</v>
      </c>
      <c r="B685">
        <v>2500</v>
      </c>
      <c r="C685">
        <v>5</v>
      </c>
      <c r="D685" t="s">
        <v>40</v>
      </c>
      <c r="E685" t="s">
        <v>657</v>
      </c>
      <c r="F685" t="s">
        <v>1104</v>
      </c>
      <c r="G685" t="s">
        <v>643</v>
      </c>
      <c r="H685">
        <v>48</v>
      </c>
      <c r="I685" t="s">
        <v>644</v>
      </c>
      <c r="J685">
        <v>12500</v>
      </c>
      <c r="K685" s="1">
        <v>44597</v>
      </c>
      <c r="L685">
        <v>2022</v>
      </c>
      <c r="M685" t="str">
        <f>UPPER(TEXT(_2020_2022[[#This Row],[Data da Venda]],"mmm"))</f>
        <v>FEV</v>
      </c>
    </row>
    <row r="686" spans="1:13" x14ac:dyDescent="0.25">
      <c r="A686" t="s">
        <v>1444</v>
      </c>
      <c r="B686">
        <v>1500</v>
      </c>
      <c r="C686">
        <v>2</v>
      </c>
      <c r="D686" t="s">
        <v>36</v>
      </c>
      <c r="E686" t="s">
        <v>677</v>
      </c>
      <c r="F686" t="s">
        <v>1105</v>
      </c>
      <c r="G686" t="s">
        <v>650</v>
      </c>
      <c r="H686">
        <v>31</v>
      </c>
      <c r="I686" t="s">
        <v>644</v>
      </c>
      <c r="J686">
        <v>3000</v>
      </c>
      <c r="K686" s="1">
        <v>44909</v>
      </c>
      <c r="L686">
        <v>2022</v>
      </c>
      <c r="M686" t="str">
        <f>UPPER(TEXT(_2020_2022[[#This Row],[Data da Venda]],"mmm"))</f>
        <v>DEZ</v>
      </c>
    </row>
    <row r="687" spans="1:13" x14ac:dyDescent="0.25">
      <c r="A687" t="s">
        <v>1441</v>
      </c>
      <c r="B687">
        <v>1450</v>
      </c>
      <c r="C687">
        <v>4</v>
      </c>
      <c r="D687" t="s">
        <v>39</v>
      </c>
      <c r="E687" t="s">
        <v>641</v>
      </c>
      <c r="F687" t="s">
        <v>1106</v>
      </c>
      <c r="G687" t="s">
        <v>643</v>
      </c>
      <c r="H687">
        <v>25</v>
      </c>
      <c r="I687" t="s">
        <v>651</v>
      </c>
      <c r="J687">
        <v>5800</v>
      </c>
      <c r="K687" s="1">
        <v>44821</v>
      </c>
      <c r="L687">
        <v>2022</v>
      </c>
      <c r="M687" t="str">
        <f>UPPER(TEXT(_2020_2022[[#This Row],[Data da Venda]],"mmm"))</f>
        <v>SET</v>
      </c>
    </row>
    <row r="688" spans="1:13" x14ac:dyDescent="0.25">
      <c r="A688" t="s">
        <v>1445</v>
      </c>
      <c r="B688">
        <v>1500</v>
      </c>
      <c r="C688">
        <v>4</v>
      </c>
      <c r="D688" t="s">
        <v>31</v>
      </c>
      <c r="E688" t="s">
        <v>645</v>
      </c>
      <c r="F688" t="s">
        <v>895</v>
      </c>
      <c r="G688" t="s">
        <v>643</v>
      </c>
      <c r="H688">
        <v>69</v>
      </c>
      <c r="I688" t="s">
        <v>647</v>
      </c>
      <c r="J688">
        <v>6000</v>
      </c>
      <c r="K688" s="1">
        <v>44762</v>
      </c>
      <c r="L688">
        <v>2022</v>
      </c>
      <c r="M688" t="str">
        <f>UPPER(TEXT(_2020_2022[[#This Row],[Data da Venda]],"mmm"))</f>
        <v>JUL</v>
      </c>
    </row>
    <row r="689" spans="1:13" x14ac:dyDescent="0.25">
      <c r="A689" t="s">
        <v>1444</v>
      </c>
      <c r="B689">
        <v>1500</v>
      </c>
      <c r="C689">
        <v>5</v>
      </c>
      <c r="D689" t="s">
        <v>38</v>
      </c>
      <c r="E689" t="s">
        <v>648</v>
      </c>
      <c r="F689" t="s">
        <v>1107</v>
      </c>
      <c r="G689" t="s">
        <v>650</v>
      </c>
      <c r="H689">
        <v>40</v>
      </c>
      <c r="I689" t="s">
        <v>644</v>
      </c>
      <c r="J689">
        <v>7500</v>
      </c>
      <c r="K689" s="1">
        <v>44766</v>
      </c>
      <c r="L689">
        <v>2022</v>
      </c>
      <c r="M689" t="str">
        <f>UPPER(TEXT(_2020_2022[[#This Row],[Data da Venda]],"mmm"))</f>
        <v>JUL</v>
      </c>
    </row>
    <row r="690" spans="1:13" x14ac:dyDescent="0.25">
      <c r="A690" t="s">
        <v>21</v>
      </c>
      <c r="B690">
        <v>2400</v>
      </c>
      <c r="C690">
        <v>2</v>
      </c>
      <c r="D690" t="s">
        <v>32</v>
      </c>
      <c r="E690" t="s">
        <v>652</v>
      </c>
      <c r="F690" t="s">
        <v>1024</v>
      </c>
      <c r="G690" t="s">
        <v>643</v>
      </c>
      <c r="H690">
        <v>76</v>
      </c>
      <c r="I690" t="s">
        <v>647</v>
      </c>
      <c r="J690">
        <v>4800</v>
      </c>
      <c r="K690" s="1">
        <v>44566</v>
      </c>
      <c r="L690">
        <v>2022</v>
      </c>
      <c r="M690" t="str">
        <f>UPPER(TEXT(_2020_2022[[#This Row],[Data da Venda]],"mmm"))</f>
        <v>JAN</v>
      </c>
    </row>
    <row r="691" spans="1:13" x14ac:dyDescent="0.25">
      <c r="A691" t="s">
        <v>1442</v>
      </c>
      <c r="B691">
        <v>1200</v>
      </c>
      <c r="C691">
        <v>2</v>
      </c>
      <c r="D691" t="s">
        <v>29</v>
      </c>
      <c r="E691" t="s">
        <v>641</v>
      </c>
      <c r="F691" t="s">
        <v>785</v>
      </c>
      <c r="G691" t="s">
        <v>643</v>
      </c>
      <c r="H691">
        <v>41</v>
      </c>
      <c r="I691" t="s">
        <v>644</v>
      </c>
      <c r="J691">
        <v>2400</v>
      </c>
      <c r="K691" s="1">
        <v>44562</v>
      </c>
      <c r="L691">
        <v>2022</v>
      </c>
      <c r="M691" t="str">
        <f>UPPER(TEXT(_2020_2022[[#This Row],[Data da Venda]],"mmm"))</f>
        <v>JAN</v>
      </c>
    </row>
    <row r="692" spans="1:13" x14ac:dyDescent="0.25">
      <c r="A692" t="s">
        <v>20</v>
      </c>
      <c r="B692">
        <v>2600</v>
      </c>
      <c r="C692">
        <v>4</v>
      </c>
      <c r="D692" t="s">
        <v>37</v>
      </c>
      <c r="E692" t="s">
        <v>645</v>
      </c>
      <c r="F692" t="s">
        <v>1108</v>
      </c>
      <c r="G692" t="s">
        <v>643</v>
      </c>
      <c r="H692">
        <v>71</v>
      </c>
      <c r="I692" t="s">
        <v>647</v>
      </c>
      <c r="J692">
        <v>10400</v>
      </c>
      <c r="K692" s="1">
        <v>44624</v>
      </c>
      <c r="L692">
        <v>2022</v>
      </c>
      <c r="M692" t="str">
        <f>UPPER(TEXT(_2020_2022[[#This Row],[Data da Venda]],"mmm"))</f>
        <v>MAR</v>
      </c>
    </row>
    <row r="693" spans="1:13" x14ac:dyDescent="0.25">
      <c r="A693" t="s">
        <v>18</v>
      </c>
      <c r="B693">
        <v>3000</v>
      </c>
      <c r="C693">
        <v>5</v>
      </c>
      <c r="D693" t="s">
        <v>33</v>
      </c>
      <c r="E693" t="s">
        <v>641</v>
      </c>
      <c r="F693" t="s">
        <v>1015</v>
      </c>
      <c r="G693" t="s">
        <v>643</v>
      </c>
      <c r="H693">
        <v>42</v>
      </c>
      <c r="I693" t="s">
        <v>644</v>
      </c>
      <c r="J693">
        <v>15000</v>
      </c>
      <c r="K693" s="1">
        <v>44744</v>
      </c>
      <c r="L693">
        <v>2022</v>
      </c>
      <c r="M693" t="str">
        <f>UPPER(TEXT(_2020_2022[[#This Row],[Data da Venda]],"mmm"))</f>
        <v>JUL</v>
      </c>
    </row>
    <row r="694" spans="1:13" x14ac:dyDescent="0.25">
      <c r="A694" t="s">
        <v>1441</v>
      </c>
      <c r="B694">
        <v>1450</v>
      </c>
      <c r="C694">
        <v>4</v>
      </c>
      <c r="D694" t="s">
        <v>35</v>
      </c>
      <c r="E694" t="s">
        <v>666</v>
      </c>
      <c r="F694" t="s">
        <v>703</v>
      </c>
      <c r="G694" t="s">
        <v>643</v>
      </c>
      <c r="H694">
        <v>33</v>
      </c>
      <c r="I694" t="s">
        <v>644</v>
      </c>
      <c r="J694">
        <v>5800</v>
      </c>
      <c r="K694" s="1">
        <v>44767</v>
      </c>
      <c r="L694">
        <v>2022</v>
      </c>
      <c r="M694" t="str">
        <f>UPPER(TEXT(_2020_2022[[#This Row],[Data da Venda]],"mmm"))</f>
        <v>JUL</v>
      </c>
    </row>
    <row r="695" spans="1:13" x14ac:dyDescent="0.25">
      <c r="A695" t="s">
        <v>16</v>
      </c>
      <c r="B695">
        <v>1400</v>
      </c>
      <c r="C695">
        <v>4</v>
      </c>
      <c r="D695" t="s">
        <v>29</v>
      </c>
      <c r="E695" t="s">
        <v>641</v>
      </c>
      <c r="F695" t="s">
        <v>957</v>
      </c>
      <c r="G695" t="s">
        <v>643</v>
      </c>
      <c r="H695">
        <v>38</v>
      </c>
      <c r="I695" t="s">
        <v>644</v>
      </c>
      <c r="J695">
        <v>5600</v>
      </c>
      <c r="K695" s="1">
        <v>44642</v>
      </c>
      <c r="L695">
        <v>2022</v>
      </c>
      <c r="M695" t="str">
        <f>UPPER(TEXT(_2020_2022[[#This Row],[Data da Venda]],"mmm"))</f>
        <v>MAR</v>
      </c>
    </row>
    <row r="696" spans="1:13" x14ac:dyDescent="0.25">
      <c r="A696" t="s">
        <v>5</v>
      </c>
      <c r="B696">
        <v>1750</v>
      </c>
      <c r="C696">
        <v>4</v>
      </c>
      <c r="D696" t="s">
        <v>37</v>
      </c>
      <c r="E696" t="s">
        <v>645</v>
      </c>
      <c r="F696" t="s">
        <v>702</v>
      </c>
      <c r="G696" t="s">
        <v>643</v>
      </c>
      <c r="H696">
        <v>56</v>
      </c>
      <c r="I696" t="s">
        <v>647</v>
      </c>
      <c r="J696">
        <v>7000</v>
      </c>
      <c r="K696" s="1">
        <v>44779</v>
      </c>
      <c r="L696">
        <v>2022</v>
      </c>
      <c r="M696" t="str">
        <f>UPPER(TEXT(_2020_2022[[#This Row],[Data da Venda]],"mmm"))</f>
        <v>AGO</v>
      </c>
    </row>
    <row r="697" spans="1:13" x14ac:dyDescent="0.25">
      <c r="A697" t="s">
        <v>18</v>
      </c>
      <c r="B697">
        <v>3000</v>
      </c>
      <c r="C697">
        <v>1</v>
      </c>
      <c r="D697" t="s">
        <v>36</v>
      </c>
      <c r="E697" t="s">
        <v>677</v>
      </c>
      <c r="F697" t="s">
        <v>825</v>
      </c>
      <c r="G697" t="s">
        <v>643</v>
      </c>
      <c r="H697">
        <v>27</v>
      </c>
      <c r="I697" t="s">
        <v>651</v>
      </c>
      <c r="J697">
        <v>3000</v>
      </c>
      <c r="K697" s="1">
        <v>44783</v>
      </c>
      <c r="L697">
        <v>2022</v>
      </c>
      <c r="M697" t="str">
        <f>UPPER(TEXT(_2020_2022[[#This Row],[Data da Venda]],"mmm"))</f>
        <v>AGO</v>
      </c>
    </row>
    <row r="698" spans="1:13" x14ac:dyDescent="0.25">
      <c r="A698" t="s">
        <v>20</v>
      </c>
      <c r="B698">
        <v>2600</v>
      </c>
      <c r="C698">
        <v>3</v>
      </c>
      <c r="D698" t="s">
        <v>39</v>
      </c>
      <c r="E698" t="s">
        <v>641</v>
      </c>
      <c r="F698" t="s">
        <v>712</v>
      </c>
      <c r="G698" t="s">
        <v>650</v>
      </c>
      <c r="H698">
        <v>45</v>
      </c>
      <c r="I698" t="s">
        <v>644</v>
      </c>
      <c r="J698">
        <v>7800</v>
      </c>
      <c r="K698" s="1">
        <v>44782</v>
      </c>
      <c r="L698">
        <v>2022</v>
      </c>
      <c r="M698" t="str">
        <f>UPPER(TEXT(_2020_2022[[#This Row],[Data da Venda]],"mmm"))</f>
        <v>AGO</v>
      </c>
    </row>
    <row r="699" spans="1:13" x14ac:dyDescent="0.25">
      <c r="A699" t="s">
        <v>7</v>
      </c>
      <c r="B699">
        <v>750</v>
      </c>
      <c r="C699">
        <v>2</v>
      </c>
      <c r="D699" t="s">
        <v>38</v>
      </c>
      <c r="E699" t="s">
        <v>648</v>
      </c>
      <c r="F699" t="s">
        <v>966</v>
      </c>
      <c r="G699" t="s">
        <v>643</v>
      </c>
      <c r="H699">
        <v>42</v>
      </c>
      <c r="I699" t="s">
        <v>644</v>
      </c>
      <c r="J699">
        <v>1500</v>
      </c>
      <c r="K699" s="1">
        <v>44745</v>
      </c>
      <c r="L699">
        <v>2022</v>
      </c>
      <c r="M699" t="str">
        <f>UPPER(TEXT(_2020_2022[[#This Row],[Data da Venda]],"mmm"))</f>
        <v>JUL</v>
      </c>
    </row>
    <row r="700" spans="1:13" x14ac:dyDescent="0.25">
      <c r="A700" t="s">
        <v>1441</v>
      </c>
      <c r="B700">
        <v>1450</v>
      </c>
      <c r="C700">
        <v>1</v>
      </c>
      <c r="D700" t="s">
        <v>34</v>
      </c>
      <c r="E700" t="s">
        <v>679</v>
      </c>
      <c r="F700" t="s">
        <v>1109</v>
      </c>
      <c r="G700" t="s">
        <v>643</v>
      </c>
      <c r="H700">
        <v>73</v>
      </c>
      <c r="I700" t="s">
        <v>647</v>
      </c>
      <c r="J700">
        <v>1450</v>
      </c>
      <c r="K700" s="1">
        <v>44580</v>
      </c>
      <c r="L700">
        <v>2022</v>
      </c>
      <c r="M700" t="str">
        <f>UPPER(TEXT(_2020_2022[[#This Row],[Data da Venda]],"mmm"))</f>
        <v>JAN</v>
      </c>
    </row>
    <row r="701" spans="1:13" x14ac:dyDescent="0.25">
      <c r="A701" t="s">
        <v>1445</v>
      </c>
      <c r="B701">
        <v>1500</v>
      </c>
      <c r="C701">
        <v>4</v>
      </c>
      <c r="D701" t="s">
        <v>29</v>
      </c>
      <c r="E701" t="s">
        <v>641</v>
      </c>
      <c r="F701" t="s">
        <v>699</v>
      </c>
      <c r="G701" t="s">
        <v>650</v>
      </c>
      <c r="H701">
        <v>29</v>
      </c>
      <c r="I701" t="s">
        <v>651</v>
      </c>
      <c r="J701">
        <v>6000</v>
      </c>
      <c r="K701" s="1">
        <v>44911</v>
      </c>
      <c r="L701">
        <v>2022</v>
      </c>
      <c r="M701" t="str">
        <f>UPPER(TEXT(_2020_2022[[#This Row],[Data da Venda]],"mmm"))</f>
        <v>DEZ</v>
      </c>
    </row>
    <row r="702" spans="1:13" x14ac:dyDescent="0.25">
      <c r="A702" t="s">
        <v>24</v>
      </c>
      <c r="B702">
        <v>2000</v>
      </c>
      <c r="C702">
        <v>5</v>
      </c>
      <c r="D702" t="s">
        <v>32</v>
      </c>
      <c r="E702" t="s">
        <v>652</v>
      </c>
      <c r="F702" t="s">
        <v>786</v>
      </c>
      <c r="G702" t="s">
        <v>643</v>
      </c>
      <c r="H702">
        <v>36</v>
      </c>
      <c r="I702" t="s">
        <v>644</v>
      </c>
      <c r="J702">
        <v>10000</v>
      </c>
      <c r="K702" s="1">
        <v>44751</v>
      </c>
      <c r="L702">
        <v>2022</v>
      </c>
      <c r="M702" t="str">
        <f>UPPER(TEXT(_2020_2022[[#This Row],[Data da Venda]],"mmm"))</f>
        <v>JUL</v>
      </c>
    </row>
    <row r="703" spans="1:13" x14ac:dyDescent="0.25">
      <c r="A703" t="s">
        <v>16</v>
      </c>
      <c r="B703">
        <v>1400</v>
      </c>
      <c r="C703">
        <v>4</v>
      </c>
      <c r="D703" t="s">
        <v>30</v>
      </c>
      <c r="E703" t="s">
        <v>645</v>
      </c>
      <c r="F703" t="s">
        <v>782</v>
      </c>
      <c r="G703" t="s">
        <v>643</v>
      </c>
      <c r="H703">
        <v>50</v>
      </c>
      <c r="I703" t="s">
        <v>644</v>
      </c>
      <c r="J703">
        <v>5600</v>
      </c>
      <c r="K703" s="1">
        <v>44574</v>
      </c>
      <c r="L703">
        <v>2022</v>
      </c>
      <c r="M703" t="str">
        <f>UPPER(TEXT(_2020_2022[[#This Row],[Data da Venda]],"mmm"))</f>
        <v>JAN</v>
      </c>
    </row>
    <row r="704" spans="1:13" x14ac:dyDescent="0.25">
      <c r="A704" t="s">
        <v>16</v>
      </c>
      <c r="B704">
        <v>1400</v>
      </c>
      <c r="C704">
        <v>2</v>
      </c>
      <c r="D704" t="s">
        <v>36</v>
      </c>
      <c r="E704" t="s">
        <v>677</v>
      </c>
      <c r="F704" t="s">
        <v>825</v>
      </c>
      <c r="G704" t="s">
        <v>643</v>
      </c>
      <c r="H704">
        <v>27</v>
      </c>
      <c r="I704" t="s">
        <v>651</v>
      </c>
      <c r="J704">
        <v>2800</v>
      </c>
      <c r="K704" s="1">
        <v>44726</v>
      </c>
      <c r="L704">
        <v>2022</v>
      </c>
      <c r="M704" t="str">
        <f>UPPER(TEXT(_2020_2022[[#This Row],[Data da Venda]],"mmm"))</f>
        <v>JUN</v>
      </c>
    </row>
    <row r="705" spans="1:13" x14ac:dyDescent="0.25">
      <c r="A705" t="s">
        <v>5</v>
      </c>
      <c r="B705">
        <v>1750</v>
      </c>
      <c r="C705">
        <v>2</v>
      </c>
      <c r="D705" t="s">
        <v>39</v>
      </c>
      <c r="E705" t="s">
        <v>641</v>
      </c>
      <c r="F705" t="s">
        <v>1110</v>
      </c>
      <c r="G705" t="s">
        <v>643</v>
      </c>
      <c r="H705">
        <v>28</v>
      </c>
      <c r="I705" t="s">
        <v>651</v>
      </c>
      <c r="J705">
        <v>3500</v>
      </c>
      <c r="K705" s="1">
        <v>44660</v>
      </c>
      <c r="L705">
        <v>2022</v>
      </c>
      <c r="M705" t="str">
        <f>UPPER(TEXT(_2020_2022[[#This Row],[Data da Venda]],"mmm"))</f>
        <v>ABR</v>
      </c>
    </row>
    <row r="706" spans="1:13" x14ac:dyDescent="0.25">
      <c r="A706" t="s">
        <v>21</v>
      </c>
      <c r="B706">
        <v>2400</v>
      </c>
      <c r="C706">
        <v>5</v>
      </c>
      <c r="D706" t="s">
        <v>37</v>
      </c>
      <c r="E706" t="s">
        <v>645</v>
      </c>
      <c r="F706" t="s">
        <v>676</v>
      </c>
      <c r="G706" t="s">
        <v>650</v>
      </c>
      <c r="H706">
        <v>60</v>
      </c>
      <c r="I706" t="s">
        <v>647</v>
      </c>
      <c r="J706">
        <v>12000</v>
      </c>
      <c r="K706" s="1">
        <v>44820</v>
      </c>
      <c r="L706">
        <v>2022</v>
      </c>
      <c r="M706" t="str">
        <f>UPPER(TEXT(_2020_2022[[#This Row],[Data da Venda]],"mmm"))</f>
        <v>SET</v>
      </c>
    </row>
    <row r="707" spans="1:13" x14ac:dyDescent="0.25">
      <c r="A707" t="s">
        <v>26</v>
      </c>
      <c r="B707">
        <v>1100</v>
      </c>
      <c r="C707">
        <v>1</v>
      </c>
      <c r="D707" t="s">
        <v>30</v>
      </c>
      <c r="E707" t="s">
        <v>645</v>
      </c>
      <c r="F707" t="s">
        <v>1111</v>
      </c>
      <c r="G707" t="s">
        <v>643</v>
      </c>
      <c r="H707">
        <v>70</v>
      </c>
      <c r="I707" t="s">
        <v>647</v>
      </c>
      <c r="J707">
        <v>1100</v>
      </c>
      <c r="K707" s="1">
        <v>44920</v>
      </c>
      <c r="L707">
        <v>2022</v>
      </c>
      <c r="M707" t="str">
        <f>UPPER(TEXT(_2020_2022[[#This Row],[Data da Venda]],"mmm"))</f>
        <v>DEZ</v>
      </c>
    </row>
    <row r="708" spans="1:13" x14ac:dyDescent="0.25">
      <c r="A708" t="s">
        <v>15</v>
      </c>
      <c r="B708">
        <v>1900</v>
      </c>
      <c r="C708">
        <v>5</v>
      </c>
      <c r="D708" t="s">
        <v>34</v>
      </c>
      <c r="E708" t="s">
        <v>679</v>
      </c>
      <c r="F708" t="s">
        <v>730</v>
      </c>
      <c r="G708" t="s">
        <v>643</v>
      </c>
      <c r="H708">
        <v>38</v>
      </c>
      <c r="I708" t="s">
        <v>644</v>
      </c>
      <c r="J708">
        <v>9500</v>
      </c>
      <c r="K708" s="1">
        <v>44855</v>
      </c>
      <c r="L708">
        <v>2022</v>
      </c>
      <c r="M708" t="str">
        <f>UPPER(TEXT(_2020_2022[[#This Row],[Data da Venda]],"mmm"))</f>
        <v>OUT</v>
      </c>
    </row>
    <row r="709" spans="1:13" x14ac:dyDescent="0.25">
      <c r="A709" t="s">
        <v>20</v>
      </c>
      <c r="B709">
        <v>2600</v>
      </c>
      <c r="C709">
        <v>2</v>
      </c>
      <c r="D709" t="s">
        <v>33</v>
      </c>
      <c r="E709" t="s">
        <v>641</v>
      </c>
      <c r="F709" t="s">
        <v>840</v>
      </c>
      <c r="G709" t="s">
        <v>650</v>
      </c>
      <c r="H709">
        <v>64</v>
      </c>
      <c r="I709" t="s">
        <v>647</v>
      </c>
      <c r="J709">
        <v>5200</v>
      </c>
      <c r="K709" s="1">
        <v>44612</v>
      </c>
      <c r="L709">
        <v>2022</v>
      </c>
      <c r="M709" t="str">
        <f>UPPER(TEXT(_2020_2022[[#This Row],[Data da Venda]],"mmm"))</f>
        <v>FEV</v>
      </c>
    </row>
    <row r="710" spans="1:13" x14ac:dyDescent="0.25">
      <c r="A710" t="s">
        <v>1443</v>
      </c>
      <c r="B710">
        <v>1550</v>
      </c>
      <c r="C710">
        <v>2</v>
      </c>
      <c r="D710" t="s">
        <v>34</v>
      </c>
      <c r="E710" t="s">
        <v>679</v>
      </c>
      <c r="F710" t="s">
        <v>903</v>
      </c>
      <c r="G710" t="s">
        <v>643</v>
      </c>
      <c r="H710">
        <v>45</v>
      </c>
      <c r="I710" t="s">
        <v>644</v>
      </c>
      <c r="J710">
        <v>3100</v>
      </c>
      <c r="K710" s="1">
        <v>44590</v>
      </c>
      <c r="L710">
        <v>2022</v>
      </c>
      <c r="M710" t="str">
        <f>UPPER(TEXT(_2020_2022[[#This Row],[Data da Venda]],"mmm"))</f>
        <v>JAN</v>
      </c>
    </row>
    <row r="711" spans="1:13" x14ac:dyDescent="0.25">
      <c r="A711" t="s">
        <v>1445</v>
      </c>
      <c r="B711">
        <v>1500</v>
      </c>
      <c r="C711">
        <v>5</v>
      </c>
      <c r="D711" t="s">
        <v>40</v>
      </c>
      <c r="E711" t="s">
        <v>657</v>
      </c>
      <c r="F711" t="s">
        <v>1010</v>
      </c>
      <c r="G711" t="s">
        <v>643</v>
      </c>
      <c r="H711">
        <v>45</v>
      </c>
      <c r="I711" t="s">
        <v>644</v>
      </c>
      <c r="J711">
        <v>7500</v>
      </c>
      <c r="K711" s="1">
        <v>44864</v>
      </c>
      <c r="L711">
        <v>2022</v>
      </c>
      <c r="M711" t="str">
        <f>UPPER(TEXT(_2020_2022[[#This Row],[Data da Venda]],"mmm"))</f>
        <v>OUT</v>
      </c>
    </row>
    <row r="712" spans="1:13" x14ac:dyDescent="0.25">
      <c r="A712" t="s">
        <v>21</v>
      </c>
      <c r="B712">
        <v>2400</v>
      </c>
      <c r="C712">
        <v>5</v>
      </c>
      <c r="D712" t="s">
        <v>40</v>
      </c>
      <c r="E712" t="s">
        <v>657</v>
      </c>
      <c r="F712" t="s">
        <v>784</v>
      </c>
      <c r="G712" t="s">
        <v>650</v>
      </c>
      <c r="H712">
        <v>41</v>
      </c>
      <c r="I712" t="s">
        <v>644</v>
      </c>
      <c r="J712">
        <v>12000</v>
      </c>
      <c r="K712" s="1">
        <v>44923</v>
      </c>
      <c r="L712">
        <v>2022</v>
      </c>
      <c r="M712" t="str">
        <f>UPPER(TEXT(_2020_2022[[#This Row],[Data da Venda]],"mmm"))</f>
        <v>DEZ</v>
      </c>
    </row>
    <row r="713" spans="1:13" x14ac:dyDescent="0.25">
      <c r="A713" t="s">
        <v>5</v>
      </c>
      <c r="B713">
        <v>1750</v>
      </c>
      <c r="C713">
        <v>4</v>
      </c>
      <c r="D713" t="s">
        <v>29</v>
      </c>
      <c r="E713" t="s">
        <v>641</v>
      </c>
      <c r="F713" t="s">
        <v>868</v>
      </c>
      <c r="G713" t="s">
        <v>643</v>
      </c>
      <c r="H713">
        <v>71</v>
      </c>
      <c r="I713" t="s">
        <v>647</v>
      </c>
      <c r="J713">
        <v>7000</v>
      </c>
      <c r="K713" s="1">
        <v>44808</v>
      </c>
      <c r="L713">
        <v>2022</v>
      </c>
      <c r="M713" t="str">
        <f>UPPER(TEXT(_2020_2022[[#This Row],[Data da Venda]],"mmm"))</f>
        <v>SET</v>
      </c>
    </row>
    <row r="714" spans="1:13" x14ac:dyDescent="0.25">
      <c r="A714" t="s">
        <v>1441</v>
      </c>
      <c r="B714">
        <v>1450</v>
      </c>
      <c r="C714">
        <v>2</v>
      </c>
      <c r="D714" t="s">
        <v>32</v>
      </c>
      <c r="E714" t="s">
        <v>652</v>
      </c>
      <c r="F714" t="s">
        <v>1112</v>
      </c>
      <c r="G714" t="s">
        <v>650</v>
      </c>
      <c r="H714">
        <v>55</v>
      </c>
      <c r="I714" t="s">
        <v>647</v>
      </c>
      <c r="J714">
        <v>2900</v>
      </c>
      <c r="K714" s="1">
        <v>44755</v>
      </c>
      <c r="L714">
        <v>2022</v>
      </c>
      <c r="M714" t="str">
        <f>UPPER(TEXT(_2020_2022[[#This Row],[Data da Venda]],"mmm"))</f>
        <v>JUL</v>
      </c>
    </row>
    <row r="715" spans="1:13" x14ac:dyDescent="0.25">
      <c r="A715" t="s">
        <v>1445</v>
      </c>
      <c r="B715">
        <v>1500</v>
      </c>
      <c r="C715">
        <v>3</v>
      </c>
      <c r="D715" t="s">
        <v>41</v>
      </c>
      <c r="E715" t="s">
        <v>681</v>
      </c>
      <c r="F715" t="s">
        <v>1039</v>
      </c>
      <c r="G715" t="s">
        <v>643</v>
      </c>
      <c r="H715">
        <v>70</v>
      </c>
      <c r="I715" t="s">
        <v>647</v>
      </c>
      <c r="J715">
        <v>4500</v>
      </c>
      <c r="K715" s="1">
        <v>44653</v>
      </c>
      <c r="L715">
        <v>2022</v>
      </c>
      <c r="M715" t="str">
        <f>UPPER(TEXT(_2020_2022[[#This Row],[Data da Venda]],"mmm"))</f>
        <v>ABR</v>
      </c>
    </row>
    <row r="716" spans="1:13" x14ac:dyDescent="0.25">
      <c r="A716" t="s">
        <v>25</v>
      </c>
      <c r="B716">
        <v>2500</v>
      </c>
      <c r="C716">
        <v>2</v>
      </c>
      <c r="D716" t="s">
        <v>31</v>
      </c>
      <c r="E716" t="s">
        <v>645</v>
      </c>
      <c r="F716" t="s">
        <v>695</v>
      </c>
      <c r="G716" t="s">
        <v>650</v>
      </c>
      <c r="H716">
        <v>73</v>
      </c>
      <c r="I716" t="s">
        <v>647</v>
      </c>
      <c r="J716">
        <v>5000</v>
      </c>
      <c r="K716" s="1">
        <v>44590</v>
      </c>
      <c r="L716">
        <v>2022</v>
      </c>
      <c r="M716" t="str">
        <f>UPPER(TEXT(_2020_2022[[#This Row],[Data da Venda]],"mmm"))</f>
        <v>JAN</v>
      </c>
    </row>
    <row r="717" spans="1:13" x14ac:dyDescent="0.25">
      <c r="A717" t="s">
        <v>1443</v>
      </c>
      <c r="B717">
        <v>1550</v>
      </c>
      <c r="C717">
        <v>4</v>
      </c>
      <c r="D717" t="s">
        <v>37</v>
      </c>
      <c r="E717" t="s">
        <v>645</v>
      </c>
      <c r="F717" t="s">
        <v>1113</v>
      </c>
      <c r="G717" t="s">
        <v>643</v>
      </c>
      <c r="H717">
        <v>70</v>
      </c>
      <c r="I717" t="s">
        <v>647</v>
      </c>
      <c r="J717">
        <v>6200</v>
      </c>
      <c r="K717" s="1">
        <v>44593</v>
      </c>
      <c r="L717">
        <v>2022</v>
      </c>
      <c r="M717" t="str">
        <f>UPPER(TEXT(_2020_2022[[#This Row],[Data da Venda]],"mmm"))</f>
        <v>FEV</v>
      </c>
    </row>
    <row r="718" spans="1:13" x14ac:dyDescent="0.25">
      <c r="A718" t="s">
        <v>1440</v>
      </c>
      <c r="B718">
        <v>700</v>
      </c>
      <c r="C718">
        <v>5</v>
      </c>
      <c r="D718" t="s">
        <v>33</v>
      </c>
      <c r="E718" t="s">
        <v>641</v>
      </c>
      <c r="F718" t="s">
        <v>754</v>
      </c>
      <c r="G718" t="s">
        <v>643</v>
      </c>
      <c r="H718">
        <v>68</v>
      </c>
      <c r="I718" t="s">
        <v>647</v>
      </c>
      <c r="J718">
        <v>3500</v>
      </c>
      <c r="K718" s="1">
        <v>44922</v>
      </c>
      <c r="L718">
        <v>2022</v>
      </c>
      <c r="M718" t="str">
        <f>UPPER(TEXT(_2020_2022[[#This Row],[Data da Venda]],"mmm"))</f>
        <v>DEZ</v>
      </c>
    </row>
    <row r="719" spans="1:13" x14ac:dyDescent="0.25">
      <c r="A719" t="s">
        <v>21</v>
      </c>
      <c r="B719">
        <v>2400</v>
      </c>
      <c r="C719">
        <v>4</v>
      </c>
      <c r="D719" t="s">
        <v>29</v>
      </c>
      <c r="E719" t="s">
        <v>641</v>
      </c>
      <c r="F719" t="s">
        <v>969</v>
      </c>
      <c r="G719" t="s">
        <v>650</v>
      </c>
      <c r="H719">
        <v>34</v>
      </c>
      <c r="I719" t="s">
        <v>644</v>
      </c>
      <c r="J719">
        <v>9600</v>
      </c>
      <c r="K719" s="1">
        <v>44595</v>
      </c>
      <c r="L719">
        <v>2022</v>
      </c>
      <c r="M719" t="str">
        <f>UPPER(TEXT(_2020_2022[[#This Row],[Data da Venda]],"mmm"))</f>
        <v>FEV</v>
      </c>
    </row>
    <row r="720" spans="1:13" x14ac:dyDescent="0.25">
      <c r="A720" t="s">
        <v>1440</v>
      </c>
      <c r="B720">
        <v>700</v>
      </c>
      <c r="C720">
        <v>2</v>
      </c>
      <c r="D720" t="s">
        <v>29</v>
      </c>
      <c r="E720" t="s">
        <v>641</v>
      </c>
      <c r="F720" t="s">
        <v>1114</v>
      </c>
      <c r="G720" t="s">
        <v>643</v>
      </c>
      <c r="H720">
        <v>63</v>
      </c>
      <c r="I720" t="s">
        <v>647</v>
      </c>
      <c r="J720">
        <v>1400</v>
      </c>
      <c r="K720" s="1">
        <v>44888</v>
      </c>
      <c r="L720">
        <v>2022</v>
      </c>
      <c r="M720" t="str">
        <f>UPPER(TEXT(_2020_2022[[#This Row],[Data da Venda]],"mmm"))</f>
        <v>NOV</v>
      </c>
    </row>
    <row r="721" spans="1:13" x14ac:dyDescent="0.25">
      <c r="A721" t="s">
        <v>5</v>
      </c>
      <c r="B721">
        <v>1750</v>
      </c>
      <c r="C721">
        <v>1</v>
      </c>
      <c r="D721" t="s">
        <v>40</v>
      </c>
      <c r="E721" t="s">
        <v>657</v>
      </c>
      <c r="F721" t="s">
        <v>1076</v>
      </c>
      <c r="G721" t="s">
        <v>650</v>
      </c>
      <c r="H721">
        <v>42</v>
      </c>
      <c r="I721" t="s">
        <v>644</v>
      </c>
      <c r="J721">
        <v>1750</v>
      </c>
      <c r="K721" s="1">
        <v>44797</v>
      </c>
      <c r="L721">
        <v>2022</v>
      </c>
      <c r="M721" t="str">
        <f>UPPER(TEXT(_2020_2022[[#This Row],[Data da Venda]],"mmm"))</f>
        <v>AGO</v>
      </c>
    </row>
    <row r="722" spans="1:13" x14ac:dyDescent="0.25">
      <c r="A722" t="s">
        <v>9</v>
      </c>
      <c r="B722">
        <v>1500</v>
      </c>
      <c r="C722">
        <v>3</v>
      </c>
      <c r="D722" t="s">
        <v>39</v>
      </c>
      <c r="E722" t="s">
        <v>641</v>
      </c>
      <c r="F722" t="s">
        <v>943</v>
      </c>
      <c r="G722" t="s">
        <v>650</v>
      </c>
      <c r="H722">
        <v>32</v>
      </c>
      <c r="I722" t="s">
        <v>644</v>
      </c>
      <c r="J722">
        <v>4500</v>
      </c>
      <c r="K722" s="1">
        <v>44632</v>
      </c>
      <c r="L722">
        <v>2022</v>
      </c>
      <c r="M722" t="str">
        <f>UPPER(TEXT(_2020_2022[[#This Row],[Data da Venda]],"mmm"))</f>
        <v>MAR</v>
      </c>
    </row>
    <row r="723" spans="1:13" x14ac:dyDescent="0.25">
      <c r="A723" t="s">
        <v>16</v>
      </c>
      <c r="B723">
        <v>1400</v>
      </c>
      <c r="C723">
        <v>4</v>
      </c>
      <c r="D723" t="s">
        <v>40</v>
      </c>
      <c r="E723" t="s">
        <v>657</v>
      </c>
      <c r="F723" t="s">
        <v>1037</v>
      </c>
      <c r="G723" t="s">
        <v>650</v>
      </c>
      <c r="H723">
        <v>36</v>
      </c>
      <c r="I723" t="s">
        <v>644</v>
      </c>
      <c r="J723">
        <v>5600</v>
      </c>
      <c r="K723" s="1">
        <v>44761</v>
      </c>
      <c r="L723">
        <v>2022</v>
      </c>
      <c r="M723" t="str">
        <f>UPPER(TEXT(_2020_2022[[#This Row],[Data da Venda]],"mmm"))</f>
        <v>JUL</v>
      </c>
    </row>
    <row r="724" spans="1:13" x14ac:dyDescent="0.25">
      <c r="A724" t="s">
        <v>24</v>
      </c>
      <c r="B724">
        <v>2000</v>
      </c>
      <c r="C724">
        <v>3</v>
      </c>
      <c r="D724" t="s">
        <v>40</v>
      </c>
      <c r="E724" t="s">
        <v>657</v>
      </c>
      <c r="F724" t="s">
        <v>876</v>
      </c>
      <c r="G724" t="s">
        <v>650</v>
      </c>
      <c r="H724">
        <v>28</v>
      </c>
      <c r="I724" t="s">
        <v>651</v>
      </c>
      <c r="J724">
        <v>6000</v>
      </c>
      <c r="K724" s="1">
        <v>44704</v>
      </c>
      <c r="L724">
        <v>2022</v>
      </c>
      <c r="M724" t="str">
        <f>UPPER(TEXT(_2020_2022[[#This Row],[Data da Venda]],"mmm"))</f>
        <v>MAI</v>
      </c>
    </row>
    <row r="725" spans="1:13" x14ac:dyDescent="0.25">
      <c r="A725" t="s">
        <v>25</v>
      </c>
      <c r="B725">
        <v>2500</v>
      </c>
      <c r="C725">
        <v>5</v>
      </c>
      <c r="D725" t="s">
        <v>32</v>
      </c>
      <c r="E725" t="s">
        <v>652</v>
      </c>
      <c r="F725" t="s">
        <v>1115</v>
      </c>
      <c r="G725" t="s">
        <v>650</v>
      </c>
      <c r="H725">
        <v>35</v>
      </c>
      <c r="I725" t="s">
        <v>644</v>
      </c>
      <c r="J725">
        <v>12500</v>
      </c>
      <c r="K725" s="1">
        <v>44618</v>
      </c>
      <c r="L725">
        <v>2022</v>
      </c>
      <c r="M725" t="str">
        <f>UPPER(TEXT(_2020_2022[[#This Row],[Data da Venda]],"mmm"))</f>
        <v>FEV</v>
      </c>
    </row>
    <row r="726" spans="1:13" x14ac:dyDescent="0.25">
      <c r="A726" t="s">
        <v>14</v>
      </c>
      <c r="B726">
        <v>2000</v>
      </c>
      <c r="C726">
        <v>4</v>
      </c>
      <c r="D726" t="s">
        <v>29</v>
      </c>
      <c r="E726" t="s">
        <v>641</v>
      </c>
      <c r="F726" t="s">
        <v>757</v>
      </c>
      <c r="G726" t="s">
        <v>643</v>
      </c>
      <c r="H726">
        <v>30</v>
      </c>
      <c r="I726" t="s">
        <v>644</v>
      </c>
      <c r="J726">
        <v>8000</v>
      </c>
      <c r="K726" s="1">
        <v>44902</v>
      </c>
      <c r="L726">
        <v>2022</v>
      </c>
      <c r="M726" t="str">
        <f>UPPER(TEXT(_2020_2022[[#This Row],[Data da Venda]],"mmm"))</f>
        <v>DEZ</v>
      </c>
    </row>
    <row r="727" spans="1:13" x14ac:dyDescent="0.25">
      <c r="A727" t="s">
        <v>25</v>
      </c>
      <c r="B727">
        <v>2500</v>
      </c>
      <c r="C727">
        <v>5</v>
      </c>
      <c r="D727" t="s">
        <v>29</v>
      </c>
      <c r="E727" t="s">
        <v>641</v>
      </c>
      <c r="F727" t="s">
        <v>969</v>
      </c>
      <c r="G727" t="s">
        <v>650</v>
      </c>
      <c r="H727">
        <v>34</v>
      </c>
      <c r="I727" t="s">
        <v>644</v>
      </c>
      <c r="J727">
        <v>12500</v>
      </c>
      <c r="K727" s="1">
        <v>44874</v>
      </c>
      <c r="L727">
        <v>2022</v>
      </c>
      <c r="M727" t="str">
        <f>UPPER(TEXT(_2020_2022[[#This Row],[Data da Venda]],"mmm"))</f>
        <v>NOV</v>
      </c>
    </row>
    <row r="728" spans="1:13" x14ac:dyDescent="0.25">
      <c r="A728" t="s">
        <v>16</v>
      </c>
      <c r="B728">
        <v>1400</v>
      </c>
      <c r="C728">
        <v>4</v>
      </c>
      <c r="D728" t="s">
        <v>37</v>
      </c>
      <c r="E728" t="s">
        <v>645</v>
      </c>
      <c r="F728" t="s">
        <v>1116</v>
      </c>
      <c r="G728" t="s">
        <v>643</v>
      </c>
      <c r="H728">
        <v>34</v>
      </c>
      <c r="I728" t="s">
        <v>644</v>
      </c>
      <c r="J728">
        <v>5600</v>
      </c>
      <c r="K728" s="1">
        <v>44813</v>
      </c>
      <c r="L728">
        <v>2022</v>
      </c>
      <c r="M728" t="str">
        <f>UPPER(TEXT(_2020_2022[[#This Row],[Data da Venda]],"mmm"))</f>
        <v>SET</v>
      </c>
    </row>
    <row r="729" spans="1:13" x14ac:dyDescent="0.25">
      <c r="A729" t="s">
        <v>26</v>
      </c>
      <c r="B729">
        <v>1100</v>
      </c>
      <c r="C729">
        <v>2</v>
      </c>
      <c r="D729" t="s">
        <v>35</v>
      </c>
      <c r="E729" t="s">
        <v>666</v>
      </c>
      <c r="F729" t="s">
        <v>834</v>
      </c>
      <c r="G729" t="s">
        <v>643</v>
      </c>
      <c r="H729">
        <v>55</v>
      </c>
      <c r="I729" t="s">
        <v>647</v>
      </c>
      <c r="J729">
        <v>2200</v>
      </c>
      <c r="K729" s="1">
        <v>44599</v>
      </c>
      <c r="L729">
        <v>2022</v>
      </c>
      <c r="M729" t="str">
        <f>UPPER(TEXT(_2020_2022[[#This Row],[Data da Venda]],"mmm"))</f>
        <v>FEV</v>
      </c>
    </row>
    <row r="730" spans="1:13" x14ac:dyDescent="0.25">
      <c r="A730" t="s">
        <v>22</v>
      </c>
      <c r="B730">
        <v>5200</v>
      </c>
      <c r="C730">
        <v>3</v>
      </c>
      <c r="D730" t="s">
        <v>35</v>
      </c>
      <c r="E730" t="s">
        <v>666</v>
      </c>
      <c r="F730" t="s">
        <v>999</v>
      </c>
      <c r="G730" t="s">
        <v>643</v>
      </c>
      <c r="H730">
        <v>70</v>
      </c>
      <c r="I730" t="s">
        <v>647</v>
      </c>
      <c r="J730">
        <v>15600</v>
      </c>
      <c r="K730" s="1">
        <v>44596</v>
      </c>
      <c r="L730">
        <v>2022</v>
      </c>
      <c r="M730" t="str">
        <f>UPPER(TEXT(_2020_2022[[#This Row],[Data da Venda]],"mmm"))</f>
        <v>FEV</v>
      </c>
    </row>
    <row r="731" spans="1:13" x14ac:dyDescent="0.25">
      <c r="A731" t="s">
        <v>1442</v>
      </c>
      <c r="B731">
        <v>1200</v>
      </c>
      <c r="C731">
        <v>5</v>
      </c>
      <c r="D731" t="s">
        <v>38</v>
      </c>
      <c r="E731" t="s">
        <v>648</v>
      </c>
      <c r="F731" t="s">
        <v>847</v>
      </c>
      <c r="G731" t="s">
        <v>643</v>
      </c>
      <c r="H731">
        <v>37</v>
      </c>
      <c r="I731" t="s">
        <v>644</v>
      </c>
      <c r="J731">
        <v>6000</v>
      </c>
      <c r="K731" s="1">
        <v>44676</v>
      </c>
      <c r="L731">
        <v>2022</v>
      </c>
      <c r="M731" t="str">
        <f>UPPER(TEXT(_2020_2022[[#This Row],[Data da Venda]],"mmm"))</f>
        <v>ABR</v>
      </c>
    </row>
    <row r="732" spans="1:13" x14ac:dyDescent="0.25">
      <c r="A732" t="s">
        <v>5</v>
      </c>
      <c r="B732">
        <v>1750</v>
      </c>
      <c r="C732">
        <v>3</v>
      </c>
      <c r="D732" t="s">
        <v>29</v>
      </c>
      <c r="E732" t="s">
        <v>641</v>
      </c>
      <c r="F732" t="s">
        <v>888</v>
      </c>
      <c r="G732" t="s">
        <v>650</v>
      </c>
      <c r="H732">
        <v>60</v>
      </c>
      <c r="I732" t="s">
        <v>647</v>
      </c>
      <c r="J732">
        <v>5250</v>
      </c>
      <c r="K732" s="1">
        <v>44646</v>
      </c>
      <c r="L732">
        <v>2022</v>
      </c>
      <c r="M732" t="str">
        <f>UPPER(TEXT(_2020_2022[[#This Row],[Data da Venda]],"mmm"))</f>
        <v>MAR</v>
      </c>
    </row>
    <row r="733" spans="1:13" x14ac:dyDescent="0.25">
      <c r="A733" t="s">
        <v>15</v>
      </c>
      <c r="B733">
        <v>1900</v>
      </c>
      <c r="C733">
        <v>2</v>
      </c>
      <c r="D733" t="s">
        <v>37</v>
      </c>
      <c r="E733" t="s">
        <v>645</v>
      </c>
      <c r="F733" t="s">
        <v>694</v>
      </c>
      <c r="G733" t="s">
        <v>643</v>
      </c>
      <c r="H733">
        <v>44</v>
      </c>
      <c r="I733" t="s">
        <v>644</v>
      </c>
      <c r="J733">
        <v>3800</v>
      </c>
      <c r="K733" s="1">
        <v>44613</v>
      </c>
      <c r="L733">
        <v>2022</v>
      </c>
      <c r="M733" t="str">
        <f>UPPER(TEXT(_2020_2022[[#This Row],[Data da Venda]],"mmm"))</f>
        <v>FEV</v>
      </c>
    </row>
    <row r="734" spans="1:13" x14ac:dyDescent="0.25">
      <c r="A734" t="s">
        <v>20</v>
      </c>
      <c r="B734">
        <v>2600</v>
      </c>
      <c r="C734">
        <v>1</v>
      </c>
      <c r="D734" t="s">
        <v>36</v>
      </c>
      <c r="E734" t="s">
        <v>677</v>
      </c>
      <c r="F734" t="s">
        <v>936</v>
      </c>
      <c r="G734" t="s">
        <v>643</v>
      </c>
      <c r="H734">
        <v>35</v>
      </c>
      <c r="I734" t="s">
        <v>644</v>
      </c>
      <c r="J734">
        <v>2600</v>
      </c>
      <c r="K734" s="1">
        <v>44830</v>
      </c>
      <c r="L734">
        <v>2022</v>
      </c>
      <c r="M734" t="str">
        <f>UPPER(TEXT(_2020_2022[[#This Row],[Data da Venda]],"mmm"))</f>
        <v>SET</v>
      </c>
    </row>
    <row r="735" spans="1:13" x14ac:dyDescent="0.25">
      <c r="A735" t="s">
        <v>28</v>
      </c>
      <c r="B735">
        <v>1400</v>
      </c>
      <c r="C735">
        <v>4</v>
      </c>
      <c r="D735" t="s">
        <v>34</v>
      </c>
      <c r="E735" t="s">
        <v>679</v>
      </c>
      <c r="F735" t="s">
        <v>833</v>
      </c>
      <c r="G735" t="s">
        <v>643</v>
      </c>
      <c r="H735">
        <v>71</v>
      </c>
      <c r="I735" t="s">
        <v>647</v>
      </c>
      <c r="J735">
        <v>5600</v>
      </c>
      <c r="K735" s="1">
        <v>44919</v>
      </c>
      <c r="L735">
        <v>2022</v>
      </c>
      <c r="M735" t="str">
        <f>UPPER(TEXT(_2020_2022[[#This Row],[Data da Venda]],"mmm"))</f>
        <v>DEZ</v>
      </c>
    </row>
    <row r="736" spans="1:13" x14ac:dyDescent="0.25">
      <c r="A736" t="s">
        <v>21</v>
      </c>
      <c r="B736">
        <v>2400</v>
      </c>
      <c r="C736">
        <v>4</v>
      </c>
      <c r="D736" t="s">
        <v>33</v>
      </c>
      <c r="E736" t="s">
        <v>641</v>
      </c>
      <c r="F736" t="s">
        <v>854</v>
      </c>
      <c r="G736" t="s">
        <v>643</v>
      </c>
      <c r="H736">
        <v>46</v>
      </c>
      <c r="I736" t="s">
        <v>644</v>
      </c>
      <c r="J736">
        <v>9600</v>
      </c>
      <c r="K736" s="1">
        <v>44757</v>
      </c>
      <c r="L736">
        <v>2022</v>
      </c>
      <c r="M736" t="str">
        <f>UPPER(TEXT(_2020_2022[[#This Row],[Data da Venda]],"mmm"))</f>
        <v>JUL</v>
      </c>
    </row>
    <row r="737" spans="1:13" x14ac:dyDescent="0.25">
      <c r="A737" t="s">
        <v>7</v>
      </c>
      <c r="B737">
        <v>750</v>
      </c>
      <c r="C737">
        <v>1</v>
      </c>
      <c r="D737" t="s">
        <v>38</v>
      </c>
      <c r="E737" t="s">
        <v>648</v>
      </c>
      <c r="F737" t="s">
        <v>717</v>
      </c>
      <c r="G737" t="s">
        <v>643</v>
      </c>
      <c r="H737">
        <v>64</v>
      </c>
      <c r="I737" t="s">
        <v>647</v>
      </c>
      <c r="J737">
        <v>750</v>
      </c>
      <c r="K737" s="1">
        <v>44711</v>
      </c>
      <c r="L737">
        <v>2022</v>
      </c>
      <c r="M737" t="str">
        <f>UPPER(TEXT(_2020_2022[[#This Row],[Data da Venda]],"mmm"))</f>
        <v>MAI</v>
      </c>
    </row>
    <row r="738" spans="1:13" x14ac:dyDescent="0.25">
      <c r="A738" t="s">
        <v>25</v>
      </c>
      <c r="B738">
        <v>2500</v>
      </c>
      <c r="C738">
        <v>1</v>
      </c>
      <c r="D738" t="s">
        <v>30</v>
      </c>
      <c r="E738" t="s">
        <v>645</v>
      </c>
      <c r="F738" t="s">
        <v>1117</v>
      </c>
      <c r="G738" t="s">
        <v>650</v>
      </c>
      <c r="H738">
        <v>54</v>
      </c>
      <c r="I738" t="s">
        <v>647</v>
      </c>
      <c r="J738">
        <v>2500</v>
      </c>
      <c r="K738" s="1">
        <v>44818</v>
      </c>
      <c r="L738">
        <v>2022</v>
      </c>
      <c r="M738" t="str">
        <f>UPPER(TEXT(_2020_2022[[#This Row],[Data da Venda]],"mmm"))</f>
        <v>SET</v>
      </c>
    </row>
    <row r="739" spans="1:13" x14ac:dyDescent="0.25">
      <c r="A739" t="s">
        <v>25</v>
      </c>
      <c r="B739">
        <v>2500</v>
      </c>
      <c r="C739">
        <v>1</v>
      </c>
      <c r="D739" t="s">
        <v>31</v>
      </c>
      <c r="E739" t="s">
        <v>645</v>
      </c>
      <c r="F739" t="s">
        <v>776</v>
      </c>
      <c r="G739" t="s">
        <v>643</v>
      </c>
      <c r="H739">
        <v>29</v>
      </c>
      <c r="I739" t="s">
        <v>651</v>
      </c>
      <c r="J739">
        <v>2500</v>
      </c>
      <c r="K739" s="1">
        <v>44582</v>
      </c>
      <c r="L739">
        <v>2022</v>
      </c>
      <c r="M739" t="str">
        <f>UPPER(TEXT(_2020_2022[[#This Row],[Data da Venda]],"mmm"))</f>
        <v>JAN</v>
      </c>
    </row>
    <row r="740" spans="1:13" x14ac:dyDescent="0.25">
      <c r="A740" t="s">
        <v>21</v>
      </c>
      <c r="B740">
        <v>2400</v>
      </c>
      <c r="C740">
        <v>4</v>
      </c>
      <c r="D740" t="s">
        <v>34</v>
      </c>
      <c r="E740" t="s">
        <v>679</v>
      </c>
      <c r="F740" t="s">
        <v>1096</v>
      </c>
      <c r="G740" t="s">
        <v>643</v>
      </c>
      <c r="H740">
        <v>26</v>
      </c>
      <c r="I740" t="s">
        <v>651</v>
      </c>
      <c r="J740">
        <v>9600</v>
      </c>
      <c r="K740" s="1">
        <v>44687</v>
      </c>
      <c r="L740">
        <v>2022</v>
      </c>
      <c r="M740" t="str">
        <f>UPPER(TEXT(_2020_2022[[#This Row],[Data da Venda]],"mmm"))</f>
        <v>MAI</v>
      </c>
    </row>
    <row r="741" spans="1:13" x14ac:dyDescent="0.25">
      <c r="A741" t="s">
        <v>14</v>
      </c>
      <c r="B741">
        <v>2000</v>
      </c>
      <c r="C741">
        <v>4</v>
      </c>
      <c r="D741" t="s">
        <v>30</v>
      </c>
      <c r="E741" t="s">
        <v>645</v>
      </c>
      <c r="F741" t="s">
        <v>1038</v>
      </c>
      <c r="G741" t="s">
        <v>643</v>
      </c>
      <c r="H741">
        <v>37</v>
      </c>
      <c r="I741" t="s">
        <v>644</v>
      </c>
      <c r="J741">
        <v>8000</v>
      </c>
      <c r="K741" s="1">
        <v>44728</v>
      </c>
      <c r="L741">
        <v>2022</v>
      </c>
      <c r="M741" t="str">
        <f>UPPER(TEXT(_2020_2022[[#This Row],[Data da Venda]],"mmm"))</f>
        <v>JUN</v>
      </c>
    </row>
    <row r="742" spans="1:13" x14ac:dyDescent="0.25">
      <c r="A742" t="s">
        <v>5</v>
      </c>
      <c r="B742">
        <v>1750</v>
      </c>
      <c r="C742">
        <v>4</v>
      </c>
      <c r="D742" t="s">
        <v>30</v>
      </c>
      <c r="E742" t="s">
        <v>645</v>
      </c>
      <c r="F742" t="s">
        <v>1072</v>
      </c>
      <c r="G742" t="s">
        <v>643</v>
      </c>
      <c r="H742">
        <v>66</v>
      </c>
      <c r="I742" t="s">
        <v>647</v>
      </c>
      <c r="J742">
        <v>7000</v>
      </c>
      <c r="K742" s="1">
        <v>44741</v>
      </c>
      <c r="L742">
        <v>2022</v>
      </c>
      <c r="M742" t="str">
        <f>UPPER(TEXT(_2020_2022[[#This Row],[Data da Venda]],"mmm"))</f>
        <v>JUN</v>
      </c>
    </row>
    <row r="743" spans="1:13" x14ac:dyDescent="0.25">
      <c r="A743" t="s">
        <v>1442</v>
      </c>
      <c r="B743">
        <v>1200</v>
      </c>
      <c r="C743">
        <v>5</v>
      </c>
      <c r="D743" t="s">
        <v>34</v>
      </c>
      <c r="E743" t="s">
        <v>679</v>
      </c>
      <c r="F743" t="s">
        <v>945</v>
      </c>
      <c r="G743" t="s">
        <v>643</v>
      </c>
      <c r="H743">
        <v>51</v>
      </c>
      <c r="I743" t="s">
        <v>647</v>
      </c>
      <c r="J743">
        <v>6000</v>
      </c>
      <c r="K743" s="1">
        <v>44897</v>
      </c>
      <c r="L743">
        <v>2022</v>
      </c>
      <c r="M743" t="str">
        <f>UPPER(TEXT(_2020_2022[[#This Row],[Data da Venda]],"mmm"))</f>
        <v>DEZ</v>
      </c>
    </row>
    <row r="744" spans="1:13" x14ac:dyDescent="0.25">
      <c r="A744" t="s">
        <v>1445</v>
      </c>
      <c r="B744">
        <v>1500</v>
      </c>
      <c r="C744">
        <v>2</v>
      </c>
      <c r="D744" t="s">
        <v>35</v>
      </c>
      <c r="E744" t="s">
        <v>666</v>
      </c>
      <c r="F744" t="s">
        <v>1118</v>
      </c>
      <c r="G744" t="s">
        <v>643</v>
      </c>
      <c r="H744">
        <v>56</v>
      </c>
      <c r="I744" t="s">
        <v>647</v>
      </c>
      <c r="J744">
        <v>3000</v>
      </c>
      <c r="K744" s="1">
        <v>44915</v>
      </c>
      <c r="L744">
        <v>2022</v>
      </c>
      <c r="M744" t="str">
        <f>UPPER(TEXT(_2020_2022[[#This Row],[Data da Venda]],"mmm"))</f>
        <v>DEZ</v>
      </c>
    </row>
    <row r="745" spans="1:13" x14ac:dyDescent="0.25">
      <c r="A745" t="s">
        <v>16</v>
      </c>
      <c r="B745">
        <v>1400</v>
      </c>
      <c r="C745">
        <v>2</v>
      </c>
      <c r="D745" t="s">
        <v>36</v>
      </c>
      <c r="E745" t="s">
        <v>677</v>
      </c>
      <c r="F745" t="s">
        <v>886</v>
      </c>
      <c r="G745" t="s">
        <v>650</v>
      </c>
      <c r="H745">
        <v>27</v>
      </c>
      <c r="I745" t="s">
        <v>651</v>
      </c>
      <c r="J745">
        <v>2800</v>
      </c>
      <c r="K745" s="1">
        <v>44768</v>
      </c>
      <c r="L745">
        <v>2022</v>
      </c>
      <c r="M745" t="str">
        <f>UPPER(TEXT(_2020_2022[[#This Row],[Data da Venda]],"mmm"))</f>
        <v>JUL</v>
      </c>
    </row>
    <row r="746" spans="1:13" x14ac:dyDescent="0.25">
      <c r="A746" t="s">
        <v>7</v>
      </c>
      <c r="B746">
        <v>750</v>
      </c>
      <c r="C746">
        <v>2</v>
      </c>
      <c r="D746" t="s">
        <v>30</v>
      </c>
      <c r="E746" t="s">
        <v>645</v>
      </c>
      <c r="F746" t="s">
        <v>765</v>
      </c>
      <c r="G746" t="s">
        <v>650</v>
      </c>
      <c r="H746">
        <v>73</v>
      </c>
      <c r="I746" t="s">
        <v>647</v>
      </c>
      <c r="J746">
        <v>1500</v>
      </c>
      <c r="K746" s="1">
        <v>44625</v>
      </c>
      <c r="L746">
        <v>2022</v>
      </c>
      <c r="M746" t="str">
        <f>UPPER(TEXT(_2020_2022[[#This Row],[Data da Venda]],"mmm"))</f>
        <v>MAR</v>
      </c>
    </row>
    <row r="747" spans="1:13" x14ac:dyDescent="0.25">
      <c r="A747" t="s">
        <v>15</v>
      </c>
      <c r="B747">
        <v>1900</v>
      </c>
      <c r="C747">
        <v>1</v>
      </c>
      <c r="D747" t="s">
        <v>36</v>
      </c>
      <c r="E747" t="s">
        <v>677</v>
      </c>
      <c r="F747" t="s">
        <v>1119</v>
      </c>
      <c r="G747" t="s">
        <v>643</v>
      </c>
      <c r="H747">
        <v>72</v>
      </c>
      <c r="I747" t="s">
        <v>647</v>
      </c>
      <c r="J747">
        <v>1900</v>
      </c>
      <c r="K747" s="1">
        <v>44837</v>
      </c>
      <c r="L747">
        <v>2022</v>
      </c>
      <c r="M747" t="str">
        <f>UPPER(TEXT(_2020_2022[[#This Row],[Data da Venda]],"mmm"))</f>
        <v>OUT</v>
      </c>
    </row>
    <row r="748" spans="1:13" x14ac:dyDescent="0.25">
      <c r="A748" t="s">
        <v>1444</v>
      </c>
      <c r="B748">
        <v>1500</v>
      </c>
      <c r="C748">
        <v>4</v>
      </c>
      <c r="D748" t="s">
        <v>39</v>
      </c>
      <c r="E748" t="s">
        <v>641</v>
      </c>
      <c r="F748" t="s">
        <v>1018</v>
      </c>
      <c r="G748" t="s">
        <v>650</v>
      </c>
      <c r="H748">
        <v>75</v>
      </c>
      <c r="I748" t="s">
        <v>647</v>
      </c>
      <c r="J748">
        <v>6000</v>
      </c>
      <c r="K748" s="1">
        <v>44783</v>
      </c>
      <c r="L748">
        <v>2022</v>
      </c>
      <c r="M748" t="str">
        <f>UPPER(TEXT(_2020_2022[[#This Row],[Data da Venda]],"mmm"))</f>
        <v>AGO</v>
      </c>
    </row>
    <row r="749" spans="1:13" x14ac:dyDescent="0.25">
      <c r="A749" t="s">
        <v>13</v>
      </c>
      <c r="B749">
        <v>2300</v>
      </c>
      <c r="C749">
        <v>1</v>
      </c>
      <c r="D749" t="s">
        <v>29</v>
      </c>
      <c r="E749" t="s">
        <v>641</v>
      </c>
      <c r="F749" t="s">
        <v>1120</v>
      </c>
      <c r="G749" t="s">
        <v>650</v>
      </c>
      <c r="H749">
        <v>56</v>
      </c>
      <c r="I749" t="s">
        <v>647</v>
      </c>
      <c r="J749">
        <v>2300</v>
      </c>
      <c r="K749" s="1">
        <v>44578</v>
      </c>
      <c r="L749">
        <v>2022</v>
      </c>
      <c r="M749" t="str">
        <f>UPPER(TEXT(_2020_2022[[#This Row],[Data da Venda]],"mmm"))</f>
        <v>JAN</v>
      </c>
    </row>
    <row r="750" spans="1:13" x14ac:dyDescent="0.25">
      <c r="A750" t="s">
        <v>12</v>
      </c>
      <c r="B750">
        <v>6500</v>
      </c>
      <c r="C750">
        <v>1</v>
      </c>
      <c r="D750" t="s">
        <v>35</v>
      </c>
      <c r="E750" t="s">
        <v>666</v>
      </c>
      <c r="F750" t="s">
        <v>961</v>
      </c>
      <c r="G750" t="s">
        <v>650</v>
      </c>
      <c r="H750">
        <v>25</v>
      </c>
      <c r="I750" t="s">
        <v>651</v>
      </c>
      <c r="J750">
        <v>6500</v>
      </c>
      <c r="K750" s="1">
        <v>44802</v>
      </c>
      <c r="L750">
        <v>2022</v>
      </c>
      <c r="M750" t="str">
        <f>UPPER(TEXT(_2020_2022[[#This Row],[Data da Venda]],"mmm"))</f>
        <v>AGO</v>
      </c>
    </row>
    <row r="751" spans="1:13" x14ac:dyDescent="0.25">
      <c r="A751" t="s">
        <v>1443</v>
      </c>
      <c r="B751">
        <v>1550</v>
      </c>
      <c r="C751">
        <v>4</v>
      </c>
      <c r="D751" t="s">
        <v>41</v>
      </c>
      <c r="E751" t="s">
        <v>681</v>
      </c>
      <c r="F751" t="s">
        <v>1121</v>
      </c>
      <c r="G751" t="s">
        <v>650</v>
      </c>
      <c r="H751">
        <v>31</v>
      </c>
      <c r="I751" t="s">
        <v>644</v>
      </c>
      <c r="J751">
        <v>6200</v>
      </c>
      <c r="K751" s="1">
        <v>44568</v>
      </c>
      <c r="L751">
        <v>2022</v>
      </c>
      <c r="M751" t="str">
        <f>UPPER(TEXT(_2020_2022[[#This Row],[Data da Venda]],"mmm"))</f>
        <v>JAN</v>
      </c>
    </row>
    <row r="752" spans="1:13" x14ac:dyDescent="0.25">
      <c r="A752" t="s">
        <v>11</v>
      </c>
      <c r="B752">
        <v>4500</v>
      </c>
      <c r="C752">
        <v>1</v>
      </c>
      <c r="D752" t="s">
        <v>29</v>
      </c>
      <c r="E752" t="s">
        <v>641</v>
      </c>
      <c r="F752" t="s">
        <v>734</v>
      </c>
      <c r="G752" t="s">
        <v>643</v>
      </c>
      <c r="H752">
        <v>52</v>
      </c>
      <c r="I752" t="s">
        <v>647</v>
      </c>
      <c r="J752">
        <v>4500</v>
      </c>
      <c r="K752" s="1">
        <v>44588</v>
      </c>
      <c r="L752">
        <v>2022</v>
      </c>
      <c r="M752" t="str">
        <f>UPPER(TEXT(_2020_2022[[#This Row],[Data da Venda]],"mmm"))</f>
        <v>JAN</v>
      </c>
    </row>
    <row r="753" spans="1:13" x14ac:dyDescent="0.25">
      <c r="A753" t="s">
        <v>13</v>
      </c>
      <c r="B753">
        <v>2300</v>
      </c>
      <c r="C753">
        <v>4</v>
      </c>
      <c r="D753" t="s">
        <v>38</v>
      </c>
      <c r="E753" t="s">
        <v>648</v>
      </c>
      <c r="F753" t="s">
        <v>664</v>
      </c>
      <c r="G753" t="s">
        <v>650</v>
      </c>
      <c r="H753">
        <v>38</v>
      </c>
      <c r="I753" t="s">
        <v>644</v>
      </c>
      <c r="J753">
        <v>9200</v>
      </c>
      <c r="K753" s="1">
        <v>44687</v>
      </c>
      <c r="L753">
        <v>2022</v>
      </c>
      <c r="M753" t="str">
        <f>UPPER(TEXT(_2020_2022[[#This Row],[Data da Venda]],"mmm"))</f>
        <v>MAI</v>
      </c>
    </row>
    <row r="754" spans="1:13" x14ac:dyDescent="0.25">
      <c r="A754" t="s">
        <v>8</v>
      </c>
      <c r="B754">
        <v>5500</v>
      </c>
      <c r="C754">
        <v>1</v>
      </c>
      <c r="D754" t="s">
        <v>34</v>
      </c>
      <c r="E754" t="s">
        <v>679</v>
      </c>
      <c r="F754" t="s">
        <v>1122</v>
      </c>
      <c r="G754" t="s">
        <v>643</v>
      </c>
      <c r="H754">
        <v>40</v>
      </c>
      <c r="I754" t="s">
        <v>644</v>
      </c>
      <c r="J754">
        <v>5500</v>
      </c>
      <c r="K754" s="1">
        <v>44728</v>
      </c>
      <c r="L754">
        <v>2022</v>
      </c>
      <c r="M754" t="str">
        <f>UPPER(TEXT(_2020_2022[[#This Row],[Data da Venda]],"mmm"))</f>
        <v>JUN</v>
      </c>
    </row>
    <row r="755" spans="1:13" x14ac:dyDescent="0.25">
      <c r="A755" t="s">
        <v>9</v>
      </c>
      <c r="B755">
        <v>1500</v>
      </c>
      <c r="C755">
        <v>5</v>
      </c>
      <c r="D755" t="s">
        <v>32</v>
      </c>
      <c r="E755" t="s">
        <v>652</v>
      </c>
      <c r="F755" t="s">
        <v>897</v>
      </c>
      <c r="G755" t="s">
        <v>643</v>
      </c>
      <c r="H755">
        <v>39</v>
      </c>
      <c r="I755" t="s">
        <v>644</v>
      </c>
      <c r="J755">
        <v>7500</v>
      </c>
      <c r="K755" s="1">
        <v>44851</v>
      </c>
      <c r="L755">
        <v>2022</v>
      </c>
      <c r="M755" t="str">
        <f>UPPER(TEXT(_2020_2022[[#This Row],[Data da Venda]],"mmm"))</f>
        <v>OUT</v>
      </c>
    </row>
    <row r="756" spans="1:13" x14ac:dyDescent="0.25">
      <c r="A756" t="s">
        <v>1442</v>
      </c>
      <c r="B756">
        <v>1200</v>
      </c>
      <c r="C756">
        <v>3</v>
      </c>
      <c r="D756" t="s">
        <v>34</v>
      </c>
      <c r="E756" t="s">
        <v>679</v>
      </c>
      <c r="F756" t="s">
        <v>774</v>
      </c>
      <c r="G756" t="s">
        <v>643</v>
      </c>
      <c r="H756">
        <v>45</v>
      </c>
      <c r="I756" t="s">
        <v>644</v>
      </c>
      <c r="J756">
        <v>3600</v>
      </c>
      <c r="K756" s="1">
        <v>44680</v>
      </c>
      <c r="L756">
        <v>2022</v>
      </c>
      <c r="M756" t="str">
        <f>UPPER(TEXT(_2020_2022[[#This Row],[Data da Venda]],"mmm"))</f>
        <v>ABR</v>
      </c>
    </row>
    <row r="757" spans="1:13" x14ac:dyDescent="0.25">
      <c r="A757" t="s">
        <v>18</v>
      </c>
      <c r="B757">
        <v>3000</v>
      </c>
      <c r="C757">
        <v>5</v>
      </c>
      <c r="D757" t="s">
        <v>33</v>
      </c>
      <c r="E757" t="s">
        <v>641</v>
      </c>
      <c r="F757" t="s">
        <v>1123</v>
      </c>
      <c r="G757" t="s">
        <v>650</v>
      </c>
      <c r="H757">
        <v>41</v>
      </c>
      <c r="I757" t="s">
        <v>644</v>
      </c>
      <c r="J757">
        <v>15000</v>
      </c>
      <c r="K757" s="1">
        <v>44727</v>
      </c>
      <c r="L757">
        <v>2022</v>
      </c>
      <c r="M757" t="str">
        <f>UPPER(TEXT(_2020_2022[[#This Row],[Data da Venda]],"mmm"))</f>
        <v>JUN</v>
      </c>
    </row>
    <row r="758" spans="1:13" x14ac:dyDescent="0.25">
      <c r="A758" t="s">
        <v>13</v>
      </c>
      <c r="B758">
        <v>2300</v>
      </c>
      <c r="C758">
        <v>5</v>
      </c>
      <c r="D758" t="s">
        <v>36</v>
      </c>
      <c r="E758" t="s">
        <v>677</v>
      </c>
      <c r="F758" t="s">
        <v>756</v>
      </c>
      <c r="G758" t="s">
        <v>643</v>
      </c>
      <c r="H758">
        <v>59</v>
      </c>
      <c r="I758" t="s">
        <v>647</v>
      </c>
      <c r="J758">
        <v>11500</v>
      </c>
      <c r="K758" s="1">
        <v>44805</v>
      </c>
      <c r="L758">
        <v>2022</v>
      </c>
      <c r="M758" t="str">
        <f>UPPER(TEXT(_2020_2022[[#This Row],[Data da Venda]],"mmm"))</f>
        <v>SET</v>
      </c>
    </row>
    <row r="759" spans="1:13" x14ac:dyDescent="0.25">
      <c r="A759" t="s">
        <v>9</v>
      </c>
      <c r="B759">
        <v>1500</v>
      </c>
      <c r="C759">
        <v>3</v>
      </c>
      <c r="D759" t="s">
        <v>36</v>
      </c>
      <c r="E759" t="s">
        <v>677</v>
      </c>
      <c r="F759" t="s">
        <v>678</v>
      </c>
      <c r="G759" t="s">
        <v>650</v>
      </c>
      <c r="H759">
        <v>65</v>
      </c>
      <c r="I759" t="s">
        <v>647</v>
      </c>
      <c r="J759">
        <v>4500</v>
      </c>
      <c r="K759" s="1">
        <v>44926</v>
      </c>
      <c r="L759">
        <v>2022</v>
      </c>
      <c r="M759" t="str">
        <f>UPPER(TEXT(_2020_2022[[#This Row],[Data da Venda]],"mmm"))</f>
        <v>DEZ</v>
      </c>
    </row>
    <row r="760" spans="1:13" x14ac:dyDescent="0.25">
      <c r="A760" t="s">
        <v>24</v>
      </c>
      <c r="B760">
        <v>2000</v>
      </c>
      <c r="C760">
        <v>5</v>
      </c>
      <c r="D760" t="s">
        <v>35</v>
      </c>
      <c r="E760" t="s">
        <v>666</v>
      </c>
      <c r="F760" t="s">
        <v>1124</v>
      </c>
      <c r="G760" t="s">
        <v>643</v>
      </c>
      <c r="H760">
        <v>34</v>
      </c>
      <c r="I760" t="s">
        <v>644</v>
      </c>
      <c r="J760">
        <v>10000</v>
      </c>
      <c r="K760" s="1">
        <v>44616</v>
      </c>
      <c r="L760">
        <v>2022</v>
      </c>
      <c r="M760" t="str">
        <f>UPPER(TEXT(_2020_2022[[#This Row],[Data da Venda]],"mmm"))</f>
        <v>FEV</v>
      </c>
    </row>
    <row r="761" spans="1:13" x14ac:dyDescent="0.25">
      <c r="A761" t="s">
        <v>28</v>
      </c>
      <c r="B761">
        <v>1400</v>
      </c>
      <c r="C761">
        <v>3</v>
      </c>
      <c r="D761" t="s">
        <v>41</v>
      </c>
      <c r="E761" t="s">
        <v>681</v>
      </c>
      <c r="F761" t="s">
        <v>1066</v>
      </c>
      <c r="G761" t="s">
        <v>643</v>
      </c>
      <c r="H761">
        <v>61</v>
      </c>
      <c r="I761" t="s">
        <v>647</v>
      </c>
      <c r="J761">
        <v>4200</v>
      </c>
      <c r="K761" s="1">
        <v>44724</v>
      </c>
      <c r="L761">
        <v>2022</v>
      </c>
      <c r="M761" t="str">
        <f>UPPER(TEXT(_2020_2022[[#This Row],[Data da Venda]],"mmm"))</f>
        <v>JUN</v>
      </c>
    </row>
    <row r="762" spans="1:13" x14ac:dyDescent="0.25">
      <c r="A762" t="s">
        <v>5</v>
      </c>
      <c r="B762">
        <v>1750</v>
      </c>
      <c r="C762">
        <v>3</v>
      </c>
      <c r="D762" t="s">
        <v>41</v>
      </c>
      <c r="E762" t="s">
        <v>681</v>
      </c>
      <c r="F762" t="s">
        <v>1081</v>
      </c>
      <c r="G762" t="s">
        <v>643</v>
      </c>
      <c r="H762">
        <v>64</v>
      </c>
      <c r="I762" t="s">
        <v>647</v>
      </c>
      <c r="J762">
        <v>5250</v>
      </c>
      <c r="K762" s="1">
        <v>44707</v>
      </c>
      <c r="L762">
        <v>2022</v>
      </c>
      <c r="M762" t="str">
        <f>UPPER(TEXT(_2020_2022[[#This Row],[Data da Venda]],"mmm"))</f>
        <v>MAI</v>
      </c>
    </row>
    <row r="763" spans="1:13" x14ac:dyDescent="0.25">
      <c r="A763" t="s">
        <v>14</v>
      </c>
      <c r="B763">
        <v>2000</v>
      </c>
      <c r="C763">
        <v>1</v>
      </c>
      <c r="D763" t="s">
        <v>34</v>
      </c>
      <c r="E763" t="s">
        <v>679</v>
      </c>
      <c r="F763" t="s">
        <v>1125</v>
      </c>
      <c r="G763" t="s">
        <v>643</v>
      </c>
      <c r="H763">
        <v>67</v>
      </c>
      <c r="I763" t="s">
        <v>647</v>
      </c>
      <c r="J763">
        <v>2000</v>
      </c>
      <c r="K763" s="1">
        <v>44867</v>
      </c>
      <c r="L763">
        <v>2022</v>
      </c>
      <c r="M763" t="str">
        <f>UPPER(TEXT(_2020_2022[[#This Row],[Data da Venda]],"mmm"))</f>
        <v>NOV</v>
      </c>
    </row>
    <row r="764" spans="1:13" x14ac:dyDescent="0.25">
      <c r="A764" t="s">
        <v>13</v>
      </c>
      <c r="B764">
        <v>2300</v>
      </c>
      <c r="C764">
        <v>1</v>
      </c>
      <c r="D764" t="s">
        <v>38</v>
      </c>
      <c r="E764" t="s">
        <v>648</v>
      </c>
      <c r="F764" t="s">
        <v>867</v>
      </c>
      <c r="G764" t="s">
        <v>643</v>
      </c>
      <c r="H764">
        <v>37</v>
      </c>
      <c r="I764" t="s">
        <v>644</v>
      </c>
      <c r="J764">
        <v>2300</v>
      </c>
      <c r="K764" s="1">
        <v>44823</v>
      </c>
      <c r="L764">
        <v>2022</v>
      </c>
      <c r="M764" t="str">
        <f>UPPER(TEXT(_2020_2022[[#This Row],[Data da Venda]],"mmm"))</f>
        <v>SET</v>
      </c>
    </row>
    <row r="765" spans="1:13" x14ac:dyDescent="0.25">
      <c r="A765" t="s">
        <v>1440</v>
      </c>
      <c r="B765">
        <v>700</v>
      </c>
      <c r="C765">
        <v>2</v>
      </c>
      <c r="D765" t="s">
        <v>29</v>
      </c>
      <c r="E765" t="s">
        <v>641</v>
      </c>
      <c r="F765" t="s">
        <v>991</v>
      </c>
      <c r="G765" t="s">
        <v>643</v>
      </c>
      <c r="H765">
        <v>36</v>
      </c>
      <c r="I765" t="s">
        <v>644</v>
      </c>
      <c r="J765">
        <v>1400</v>
      </c>
      <c r="K765" s="1">
        <v>44747</v>
      </c>
      <c r="L765">
        <v>2022</v>
      </c>
      <c r="M765" t="str">
        <f>UPPER(TEXT(_2020_2022[[#This Row],[Data da Venda]],"mmm"))</f>
        <v>JUL</v>
      </c>
    </row>
    <row r="766" spans="1:13" x14ac:dyDescent="0.25">
      <c r="A766" t="s">
        <v>18</v>
      </c>
      <c r="B766">
        <v>3000</v>
      </c>
      <c r="C766">
        <v>2</v>
      </c>
      <c r="D766" t="s">
        <v>29</v>
      </c>
      <c r="E766" t="s">
        <v>641</v>
      </c>
      <c r="F766" t="s">
        <v>1126</v>
      </c>
      <c r="G766" t="s">
        <v>643</v>
      </c>
      <c r="H766">
        <v>33</v>
      </c>
      <c r="I766" t="s">
        <v>644</v>
      </c>
      <c r="J766">
        <v>6000</v>
      </c>
      <c r="K766" s="1">
        <v>44800</v>
      </c>
      <c r="L766">
        <v>2022</v>
      </c>
      <c r="M766" t="str">
        <f>UPPER(TEXT(_2020_2022[[#This Row],[Data da Venda]],"mmm"))</f>
        <v>AGO</v>
      </c>
    </row>
    <row r="767" spans="1:13" x14ac:dyDescent="0.25">
      <c r="A767" t="s">
        <v>14</v>
      </c>
      <c r="B767">
        <v>2000</v>
      </c>
      <c r="C767">
        <v>5</v>
      </c>
      <c r="D767" t="s">
        <v>40</v>
      </c>
      <c r="E767" t="s">
        <v>657</v>
      </c>
      <c r="F767" t="s">
        <v>1127</v>
      </c>
      <c r="G767" t="s">
        <v>650</v>
      </c>
      <c r="H767">
        <v>28</v>
      </c>
      <c r="I767" t="s">
        <v>651</v>
      </c>
      <c r="J767">
        <v>10000</v>
      </c>
      <c r="K767" s="1">
        <v>44705</v>
      </c>
      <c r="L767">
        <v>2022</v>
      </c>
      <c r="M767" t="str">
        <f>UPPER(TEXT(_2020_2022[[#This Row],[Data da Venda]],"mmm"))</f>
        <v>MAI</v>
      </c>
    </row>
    <row r="768" spans="1:13" x14ac:dyDescent="0.25">
      <c r="A768" t="s">
        <v>13</v>
      </c>
      <c r="B768">
        <v>2300</v>
      </c>
      <c r="C768">
        <v>2</v>
      </c>
      <c r="D768" t="s">
        <v>36</v>
      </c>
      <c r="E768" t="s">
        <v>677</v>
      </c>
      <c r="F768" t="s">
        <v>1128</v>
      </c>
      <c r="G768" t="s">
        <v>643</v>
      </c>
      <c r="H768">
        <v>63</v>
      </c>
      <c r="I768" t="s">
        <v>647</v>
      </c>
      <c r="J768">
        <v>4600</v>
      </c>
      <c r="K768" s="1">
        <v>44612</v>
      </c>
      <c r="L768">
        <v>2022</v>
      </c>
      <c r="M768" t="str">
        <f>UPPER(TEXT(_2020_2022[[#This Row],[Data da Venda]],"mmm"))</f>
        <v>FEV</v>
      </c>
    </row>
    <row r="769" spans="1:13" x14ac:dyDescent="0.25">
      <c r="A769" t="s">
        <v>1442</v>
      </c>
      <c r="B769">
        <v>1200</v>
      </c>
      <c r="C769">
        <v>4</v>
      </c>
      <c r="D769" t="s">
        <v>41</v>
      </c>
      <c r="E769" t="s">
        <v>681</v>
      </c>
      <c r="F769" t="s">
        <v>1129</v>
      </c>
      <c r="G769" t="s">
        <v>643</v>
      </c>
      <c r="H769">
        <v>41</v>
      </c>
      <c r="I769" t="s">
        <v>644</v>
      </c>
      <c r="J769">
        <v>4800</v>
      </c>
      <c r="K769" s="1">
        <v>44664</v>
      </c>
      <c r="L769">
        <v>2022</v>
      </c>
      <c r="M769" t="str">
        <f>UPPER(TEXT(_2020_2022[[#This Row],[Data da Venda]],"mmm"))</f>
        <v>ABR</v>
      </c>
    </row>
    <row r="770" spans="1:13" x14ac:dyDescent="0.25">
      <c r="A770" t="s">
        <v>25</v>
      </c>
      <c r="B770">
        <v>2500</v>
      </c>
      <c r="C770">
        <v>5</v>
      </c>
      <c r="D770" t="s">
        <v>29</v>
      </c>
      <c r="E770" t="s">
        <v>641</v>
      </c>
      <c r="F770" t="s">
        <v>1033</v>
      </c>
      <c r="G770" t="s">
        <v>650</v>
      </c>
      <c r="H770">
        <v>44</v>
      </c>
      <c r="I770" t="s">
        <v>644</v>
      </c>
      <c r="J770">
        <v>12500</v>
      </c>
      <c r="K770" s="1">
        <v>44818</v>
      </c>
      <c r="L770">
        <v>2022</v>
      </c>
      <c r="M770" t="str">
        <f>UPPER(TEXT(_2020_2022[[#This Row],[Data da Venda]],"mmm"))</f>
        <v>SET</v>
      </c>
    </row>
    <row r="771" spans="1:13" x14ac:dyDescent="0.25">
      <c r="A771" t="s">
        <v>18</v>
      </c>
      <c r="B771">
        <v>3000</v>
      </c>
      <c r="C771">
        <v>5</v>
      </c>
      <c r="D771" t="s">
        <v>41</v>
      </c>
      <c r="E771" t="s">
        <v>681</v>
      </c>
      <c r="F771" t="s">
        <v>1130</v>
      </c>
      <c r="G771" t="s">
        <v>643</v>
      </c>
      <c r="H771">
        <v>44</v>
      </c>
      <c r="I771" t="s">
        <v>644</v>
      </c>
      <c r="J771">
        <v>15000</v>
      </c>
      <c r="K771" s="1">
        <v>44579</v>
      </c>
      <c r="L771">
        <v>2022</v>
      </c>
      <c r="M771" t="str">
        <f>UPPER(TEXT(_2020_2022[[#This Row],[Data da Venda]],"mmm"))</f>
        <v>JAN</v>
      </c>
    </row>
    <row r="772" spans="1:13" x14ac:dyDescent="0.25">
      <c r="A772" t="s">
        <v>25</v>
      </c>
      <c r="B772">
        <v>2500</v>
      </c>
      <c r="C772">
        <v>4</v>
      </c>
      <c r="D772" t="s">
        <v>32</v>
      </c>
      <c r="E772" t="s">
        <v>652</v>
      </c>
      <c r="F772" t="s">
        <v>786</v>
      </c>
      <c r="G772" t="s">
        <v>643</v>
      </c>
      <c r="H772">
        <v>36</v>
      </c>
      <c r="I772" t="s">
        <v>644</v>
      </c>
      <c r="J772">
        <v>10000</v>
      </c>
      <c r="K772" s="1">
        <v>44725</v>
      </c>
      <c r="L772">
        <v>2022</v>
      </c>
      <c r="M772" t="str">
        <f>UPPER(TEXT(_2020_2022[[#This Row],[Data da Venda]],"mmm"))</f>
        <v>JUN</v>
      </c>
    </row>
    <row r="773" spans="1:13" x14ac:dyDescent="0.25">
      <c r="A773" t="s">
        <v>1444</v>
      </c>
      <c r="B773">
        <v>1500</v>
      </c>
      <c r="C773">
        <v>2</v>
      </c>
      <c r="D773" t="s">
        <v>31</v>
      </c>
      <c r="E773" t="s">
        <v>645</v>
      </c>
      <c r="F773" t="s">
        <v>862</v>
      </c>
      <c r="G773" t="s">
        <v>650</v>
      </c>
      <c r="H773">
        <v>71</v>
      </c>
      <c r="I773" t="s">
        <v>647</v>
      </c>
      <c r="J773">
        <v>3000</v>
      </c>
      <c r="K773" s="1">
        <v>44826</v>
      </c>
      <c r="L773">
        <v>2022</v>
      </c>
      <c r="M773" t="str">
        <f>UPPER(TEXT(_2020_2022[[#This Row],[Data da Venda]],"mmm"))</f>
        <v>SET</v>
      </c>
    </row>
    <row r="774" spans="1:13" x14ac:dyDescent="0.25">
      <c r="A774" t="s">
        <v>16</v>
      </c>
      <c r="B774">
        <v>1400</v>
      </c>
      <c r="C774">
        <v>5</v>
      </c>
      <c r="D774" t="s">
        <v>30</v>
      </c>
      <c r="E774" t="s">
        <v>645</v>
      </c>
      <c r="F774" t="s">
        <v>1038</v>
      </c>
      <c r="G774" t="s">
        <v>643</v>
      </c>
      <c r="H774">
        <v>37</v>
      </c>
      <c r="I774" t="s">
        <v>644</v>
      </c>
      <c r="J774">
        <v>7000</v>
      </c>
      <c r="K774" s="1">
        <v>44761</v>
      </c>
      <c r="L774">
        <v>2022</v>
      </c>
      <c r="M774" t="str">
        <f>UPPER(TEXT(_2020_2022[[#This Row],[Data da Venda]],"mmm"))</f>
        <v>JUL</v>
      </c>
    </row>
    <row r="775" spans="1:13" x14ac:dyDescent="0.25">
      <c r="A775" t="s">
        <v>13</v>
      </c>
      <c r="B775">
        <v>2300</v>
      </c>
      <c r="C775">
        <v>4</v>
      </c>
      <c r="D775" t="s">
        <v>38</v>
      </c>
      <c r="E775" t="s">
        <v>648</v>
      </c>
      <c r="F775" t="s">
        <v>1131</v>
      </c>
      <c r="G775" t="s">
        <v>650</v>
      </c>
      <c r="H775">
        <v>75</v>
      </c>
      <c r="I775" t="s">
        <v>647</v>
      </c>
      <c r="J775">
        <v>9200</v>
      </c>
      <c r="K775" s="1">
        <v>44722</v>
      </c>
      <c r="L775">
        <v>2022</v>
      </c>
      <c r="M775" t="str">
        <f>UPPER(TEXT(_2020_2022[[#This Row],[Data da Venda]],"mmm"))</f>
        <v>JUN</v>
      </c>
    </row>
    <row r="776" spans="1:13" x14ac:dyDescent="0.25">
      <c r="A776" t="s">
        <v>1441</v>
      </c>
      <c r="B776">
        <v>1450</v>
      </c>
      <c r="C776">
        <v>5</v>
      </c>
      <c r="D776" t="s">
        <v>37</v>
      </c>
      <c r="E776" t="s">
        <v>645</v>
      </c>
      <c r="F776" t="s">
        <v>646</v>
      </c>
      <c r="G776" t="s">
        <v>643</v>
      </c>
      <c r="H776">
        <v>64</v>
      </c>
      <c r="I776" t="s">
        <v>647</v>
      </c>
      <c r="J776">
        <v>7250</v>
      </c>
      <c r="K776" s="1">
        <v>44903</v>
      </c>
      <c r="L776">
        <v>2022</v>
      </c>
      <c r="M776" t="str">
        <f>UPPER(TEXT(_2020_2022[[#This Row],[Data da Venda]],"mmm"))</f>
        <v>DEZ</v>
      </c>
    </row>
    <row r="777" spans="1:13" x14ac:dyDescent="0.25">
      <c r="A777" t="s">
        <v>28</v>
      </c>
      <c r="B777">
        <v>1400</v>
      </c>
      <c r="C777">
        <v>2</v>
      </c>
      <c r="D777" t="s">
        <v>35</v>
      </c>
      <c r="E777" t="s">
        <v>666</v>
      </c>
      <c r="F777" t="s">
        <v>1132</v>
      </c>
      <c r="G777" t="s">
        <v>643</v>
      </c>
      <c r="H777">
        <v>59</v>
      </c>
      <c r="I777" t="s">
        <v>647</v>
      </c>
      <c r="J777">
        <v>2800</v>
      </c>
      <c r="K777" s="1">
        <v>44659</v>
      </c>
      <c r="L777">
        <v>2022</v>
      </c>
      <c r="M777" t="str">
        <f>UPPER(TEXT(_2020_2022[[#This Row],[Data da Venda]],"mmm"))</f>
        <v>ABR</v>
      </c>
    </row>
    <row r="778" spans="1:13" x14ac:dyDescent="0.25">
      <c r="A778" t="s">
        <v>14</v>
      </c>
      <c r="B778">
        <v>2000</v>
      </c>
      <c r="C778">
        <v>4</v>
      </c>
      <c r="D778" t="s">
        <v>35</v>
      </c>
      <c r="E778" t="s">
        <v>666</v>
      </c>
      <c r="F778" t="s">
        <v>672</v>
      </c>
      <c r="G778" t="s">
        <v>643</v>
      </c>
      <c r="H778">
        <v>43</v>
      </c>
      <c r="I778" t="s">
        <v>644</v>
      </c>
      <c r="J778">
        <v>8000</v>
      </c>
      <c r="K778" s="1">
        <v>44897</v>
      </c>
      <c r="L778">
        <v>2022</v>
      </c>
      <c r="M778" t="str">
        <f>UPPER(TEXT(_2020_2022[[#This Row],[Data da Venda]],"mmm"))</f>
        <v>DEZ</v>
      </c>
    </row>
    <row r="779" spans="1:13" x14ac:dyDescent="0.25">
      <c r="A779" t="s">
        <v>1441</v>
      </c>
      <c r="B779">
        <v>1450</v>
      </c>
      <c r="C779">
        <v>4</v>
      </c>
      <c r="D779" t="s">
        <v>36</v>
      </c>
      <c r="E779" t="s">
        <v>677</v>
      </c>
      <c r="F779" t="s">
        <v>1090</v>
      </c>
      <c r="G779" t="s">
        <v>643</v>
      </c>
      <c r="H779">
        <v>41</v>
      </c>
      <c r="I779" t="s">
        <v>644</v>
      </c>
      <c r="J779">
        <v>5800</v>
      </c>
      <c r="K779" s="1">
        <v>44701</v>
      </c>
      <c r="L779">
        <v>2022</v>
      </c>
      <c r="M779" t="str">
        <f>UPPER(TEXT(_2020_2022[[#This Row],[Data da Venda]],"mmm"))</f>
        <v>MAI</v>
      </c>
    </row>
    <row r="780" spans="1:13" x14ac:dyDescent="0.25">
      <c r="A780" t="s">
        <v>13</v>
      </c>
      <c r="B780">
        <v>2300</v>
      </c>
      <c r="C780">
        <v>3</v>
      </c>
      <c r="D780" t="s">
        <v>30</v>
      </c>
      <c r="E780" t="s">
        <v>645</v>
      </c>
      <c r="F780" t="s">
        <v>1133</v>
      </c>
      <c r="G780" t="s">
        <v>643</v>
      </c>
      <c r="H780">
        <v>50</v>
      </c>
      <c r="I780" t="s">
        <v>644</v>
      </c>
      <c r="J780">
        <v>6900</v>
      </c>
      <c r="K780" s="1">
        <v>44754</v>
      </c>
      <c r="L780">
        <v>2022</v>
      </c>
      <c r="M780" t="str">
        <f>UPPER(TEXT(_2020_2022[[#This Row],[Data da Venda]],"mmm"))</f>
        <v>JUL</v>
      </c>
    </row>
    <row r="781" spans="1:13" x14ac:dyDescent="0.25">
      <c r="A781" t="s">
        <v>1440</v>
      </c>
      <c r="B781">
        <v>700</v>
      </c>
      <c r="C781">
        <v>5</v>
      </c>
      <c r="D781" t="s">
        <v>35</v>
      </c>
      <c r="E781" t="s">
        <v>666</v>
      </c>
      <c r="F781" t="s">
        <v>1134</v>
      </c>
      <c r="G781" t="s">
        <v>650</v>
      </c>
      <c r="H781">
        <v>68</v>
      </c>
      <c r="I781" t="s">
        <v>647</v>
      </c>
      <c r="J781">
        <v>3500</v>
      </c>
      <c r="K781" s="1">
        <v>44724</v>
      </c>
      <c r="L781">
        <v>2022</v>
      </c>
      <c r="M781" t="str">
        <f>UPPER(TEXT(_2020_2022[[#This Row],[Data da Venda]],"mmm"))</f>
        <v>JUN</v>
      </c>
    </row>
    <row r="782" spans="1:13" x14ac:dyDescent="0.25">
      <c r="A782" t="s">
        <v>16</v>
      </c>
      <c r="B782">
        <v>1400</v>
      </c>
      <c r="C782">
        <v>4</v>
      </c>
      <c r="D782" t="s">
        <v>38</v>
      </c>
      <c r="E782" t="s">
        <v>648</v>
      </c>
      <c r="F782" t="s">
        <v>1135</v>
      </c>
      <c r="G782" t="s">
        <v>650</v>
      </c>
      <c r="H782">
        <v>65</v>
      </c>
      <c r="I782" t="s">
        <v>647</v>
      </c>
      <c r="J782">
        <v>5600</v>
      </c>
      <c r="K782" s="1">
        <v>44705</v>
      </c>
      <c r="L782">
        <v>2022</v>
      </c>
      <c r="M782" t="str">
        <f>UPPER(TEXT(_2020_2022[[#This Row],[Data da Venda]],"mmm"))</f>
        <v>MAI</v>
      </c>
    </row>
    <row r="783" spans="1:13" x14ac:dyDescent="0.25">
      <c r="A783" t="s">
        <v>28</v>
      </c>
      <c r="B783">
        <v>1400</v>
      </c>
      <c r="C783">
        <v>3</v>
      </c>
      <c r="D783" t="s">
        <v>35</v>
      </c>
      <c r="E783" t="s">
        <v>666</v>
      </c>
      <c r="F783" t="s">
        <v>1062</v>
      </c>
      <c r="G783" t="s">
        <v>650</v>
      </c>
      <c r="H783">
        <v>56</v>
      </c>
      <c r="I783" t="s">
        <v>647</v>
      </c>
      <c r="J783">
        <v>4200</v>
      </c>
      <c r="K783" s="1">
        <v>44688</v>
      </c>
      <c r="L783">
        <v>2022</v>
      </c>
      <c r="M783" t="str">
        <f>UPPER(TEXT(_2020_2022[[#This Row],[Data da Venda]],"mmm"))</f>
        <v>MAI</v>
      </c>
    </row>
    <row r="784" spans="1:13" x14ac:dyDescent="0.25">
      <c r="A784" t="s">
        <v>18</v>
      </c>
      <c r="B784">
        <v>3000</v>
      </c>
      <c r="C784">
        <v>5</v>
      </c>
      <c r="D784" t="s">
        <v>34</v>
      </c>
      <c r="E784" t="s">
        <v>679</v>
      </c>
      <c r="F784" t="s">
        <v>680</v>
      </c>
      <c r="G784" t="s">
        <v>643</v>
      </c>
      <c r="H784">
        <v>41</v>
      </c>
      <c r="I784" t="s">
        <v>644</v>
      </c>
      <c r="J784">
        <v>15000</v>
      </c>
      <c r="K784" s="1">
        <v>44714</v>
      </c>
      <c r="L784">
        <v>2022</v>
      </c>
      <c r="M784" t="str">
        <f>UPPER(TEXT(_2020_2022[[#This Row],[Data da Venda]],"mmm"))</f>
        <v>JUN</v>
      </c>
    </row>
    <row r="785" spans="1:13" x14ac:dyDescent="0.25">
      <c r="A785" t="s">
        <v>1444</v>
      </c>
      <c r="B785">
        <v>1500</v>
      </c>
      <c r="C785">
        <v>2</v>
      </c>
      <c r="D785" t="s">
        <v>36</v>
      </c>
      <c r="E785" t="s">
        <v>677</v>
      </c>
      <c r="F785" t="s">
        <v>1090</v>
      </c>
      <c r="G785" t="s">
        <v>643</v>
      </c>
      <c r="H785">
        <v>41</v>
      </c>
      <c r="I785" t="s">
        <v>644</v>
      </c>
      <c r="J785">
        <v>3000</v>
      </c>
      <c r="K785" s="1">
        <v>44617</v>
      </c>
      <c r="L785">
        <v>2022</v>
      </c>
      <c r="M785" t="str">
        <f>UPPER(TEXT(_2020_2022[[#This Row],[Data da Venda]],"mmm"))</f>
        <v>FEV</v>
      </c>
    </row>
    <row r="786" spans="1:13" x14ac:dyDescent="0.25">
      <c r="A786" t="s">
        <v>22</v>
      </c>
      <c r="B786">
        <v>5200</v>
      </c>
      <c r="C786">
        <v>4</v>
      </c>
      <c r="D786" t="s">
        <v>29</v>
      </c>
      <c r="E786" t="s">
        <v>641</v>
      </c>
      <c r="F786" t="s">
        <v>990</v>
      </c>
      <c r="G786" t="s">
        <v>650</v>
      </c>
      <c r="H786">
        <v>58</v>
      </c>
      <c r="I786" t="s">
        <v>647</v>
      </c>
      <c r="J786">
        <v>20800</v>
      </c>
      <c r="K786" s="1">
        <v>44732</v>
      </c>
      <c r="L786">
        <v>2022</v>
      </c>
      <c r="M786" t="str">
        <f>UPPER(TEXT(_2020_2022[[#This Row],[Data da Venda]],"mmm"))</f>
        <v>JUN</v>
      </c>
    </row>
    <row r="787" spans="1:13" x14ac:dyDescent="0.25">
      <c r="A787" t="s">
        <v>20</v>
      </c>
      <c r="B787">
        <v>2600</v>
      </c>
      <c r="C787">
        <v>5</v>
      </c>
      <c r="D787" t="s">
        <v>34</v>
      </c>
      <c r="E787" t="s">
        <v>679</v>
      </c>
      <c r="F787" t="s">
        <v>1109</v>
      </c>
      <c r="G787" t="s">
        <v>643</v>
      </c>
      <c r="H787">
        <v>73</v>
      </c>
      <c r="I787" t="s">
        <v>647</v>
      </c>
      <c r="J787">
        <v>13000</v>
      </c>
      <c r="K787" s="1">
        <v>44798</v>
      </c>
      <c r="L787">
        <v>2022</v>
      </c>
      <c r="M787" t="str">
        <f>UPPER(TEXT(_2020_2022[[#This Row],[Data da Venda]],"mmm"))</f>
        <v>AGO</v>
      </c>
    </row>
    <row r="788" spans="1:13" x14ac:dyDescent="0.25">
      <c r="A788" t="s">
        <v>22</v>
      </c>
      <c r="B788">
        <v>5200</v>
      </c>
      <c r="C788">
        <v>4</v>
      </c>
      <c r="D788" t="s">
        <v>37</v>
      </c>
      <c r="E788" t="s">
        <v>645</v>
      </c>
      <c r="F788" t="s">
        <v>1136</v>
      </c>
      <c r="G788" t="s">
        <v>643</v>
      </c>
      <c r="H788">
        <v>59</v>
      </c>
      <c r="I788" t="s">
        <v>647</v>
      </c>
      <c r="J788">
        <v>20800</v>
      </c>
      <c r="K788" s="1">
        <v>44894</v>
      </c>
      <c r="L788">
        <v>2022</v>
      </c>
      <c r="M788" t="str">
        <f>UPPER(TEXT(_2020_2022[[#This Row],[Data da Venda]],"mmm"))</f>
        <v>NOV</v>
      </c>
    </row>
    <row r="789" spans="1:13" x14ac:dyDescent="0.25">
      <c r="A789" t="s">
        <v>26</v>
      </c>
      <c r="B789">
        <v>1100</v>
      </c>
      <c r="C789">
        <v>4</v>
      </c>
      <c r="D789" t="s">
        <v>38</v>
      </c>
      <c r="E789" t="s">
        <v>648</v>
      </c>
      <c r="F789" t="s">
        <v>1137</v>
      </c>
      <c r="G789" t="s">
        <v>643</v>
      </c>
      <c r="H789">
        <v>72</v>
      </c>
      <c r="I789" t="s">
        <v>647</v>
      </c>
      <c r="J789">
        <v>4400</v>
      </c>
      <c r="K789" s="1">
        <v>44608</v>
      </c>
      <c r="L789">
        <v>2022</v>
      </c>
      <c r="M789" t="str">
        <f>UPPER(TEXT(_2020_2022[[#This Row],[Data da Venda]],"mmm"))</f>
        <v>FEV</v>
      </c>
    </row>
    <row r="790" spans="1:13" x14ac:dyDescent="0.25">
      <c r="A790" t="s">
        <v>21</v>
      </c>
      <c r="B790">
        <v>2400</v>
      </c>
      <c r="C790">
        <v>5</v>
      </c>
      <c r="D790" t="s">
        <v>30</v>
      </c>
      <c r="E790" t="s">
        <v>645</v>
      </c>
      <c r="F790" t="s">
        <v>1038</v>
      </c>
      <c r="G790" t="s">
        <v>643</v>
      </c>
      <c r="H790">
        <v>37</v>
      </c>
      <c r="I790" t="s">
        <v>644</v>
      </c>
      <c r="J790">
        <v>12000</v>
      </c>
      <c r="K790" s="1">
        <v>44788</v>
      </c>
      <c r="L790">
        <v>2022</v>
      </c>
      <c r="M790" t="str">
        <f>UPPER(TEXT(_2020_2022[[#This Row],[Data da Venda]],"mmm"))</f>
        <v>AGO</v>
      </c>
    </row>
    <row r="791" spans="1:13" x14ac:dyDescent="0.25">
      <c r="A791" t="s">
        <v>26</v>
      </c>
      <c r="B791">
        <v>1100</v>
      </c>
      <c r="C791">
        <v>4</v>
      </c>
      <c r="D791" t="s">
        <v>38</v>
      </c>
      <c r="E791" t="s">
        <v>648</v>
      </c>
      <c r="F791" t="s">
        <v>758</v>
      </c>
      <c r="G791" t="s">
        <v>643</v>
      </c>
      <c r="H791">
        <v>37</v>
      </c>
      <c r="I791" t="s">
        <v>644</v>
      </c>
      <c r="J791">
        <v>4400</v>
      </c>
      <c r="K791" s="1">
        <v>44619</v>
      </c>
      <c r="L791">
        <v>2022</v>
      </c>
      <c r="M791" t="str">
        <f>UPPER(TEXT(_2020_2022[[#This Row],[Data da Venda]],"mmm"))</f>
        <v>FEV</v>
      </c>
    </row>
    <row r="792" spans="1:13" x14ac:dyDescent="0.25">
      <c r="A792" t="s">
        <v>13</v>
      </c>
      <c r="B792">
        <v>2300</v>
      </c>
      <c r="C792">
        <v>3</v>
      </c>
      <c r="D792" t="s">
        <v>32</v>
      </c>
      <c r="E792" t="s">
        <v>652</v>
      </c>
      <c r="F792" t="s">
        <v>1138</v>
      </c>
      <c r="G792" t="s">
        <v>643</v>
      </c>
      <c r="H792">
        <v>28</v>
      </c>
      <c r="I792" t="s">
        <v>651</v>
      </c>
      <c r="J792">
        <v>6900</v>
      </c>
      <c r="K792" s="1">
        <v>44649</v>
      </c>
      <c r="L792">
        <v>2022</v>
      </c>
      <c r="M792" t="str">
        <f>UPPER(TEXT(_2020_2022[[#This Row],[Data da Venda]],"mmm"))</f>
        <v>MAR</v>
      </c>
    </row>
    <row r="793" spans="1:13" x14ac:dyDescent="0.25">
      <c r="A793" t="s">
        <v>21</v>
      </c>
      <c r="B793">
        <v>2400</v>
      </c>
      <c r="C793">
        <v>3</v>
      </c>
      <c r="D793" t="s">
        <v>34</v>
      </c>
      <c r="E793" t="s">
        <v>679</v>
      </c>
      <c r="F793" t="s">
        <v>1139</v>
      </c>
      <c r="G793" t="s">
        <v>643</v>
      </c>
      <c r="H793">
        <v>41</v>
      </c>
      <c r="I793" t="s">
        <v>644</v>
      </c>
      <c r="J793">
        <v>7200</v>
      </c>
      <c r="K793" s="1">
        <v>44873</v>
      </c>
      <c r="L793">
        <v>2022</v>
      </c>
      <c r="M793" t="str">
        <f>UPPER(TEXT(_2020_2022[[#This Row],[Data da Venda]],"mmm"))</f>
        <v>NOV</v>
      </c>
    </row>
    <row r="794" spans="1:13" x14ac:dyDescent="0.25">
      <c r="A794" t="s">
        <v>12</v>
      </c>
      <c r="B794">
        <v>6500</v>
      </c>
      <c r="C794">
        <v>3</v>
      </c>
      <c r="D794" t="s">
        <v>30</v>
      </c>
      <c r="E794" t="s">
        <v>645</v>
      </c>
      <c r="F794" t="s">
        <v>1140</v>
      </c>
      <c r="G794" t="s">
        <v>650</v>
      </c>
      <c r="H794">
        <v>51</v>
      </c>
      <c r="I794" t="s">
        <v>647</v>
      </c>
      <c r="J794">
        <v>19500</v>
      </c>
      <c r="K794" s="1">
        <v>44734</v>
      </c>
      <c r="L794">
        <v>2022</v>
      </c>
      <c r="M794" t="str">
        <f>UPPER(TEXT(_2020_2022[[#This Row],[Data da Venda]],"mmm"))</f>
        <v>JUN</v>
      </c>
    </row>
    <row r="795" spans="1:13" x14ac:dyDescent="0.25">
      <c r="A795" t="s">
        <v>20</v>
      </c>
      <c r="B795">
        <v>2600</v>
      </c>
      <c r="C795">
        <v>3</v>
      </c>
      <c r="D795" t="s">
        <v>34</v>
      </c>
      <c r="E795" t="s">
        <v>679</v>
      </c>
      <c r="F795" t="s">
        <v>1141</v>
      </c>
      <c r="G795" t="s">
        <v>643</v>
      </c>
      <c r="H795">
        <v>43</v>
      </c>
      <c r="I795" t="s">
        <v>644</v>
      </c>
      <c r="J795">
        <v>7800</v>
      </c>
      <c r="K795" s="1">
        <v>44639</v>
      </c>
      <c r="L795">
        <v>2022</v>
      </c>
      <c r="M795" t="str">
        <f>UPPER(TEXT(_2020_2022[[#This Row],[Data da Venda]],"mmm"))</f>
        <v>MAR</v>
      </c>
    </row>
    <row r="796" spans="1:13" x14ac:dyDescent="0.25">
      <c r="A796" t="s">
        <v>11</v>
      </c>
      <c r="B796">
        <v>4500</v>
      </c>
      <c r="C796">
        <v>2</v>
      </c>
      <c r="D796" t="s">
        <v>37</v>
      </c>
      <c r="E796" t="s">
        <v>645</v>
      </c>
      <c r="F796" t="s">
        <v>1043</v>
      </c>
      <c r="G796" t="s">
        <v>650</v>
      </c>
      <c r="H796">
        <v>43</v>
      </c>
      <c r="I796" t="s">
        <v>644</v>
      </c>
      <c r="J796">
        <v>9000</v>
      </c>
      <c r="K796" s="1">
        <v>44892</v>
      </c>
      <c r="L796">
        <v>2022</v>
      </c>
      <c r="M796" t="str">
        <f>UPPER(TEXT(_2020_2022[[#This Row],[Data da Venda]],"mmm"))</f>
        <v>NOV</v>
      </c>
    </row>
    <row r="797" spans="1:13" x14ac:dyDescent="0.25">
      <c r="A797" t="s">
        <v>26</v>
      </c>
      <c r="B797">
        <v>1100</v>
      </c>
      <c r="C797">
        <v>4</v>
      </c>
      <c r="D797" t="s">
        <v>38</v>
      </c>
      <c r="E797" t="s">
        <v>648</v>
      </c>
      <c r="F797" t="s">
        <v>749</v>
      </c>
      <c r="G797" t="s">
        <v>650</v>
      </c>
      <c r="H797">
        <v>41</v>
      </c>
      <c r="I797" t="s">
        <v>644</v>
      </c>
      <c r="J797">
        <v>4400</v>
      </c>
      <c r="K797" s="1">
        <v>44859</v>
      </c>
      <c r="L797">
        <v>2022</v>
      </c>
      <c r="M797" t="str">
        <f>UPPER(TEXT(_2020_2022[[#This Row],[Data da Venda]],"mmm"))</f>
        <v>OUT</v>
      </c>
    </row>
    <row r="798" spans="1:13" x14ac:dyDescent="0.25">
      <c r="A798" t="s">
        <v>26</v>
      </c>
      <c r="B798">
        <v>1100</v>
      </c>
      <c r="C798">
        <v>1</v>
      </c>
      <c r="D798" t="s">
        <v>38</v>
      </c>
      <c r="E798" t="s">
        <v>648</v>
      </c>
      <c r="F798" t="s">
        <v>1142</v>
      </c>
      <c r="G798" t="s">
        <v>643</v>
      </c>
      <c r="H798">
        <v>55</v>
      </c>
      <c r="I798" t="s">
        <v>647</v>
      </c>
      <c r="J798">
        <v>1100</v>
      </c>
      <c r="K798" s="1">
        <v>44627</v>
      </c>
      <c r="L798">
        <v>2022</v>
      </c>
      <c r="M798" t="str">
        <f>UPPER(TEXT(_2020_2022[[#This Row],[Data da Venda]],"mmm"))</f>
        <v>MAR</v>
      </c>
    </row>
    <row r="799" spans="1:13" x14ac:dyDescent="0.25">
      <c r="A799" t="s">
        <v>1443</v>
      </c>
      <c r="B799">
        <v>1550</v>
      </c>
      <c r="C799">
        <v>5</v>
      </c>
      <c r="D799" t="s">
        <v>38</v>
      </c>
      <c r="E799" t="s">
        <v>648</v>
      </c>
      <c r="F799" t="s">
        <v>1143</v>
      </c>
      <c r="G799" t="s">
        <v>643</v>
      </c>
      <c r="H799">
        <v>27</v>
      </c>
      <c r="I799" t="s">
        <v>651</v>
      </c>
      <c r="J799">
        <v>7750</v>
      </c>
      <c r="K799" s="1">
        <v>44831</v>
      </c>
      <c r="L799">
        <v>2022</v>
      </c>
      <c r="M799" t="str">
        <f>UPPER(TEXT(_2020_2022[[#This Row],[Data da Venda]],"mmm"))</f>
        <v>SET</v>
      </c>
    </row>
    <row r="800" spans="1:13" x14ac:dyDescent="0.25">
      <c r="A800" t="s">
        <v>7</v>
      </c>
      <c r="B800">
        <v>750</v>
      </c>
      <c r="C800">
        <v>5</v>
      </c>
      <c r="D800" t="s">
        <v>30</v>
      </c>
      <c r="E800" t="s">
        <v>645</v>
      </c>
      <c r="F800" t="s">
        <v>736</v>
      </c>
      <c r="G800" t="s">
        <v>643</v>
      </c>
      <c r="H800">
        <v>37</v>
      </c>
      <c r="I800" t="s">
        <v>644</v>
      </c>
      <c r="J800">
        <v>3750</v>
      </c>
      <c r="K800" s="1">
        <v>44699</v>
      </c>
      <c r="L800">
        <v>2022</v>
      </c>
      <c r="M800" t="str">
        <f>UPPER(TEXT(_2020_2022[[#This Row],[Data da Venda]],"mmm"))</f>
        <v>MAI</v>
      </c>
    </row>
    <row r="801" spans="1:13" x14ac:dyDescent="0.25">
      <c r="A801" t="s">
        <v>1442</v>
      </c>
      <c r="B801">
        <v>1200</v>
      </c>
      <c r="C801">
        <v>3</v>
      </c>
      <c r="D801" t="s">
        <v>32</v>
      </c>
      <c r="E801" t="s">
        <v>652</v>
      </c>
      <c r="F801" t="s">
        <v>871</v>
      </c>
      <c r="G801" t="s">
        <v>650</v>
      </c>
      <c r="H801">
        <v>56</v>
      </c>
      <c r="I801" t="s">
        <v>647</v>
      </c>
      <c r="J801">
        <v>3600</v>
      </c>
      <c r="K801" s="1">
        <v>44879</v>
      </c>
      <c r="L801">
        <v>2022</v>
      </c>
      <c r="M801" t="str">
        <f>UPPER(TEXT(_2020_2022[[#This Row],[Data da Venda]],"mmm"))</f>
        <v>NOV</v>
      </c>
    </row>
    <row r="802" spans="1:13" x14ac:dyDescent="0.25">
      <c r="A802" t="s">
        <v>13</v>
      </c>
      <c r="B802">
        <v>2300</v>
      </c>
      <c r="C802">
        <v>3</v>
      </c>
      <c r="D802" t="s">
        <v>29</v>
      </c>
      <c r="E802" t="s">
        <v>641</v>
      </c>
      <c r="F802" t="s">
        <v>1144</v>
      </c>
      <c r="G802" t="s">
        <v>643</v>
      </c>
      <c r="H802">
        <v>65</v>
      </c>
      <c r="I802" t="s">
        <v>647</v>
      </c>
      <c r="J802">
        <v>6900</v>
      </c>
      <c r="K802" s="1">
        <v>44902</v>
      </c>
      <c r="L802">
        <v>2022</v>
      </c>
      <c r="M802" t="str">
        <f>UPPER(TEXT(_2020_2022[[#This Row],[Data da Venda]],"mmm"))</f>
        <v>DEZ</v>
      </c>
    </row>
    <row r="803" spans="1:13" x14ac:dyDescent="0.25">
      <c r="A803" t="s">
        <v>1443</v>
      </c>
      <c r="B803">
        <v>1550</v>
      </c>
      <c r="C803">
        <v>2</v>
      </c>
      <c r="D803" t="s">
        <v>35</v>
      </c>
      <c r="E803" t="s">
        <v>666</v>
      </c>
      <c r="F803" t="s">
        <v>1118</v>
      </c>
      <c r="G803" t="s">
        <v>643</v>
      </c>
      <c r="H803">
        <v>56</v>
      </c>
      <c r="I803" t="s">
        <v>647</v>
      </c>
      <c r="J803">
        <v>3100</v>
      </c>
      <c r="K803" s="1">
        <v>44725</v>
      </c>
      <c r="L803">
        <v>2022</v>
      </c>
      <c r="M803" t="str">
        <f>UPPER(TEXT(_2020_2022[[#This Row],[Data da Venda]],"mmm"))</f>
        <v>JUN</v>
      </c>
    </row>
    <row r="804" spans="1:13" x14ac:dyDescent="0.25">
      <c r="A804" t="s">
        <v>21</v>
      </c>
      <c r="B804">
        <v>2400</v>
      </c>
      <c r="C804">
        <v>1</v>
      </c>
      <c r="D804" t="s">
        <v>36</v>
      </c>
      <c r="E804" t="s">
        <v>677</v>
      </c>
      <c r="F804" t="s">
        <v>755</v>
      </c>
      <c r="G804" t="s">
        <v>643</v>
      </c>
      <c r="H804">
        <v>48</v>
      </c>
      <c r="I804" t="s">
        <v>644</v>
      </c>
      <c r="J804">
        <v>2400</v>
      </c>
      <c r="K804" s="1">
        <v>44782</v>
      </c>
      <c r="L804">
        <v>2022</v>
      </c>
      <c r="M804" t="str">
        <f>UPPER(TEXT(_2020_2022[[#This Row],[Data da Venda]],"mmm"))</f>
        <v>AGO</v>
      </c>
    </row>
    <row r="805" spans="1:13" x14ac:dyDescent="0.25">
      <c r="A805" t="s">
        <v>1441</v>
      </c>
      <c r="B805">
        <v>1450</v>
      </c>
      <c r="C805">
        <v>2</v>
      </c>
      <c r="D805" t="s">
        <v>29</v>
      </c>
      <c r="E805" t="s">
        <v>641</v>
      </c>
      <c r="F805" t="s">
        <v>1145</v>
      </c>
      <c r="G805" t="s">
        <v>650</v>
      </c>
      <c r="H805">
        <v>29</v>
      </c>
      <c r="I805" t="s">
        <v>651</v>
      </c>
      <c r="J805">
        <v>2900</v>
      </c>
      <c r="K805" s="1">
        <v>44740</v>
      </c>
      <c r="L805">
        <v>2022</v>
      </c>
      <c r="M805" t="str">
        <f>UPPER(TEXT(_2020_2022[[#This Row],[Data da Venda]],"mmm"))</f>
        <v>JUN</v>
      </c>
    </row>
    <row r="806" spans="1:13" x14ac:dyDescent="0.25">
      <c r="A806" t="s">
        <v>18</v>
      </c>
      <c r="B806">
        <v>3000</v>
      </c>
      <c r="C806">
        <v>3</v>
      </c>
      <c r="D806" t="s">
        <v>31</v>
      </c>
      <c r="E806" t="s">
        <v>645</v>
      </c>
      <c r="F806" t="s">
        <v>1078</v>
      </c>
      <c r="G806" t="s">
        <v>650</v>
      </c>
      <c r="H806">
        <v>45</v>
      </c>
      <c r="I806" t="s">
        <v>644</v>
      </c>
      <c r="J806">
        <v>9000</v>
      </c>
      <c r="K806" s="1">
        <v>44804</v>
      </c>
      <c r="L806">
        <v>2022</v>
      </c>
      <c r="M806" t="str">
        <f>UPPER(TEXT(_2020_2022[[#This Row],[Data da Venda]],"mmm"))</f>
        <v>AGO</v>
      </c>
    </row>
    <row r="807" spans="1:13" x14ac:dyDescent="0.25">
      <c r="A807" t="s">
        <v>9</v>
      </c>
      <c r="B807">
        <v>1500</v>
      </c>
      <c r="C807">
        <v>3</v>
      </c>
      <c r="D807" t="s">
        <v>30</v>
      </c>
      <c r="E807" t="s">
        <v>645</v>
      </c>
      <c r="F807" t="s">
        <v>1146</v>
      </c>
      <c r="G807" t="s">
        <v>650</v>
      </c>
      <c r="H807">
        <v>47</v>
      </c>
      <c r="I807" t="s">
        <v>644</v>
      </c>
      <c r="J807">
        <v>4500</v>
      </c>
      <c r="K807" s="1">
        <v>44670</v>
      </c>
      <c r="L807">
        <v>2022</v>
      </c>
      <c r="M807" t="str">
        <f>UPPER(TEXT(_2020_2022[[#This Row],[Data da Venda]],"mmm"))</f>
        <v>ABR</v>
      </c>
    </row>
    <row r="808" spans="1:13" x14ac:dyDescent="0.25">
      <c r="A808" t="s">
        <v>1442</v>
      </c>
      <c r="B808">
        <v>1200</v>
      </c>
      <c r="C808">
        <v>4</v>
      </c>
      <c r="D808" t="s">
        <v>32</v>
      </c>
      <c r="E808" t="s">
        <v>652</v>
      </c>
      <c r="F808" t="s">
        <v>1147</v>
      </c>
      <c r="G808" t="s">
        <v>643</v>
      </c>
      <c r="H808">
        <v>48</v>
      </c>
      <c r="I808" t="s">
        <v>644</v>
      </c>
      <c r="J808">
        <v>4800</v>
      </c>
      <c r="K808" s="1">
        <v>44897</v>
      </c>
      <c r="L808">
        <v>2022</v>
      </c>
      <c r="M808" t="str">
        <f>UPPER(TEXT(_2020_2022[[#This Row],[Data da Venda]],"mmm"))</f>
        <v>DEZ</v>
      </c>
    </row>
    <row r="809" spans="1:13" x14ac:dyDescent="0.25">
      <c r="A809" t="s">
        <v>1445</v>
      </c>
      <c r="B809">
        <v>1500</v>
      </c>
      <c r="C809">
        <v>2</v>
      </c>
      <c r="D809" t="s">
        <v>29</v>
      </c>
      <c r="E809" t="s">
        <v>641</v>
      </c>
      <c r="F809" t="s">
        <v>1148</v>
      </c>
      <c r="G809" t="s">
        <v>643</v>
      </c>
      <c r="H809">
        <v>49</v>
      </c>
      <c r="I809" t="s">
        <v>644</v>
      </c>
      <c r="J809">
        <v>3000</v>
      </c>
      <c r="K809" s="1">
        <v>44563</v>
      </c>
      <c r="L809">
        <v>2022</v>
      </c>
      <c r="M809" t="str">
        <f>UPPER(TEXT(_2020_2022[[#This Row],[Data da Venda]],"mmm"))</f>
        <v>JAN</v>
      </c>
    </row>
    <row r="810" spans="1:13" x14ac:dyDescent="0.25">
      <c r="A810" t="s">
        <v>1440</v>
      </c>
      <c r="B810">
        <v>700</v>
      </c>
      <c r="C810">
        <v>1</v>
      </c>
      <c r="D810" t="s">
        <v>33</v>
      </c>
      <c r="E810" t="s">
        <v>641</v>
      </c>
      <c r="F810" t="s">
        <v>793</v>
      </c>
      <c r="G810" t="s">
        <v>643</v>
      </c>
      <c r="H810">
        <v>25</v>
      </c>
      <c r="I810" t="s">
        <v>651</v>
      </c>
      <c r="J810">
        <v>700</v>
      </c>
      <c r="K810" s="1">
        <v>44568</v>
      </c>
      <c r="L810">
        <v>2022</v>
      </c>
      <c r="M810" t="str">
        <f>UPPER(TEXT(_2020_2022[[#This Row],[Data da Venda]],"mmm"))</f>
        <v>JAN</v>
      </c>
    </row>
    <row r="811" spans="1:13" x14ac:dyDescent="0.25">
      <c r="A811" t="s">
        <v>26</v>
      </c>
      <c r="B811">
        <v>1100</v>
      </c>
      <c r="C811">
        <v>1</v>
      </c>
      <c r="D811" t="s">
        <v>41</v>
      </c>
      <c r="E811" t="s">
        <v>681</v>
      </c>
      <c r="F811" t="s">
        <v>1149</v>
      </c>
      <c r="G811" t="s">
        <v>643</v>
      </c>
      <c r="H811">
        <v>53</v>
      </c>
      <c r="I811" t="s">
        <v>647</v>
      </c>
      <c r="J811">
        <v>1100</v>
      </c>
      <c r="K811" s="1">
        <v>44636</v>
      </c>
      <c r="L811">
        <v>2022</v>
      </c>
      <c r="M811" t="str">
        <f>UPPER(TEXT(_2020_2022[[#This Row],[Data da Venda]],"mmm"))</f>
        <v>MAR</v>
      </c>
    </row>
    <row r="812" spans="1:13" x14ac:dyDescent="0.25">
      <c r="A812" t="s">
        <v>13</v>
      </c>
      <c r="B812">
        <v>2300</v>
      </c>
      <c r="C812">
        <v>3</v>
      </c>
      <c r="D812" t="s">
        <v>36</v>
      </c>
      <c r="E812" t="s">
        <v>677</v>
      </c>
      <c r="F812" t="s">
        <v>842</v>
      </c>
      <c r="G812" t="s">
        <v>643</v>
      </c>
      <c r="H812">
        <v>49</v>
      </c>
      <c r="I812" t="s">
        <v>644</v>
      </c>
      <c r="J812">
        <v>6900</v>
      </c>
      <c r="K812" s="1">
        <v>44625</v>
      </c>
      <c r="L812">
        <v>2022</v>
      </c>
      <c r="M812" t="str">
        <f>UPPER(TEXT(_2020_2022[[#This Row],[Data da Venda]],"mmm"))</f>
        <v>MAR</v>
      </c>
    </row>
    <row r="813" spans="1:13" x14ac:dyDescent="0.25">
      <c r="A813" t="s">
        <v>8</v>
      </c>
      <c r="B813">
        <v>5500</v>
      </c>
      <c r="C813">
        <v>4</v>
      </c>
      <c r="D813" t="s">
        <v>35</v>
      </c>
      <c r="E813" t="s">
        <v>666</v>
      </c>
      <c r="F813" t="s">
        <v>779</v>
      </c>
      <c r="G813" t="s">
        <v>650</v>
      </c>
      <c r="H813">
        <v>32</v>
      </c>
      <c r="I813" t="s">
        <v>644</v>
      </c>
      <c r="J813">
        <v>22000</v>
      </c>
      <c r="K813" s="1">
        <v>44851</v>
      </c>
      <c r="L813">
        <v>2022</v>
      </c>
      <c r="M813" t="str">
        <f>UPPER(TEXT(_2020_2022[[#This Row],[Data da Venda]],"mmm"))</f>
        <v>OUT</v>
      </c>
    </row>
    <row r="814" spans="1:13" x14ac:dyDescent="0.25">
      <c r="A814" t="s">
        <v>24</v>
      </c>
      <c r="B814">
        <v>2000</v>
      </c>
      <c r="C814">
        <v>5</v>
      </c>
      <c r="D814" t="s">
        <v>36</v>
      </c>
      <c r="E814" t="s">
        <v>677</v>
      </c>
      <c r="F814" t="s">
        <v>842</v>
      </c>
      <c r="G814" t="s">
        <v>643</v>
      </c>
      <c r="H814">
        <v>49</v>
      </c>
      <c r="I814" t="s">
        <v>644</v>
      </c>
      <c r="J814">
        <v>10000</v>
      </c>
      <c r="K814" s="1">
        <v>44791</v>
      </c>
      <c r="L814">
        <v>2022</v>
      </c>
      <c r="M814" t="str">
        <f>UPPER(TEXT(_2020_2022[[#This Row],[Data da Venda]],"mmm"))</f>
        <v>AGO</v>
      </c>
    </row>
    <row r="815" spans="1:13" x14ac:dyDescent="0.25">
      <c r="A815" t="s">
        <v>1440</v>
      </c>
      <c r="B815">
        <v>700</v>
      </c>
      <c r="C815">
        <v>3</v>
      </c>
      <c r="D815" t="s">
        <v>39</v>
      </c>
      <c r="E815" t="s">
        <v>641</v>
      </c>
      <c r="F815" t="s">
        <v>1088</v>
      </c>
      <c r="G815" t="s">
        <v>643</v>
      </c>
      <c r="H815">
        <v>47</v>
      </c>
      <c r="I815" t="s">
        <v>644</v>
      </c>
      <c r="J815">
        <v>2100</v>
      </c>
      <c r="K815" s="1">
        <v>44900</v>
      </c>
      <c r="L815">
        <v>2022</v>
      </c>
      <c r="M815" t="str">
        <f>UPPER(TEXT(_2020_2022[[#This Row],[Data da Venda]],"mmm"))</f>
        <v>DEZ</v>
      </c>
    </row>
    <row r="816" spans="1:13" x14ac:dyDescent="0.25">
      <c r="A816" t="s">
        <v>1440</v>
      </c>
      <c r="B816">
        <v>700</v>
      </c>
      <c r="C816">
        <v>4</v>
      </c>
      <c r="D816" t="s">
        <v>40</v>
      </c>
      <c r="E816" t="s">
        <v>657</v>
      </c>
      <c r="F816" t="s">
        <v>1150</v>
      </c>
      <c r="G816" t="s">
        <v>643</v>
      </c>
      <c r="H816">
        <v>25</v>
      </c>
      <c r="I816" t="s">
        <v>651</v>
      </c>
      <c r="J816">
        <v>2800</v>
      </c>
      <c r="K816" s="1">
        <v>44662</v>
      </c>
      <c r="L816">
        <v>2022</v>
      </c>
      <c r="M816" t="str">
        <f>UPPER(TEXT(_2020_2022[[#This Row],[Data da Venda]],"mmm"))</f>
        <v>ABR</v>
      </c>
    </row>
    <row r="817" spans="1:13" x14ac:dyDescent="0.25">
      <c r="A817" t="s">
        <v>18</v>
      </c>
      <c r="B817">
        <v>3000</v>
      </c>
      <c r="C817">
        <v>3</v>
      </c>
      <c r="D817" t="s">
        <v>35</v>
      </c>
      <c r="E817" t="s">
        <v>666</v>
      </c>
      <c r="F817" t="s">
        <v>999</v>
      </c>
      <c r="G817" t="s">
        <v>643</v>
      </c>
      <c r="H817">
        <v>70</v>
      </c>
      <c r="I817" t="s">
        <v>647</v>
      </c>
      <c r="J817">
        <v>9000</v>
      </c>
      <c r="K817" s="1">
        <v>44793</v>
      </c>
      <c r="L817">
        <v>2022</v>
      </c>
      <c r="M817" t="str">
        <f>UPPER(TEXT(_2020_2022[[#This Row],[Data da Venda]],"mmm"))</f>
        <v>AGO</v>
      </c>
    </row>
    <row r="818" spans="1:13" x14ac:dyDescent="0.25">
      <c r="A818" t="s">
        <v>1444</v>
      </c>
      <c r="B818">
        <v>1500</v>
      </c>
      <c r="C818">
        <v>5</v>
      </c>
      <c r="D818" t="s">
        <v>30</v>
      </c>
      <c r="E818" t="s">
        <v>645</v>
      </c>
      <c r="F818" t="s">
        <v>654</v>
      </c>
      <c r="G818" t="s">
        <v>650</v>
      </c>
      <c r="H818">
        <v>62</v>
      </c>
      <c r="I818" t="s">
        <v>647</v>
      </c>
      <c r="J818">
        <v>7500</v>
      </c>
      <c r="K818" s="1">
        <v>44779</v>
      </c>
      <c r="L818">
        <v>2022</v>
      </c>
      <c r="M818" t="str">
        <f>UPPER(TEXT(_2020_2022[[#This Row],[Data da Venda]],"mmm"))</f>
        <v>AGO</v>
      </c>
    </row>
    <row r="819" spans="1:13" x14ac:dyDescent="0.25">
      <c r="A819" t="s">
        <v>25</v>
      </c>
      <c r="B819">
        <v>2500</v>
      </c>
      <c r="C819">
        <v>2</v>
      </c>
      <c r="D819" t="s">
        <v>32</v>
      </c>
      <c r="E819" t="s">
        <v>652</v>
      </c>
      <c r="F819" t="s">
        <v>761</v>
      </c>
      <c r="G819" t="s">
        <v>643</v>
      </c>
      <c r="H819">
        <v>26</v>
      </c>
      <c r="I819" t="s">
        <v>651</v>
      </c>
      <c r="J819">
        <v>5000</v>
      </c>
      <c r="K819" s="1">
        <v>44860</v>
      </c>
      <c r="L819">
        <v>2022</v>
      </c>
      <c r="M819" t="str">
        <f>UPPER(TEXT(_2020_2022[[#This Row],[Data da Venda]],"mmm"))</f>
        <v>OUT</v>
      </c>
    </row>
    <row r="820" spans="1:13" x14ac:dyDescent="0.25">
      <c r="A820" t="s">
        <v>16</v>
      </c>
      <c r="B820">
        <v>1400</v>
      </c>
      <c r="C820">
        <v>3</v>
      </c>
      <c r="D820" t="s">
        <v>36</v>
      </c>
      <c r="E820" t="s">
        <v>677</v>
      </c>
      <c r="F820" t="s">
        <v>756</v>
      </c>
      <c r="G820" t="s">
        <v>643</v>
      </c>
      <c r="H820">
        <v>59</v>
      </c>
      <c r="I820" t="s">
        <v>647</v>
      </c>
      <c r="J820">
        <v>4200</v>
      </c>
      <c r="K820" s="1">
        <v>44853</v>
      </c>
      <c r="L820">
        <v>2022</v>
      </c>
      <c r="M820" t="str">
        <f>UPPER(TEXT(_2020_2022[[#This Row],[Data da Venda]],"mmm"))</f>
        <v>OUT</v>
      </c>
    </row>
    <row r="821" spans="1:13" x14ac:dyDescent="0.25">
      <c r="A821" t="s">
        <v>18</v>
      </c>
      <c r="B821">
        <v>3000</v>
      </c>
      <c r="C821">
        <v>2</v>
      </c>
      <c r="D821" t="s">
        <v>32</v>
      </c>
      <c r="E821" t="s">
        <v>652</v>
      </c>
      <c r="F821" t="s">
        <v>709</v>
      </c>
      <c r="G821" t="s">
        <v>650</v>
      </c>
      <c r="H821">
        <v>35</v>
      </c>
      <c r="I821" t="s">
        <v>644</v>
      </c>
      <c r="J821">
        <v>6000</v>
      </c>
      <c r="K821" s="1">
        <v>44824</v>
      </c>
      <c r="L821">
        <v>2022</v>
      </c>
      <c r="M821" t="str">
        <f>UPPER(TEXT(_2020_2022[[#This Row],[Data da Venda]],"mmm"))</f>
        <v>SET</v>
      </c>
    </row>
    <row r="822" spans="1:13" x14ac:dyDescent="0.25">
      <c r="A822" t="s">
        <v>18</v>
      </c>
      <c r="B822">
        <v>3000</v>
      </c>
      <c r="C822">
        <v>4</v>
      </c>
      <c r="D822" t="s">
        <v>32</v>
      </c>
      <c r="E822" t="s">
        <v>652</v>
      </c>
      <c r="F822" t="s">
        <v>1151</v>
      </c>
      <c r="G822" t="s">
        <v>650</v>
      </c>
      <c r="H822">
        <v>28</v>
      </c>
      <c r="I822" t="s">
        <v>651</v>
      </c>
      <c r="J822">
        <v>12000</v>
      </c>
      <c r="K822" s="1">
        <v>44631</v>
      </c>
      <c r="L822">
        <v>2022</v>
      </c>
      <c r="M822" t="str">
        <f>UPPER(TEXT(_2020_2022[[#This Row],[Data da Venda]],"mmm"))</f>
        <v>MAR</v>
      </c>
    </row>
    <row r="823" spans="1:13" x14ac:dyDescent="0.25">
      <c r="A823" t="s">
        <v>1440</v>
      </c>
      <c r="B823">
        <v>700</v>
      </c>
      <c r="C823">
        <v>3</v>
      </c>
      <c r="D823" t="s">
        <v>39</v>
      </c>
      <c r="E823" t="s">
        <v>641</v>
      </c>
      <c r="F823" t="s">
        <v>1106</v>
      </c>
      <c r="G823" t="s">
        <v>643</v>
      </c>
      <c r="H823">
        <v>25</v>
      </c>
      <c r="I823" t="s">
        <v>651</v>
      </c>
      <c r="J823">
        <v>2100</v>
      </c>
      <c r="K823" s="1">
        <v>44813</v>
      </c>
      <c r="L823">
        <v>2022</v>
      </c>
      <c r="M823" t="str">
        <f>UPPER(TEXT(_2020_2022[[#This Row],[Data da Venda]],"mmm"))</f>
        <v>SET</v>
      </c>
    </row>
    <row r="824" spans="1:13" x14ac:dyDescent="0.25">
      <c r="A824" t="s">
        <v>20</v>
      </c>
      <c r="B824">
        <v>2600</v>
      </c>
      <c r="C824">
        <v>3</v>
      </c>
      <c r="D824" t="s">
        <v>40</v>
      </c>
      <c r="E824" t="s">
        <v>657</v>
      </c>
      <c r="F824" t="s">
        <v>1150</v>
      </c>
      <c r="G824" t="s">
        <v>643</v>
      </c>
      <c r="H824">
        <v>25</v>
      </c>
      <c r="I824" t="s">
        <v>651</v>
      </c>
      <c r="J824">
        <v>7800</v>
      </c>
      <c r="K824" s="1">
        <v>44787</v>
      </c>
      <c r="L824">
        <v>2022</v>
      </c>
      <c r="M824" t="str">
        <f>UPPER(TEXT(_2020_2022[[#This Row],[Data da Venda]],"mmm"))</f>
        <v>AGO</v>
      </c>
    </row>
    <row r="825" spans="1:13" x14ac:dyDescent="0.25">
      <c r="A825" t="s">
        <v>1442</v>
      </c>
      <c r="B825">
        <v>1200</v>
      </c>
      <c r="C825">
        <v>5</v>
      </c>
      <c r="D825" t="s">
        <v>36</v>
      </c>
      <c r="E825" t="s">
        <v>677</v>
      </c>
      <c r="F825" t="s">
        <v>678</v>
      </c>
      <c r="G825" t="s">
        <v>650</v>
      </c>
      <c r="H825">
        <v>65</v>
      </c>
      <c r="I825" t="s">
        <v>647</v>
      </c>
      <c r="J825">
        <v>6000</v>
      </c>
      <c r="K825" s="1">
        <v>44811</v>
      </c>
      <c r="L825">
        <v>2022</v>
      </c>
      <c r="M825" t="str">
        <f>UPPER(TEXT(_2020_2022[[#This Row],[Data da Venda]],"mmm"))</f>
        <v>SET</v>
      </c>
    </row>
    <row r="826" spans="1:13" x14ac:dyDescent="0.25">
      <c r="A826" t="s">
        <v>14</v>
      </c>
      <c r="B826">
        <v>2000</v>
      </c>
      <c r="C826">
        <v>4</v>
      </c>
      <c r="D826" t="s">
        <v>31</v>
      </c>
      <c r="E826" t="s">
        <v>645</v>
      </c>
      <c r="F826" t="s">
        <v>1004</v>
      </c>
      <c r="G826" t="s">
        <v>643</v>
      </c>
      <c r="H826">
        <v>28</v>
      </c>
      <c r="I826" t="s">
        <v>651</v>
      </c>
      <c r="J826">
        <v>8000</v>
      </c>
      <c r="K826" s="1">
        <v>44625</v>
      </c>
      <c r="L826">
        <v>2022</v>
      </c>
      <c r="M826" t="str">
        <f>UPPER(TEXT(_2020_2022[[#This Row],[Data da Venda]],"mmm"))</f>
        <v>MAR</v>
      </c>
    </row>
    <row r="827" spans="1:13" x14ac:dyDescent="0.25">
      <c r="A827" t="s">
        <v>1442</v>
      </c>
      <c r="B827">
        <v>1200</v>
      </c>
      <c r="C827">
        <v>1</v>
      </c>
      <c r="D827" t="s">
        <v>31</v>
      </c>
      <c r="E827" t="s">
        <v>645</v>
      </c>
      <c r="F827" t="s">
        <v>697</v>
      </c>
      <c r="G827" t="s">
        <v>650</v>
      </c>
      <c r="H827">
        <v>35</v>
      </c>
      <c r="I827" t="s">
        <v>644</v>
      </c>
      <c r="J827">
        <v>1200</v>
      </c>
      <c r="K827" s="1">
        <v>44810</v>
      </c>
      <c r="L827">
        <v>2022</v>
      </c>
      <c r="M827" t="str">
        <f>UPPER(TEXT(_2020_2022[[#This Row],[Data da Venda]],"mmm"))</f>
        <v>SET</v>
      </c>
    </row>
    <row r="828" spans="1:13" x14ac:dyDescent="0.25">
      <c r="A828" t="s">
        <v>11</v>
      </c>
      <c r="B828">
        <v>4500</v>
      </c>
      <c r="C828">
        <v>2</v>
      </c>
      <c r="D828" t="s">
        <v>41</v>
      </c>
      <c r="E828" t="s">
        <v>681</v>
      </c>
      <c r="F828" t="s">
        <v>1152</v>
      </c>
      <c r="G828" t="s">
        <v>650</v>
      </c>
      <c r="H828">
        <v>49</v>
      </c>
      <c r="I828" t="s">
        <v>644</v>
      </c>
      <c r="J828">
        <v>9000</v>
      </c>
      <c r="K828" s="1">
        <v>44812</v>
      </c>
      <c r="L828">
        <v>2022</v>
      </c>
      <c r="M828" t="str">
        <f>UPPER(TEXT(_2020_2022[[#This Row],[Data da Venda]],"mmm"))</f>
        <v>SET</v>
      </c>
    </row>
    <row r="829" spans="1:13" x14ac:dyDescent="0.25">
      <c r="A829" t="s">
        <v>24</v>
      </c>
      <c r="B829">
        <v>2000</v>
      </c>
      <c r="C829">
        <v>5</v>
      </c>
      <c r="D829" t="s">
        <v>33</v>
      </c>
      <c r="E829" t="s">
        <v>641</v>
      </c>
      <c r="F829" t="s">
        <v>688</v>
      </c>
      <c r="G829" t="s">
        <v>643</v>
      </c>
      <c r="H829">
        <v>61</v>
      </c>
      <c r="I829" t="s">
        <v>647</v>
      </c>
      <c r="J829">
        <v>10000</v>
      </c>
      <c r="K829" s="1">
        <v>44621</v>
      </c>
      <c r="L829">
        <v>2022</v>
      </c>
      <c r="M829" t="str">
        <f>UPPER(TEXT(_2020_2022[[#This Row],[Data da Venda]],"mmm"))</f>
        <v>MAR</v>
      </c>
    </row>
    <row r="830" spans="1:13" x14ac:dyDescent="0.25">
      <c r="A830" t="s">
        <v>22</v>
      </c>
      <c r="B830">
        <v>5200</v>
      </c>
      <c r="C830">
        <v>5</v>
      </c>
      <c r="D830" t="s">
        <v>39</v>
      </c>
      <c r="E830" t="s">
        <v>641</v>
      </c>
      <c r="F830" t="s">
        <v>1153</v>
      </c>
      <c r="G830" t="s">
        <v>650</v>
      </c>
      <c r="H830">
        <v>61</v>
      </c>
      <c r="I830" t="s">
        <v>647</v>
      </c>
      <c r="J830">
        <v>26000</v>
      </c>
      <c r="K830" s="1">
        <v>44723</v>
      </c>
      <c r="L830">
        <v>2022</v>
      </c>
      <c r="M830" t="str">
        <f>UPPER(TEXT(_2020_2022[[#This Row],[Data da Venda]],"mmm"))</f>
        <v>JUN</v>
      </c>
    </row>
    <row r="831" spans="1:13" x14ac:dyDescent="0.25">
      <c r="A831" t="s">
        <v>24</v>
      </c>
      <c r="B831">
        <v>2000</v>
      </c>
      <c r="C831">
        <v>3</v>
      </c>
      <c r="D831" t="s">
        <v>32</v>
      </c>
      <c r="E831" t="s">
        <v>652</v>
      </c>
      <c r="F831" t="s">
        <v>1151</v>
      </c>
      <c r="G831" t="s">
        <v>650</v>
      </c>
      <c r="H831">
        <v>28</v>
      </c>
      <c r="I831" t="s">
        <v>651</v>
      </c>
      <c r="J831">
        <v>6000</v>
      </c>
      <c r="K831" s="1">
        <v>44920</v>
      </c>
      <c r="L831">
        <v>2022</v>
      </c>
      <c r="M831" t="str">
        <f>UPPER(TEXT(_2020_2022[[#This Row],[Data da Venda]],"mmm"))</f>
        <v>DEZ</v>
      </c>
    </row>
    <row r="832" spans="1:13" x14ac:dyDescent="0.25">
      <c r="A832" t="s">
        <v>1442</v>
      </c>
      <c r="B832">
        <v>1200</v>
      </c>
      <c r="C832">
        <v>4</v>
      </c>
      <c r="D832" t="s">
        <v>30</v>
      </c>
      <c r="E832" t="s">
        <v>645</v>
      </c>
      <c r="F832" t="s">
        <v>1044</v>
      </c>
      <c r="G832" t="s">
        <v>650</v>
      </c>
      <c r="H832">
        <v>45</v>
      </c>
      <c r="I832" t="s">
        <v>644</v>
      </c>
      <c r="J832">
        <v>4800</v>
      </c>
      <c r="K832" s="1">
        <v>44656</v>
      </c>
      <c r="L832">
        <v>2022</v>
      </c>
      <c r="M832" t="str">
        <f>UPPER(TEXT(_2020_2022[[#This Row],[Data da Venda]],"mmm"))</f>
        <v>ABR</v>
      </c>
    </row>
    <row r="833" spans="1:13" x14ac:dyDescent="0.25">
      <c r="A833" t="s">
        <v>21</v>
      </c>
      <c r="B833">
        <v>2400</v>
      </c>
      <c r="C833">
        <v>4</v>
      </c>
      <c r="D833" t="s">
        <v>29</v>
      </c>
      <c r="E833" t="s">
        <v>641</v>
      </c>
      <c r="F833" t="s">
        <v>1154</v>
      </c>
      <c r="G833" t="s">
        <v>650</v>
      </c>
      <c r="H833">
        <v>57</v>
      </c>
      <c r="I833" t="s">
        <v>647</v>
      </c>
      <c r="J833">
        <v>9600</v>
      </c>
      <c r="K833" s="1">
        <v>44764</v>
      </c>
      <c r="L833">
        <v>2022</v>
      </c>
      <c r="M833" t="str">
        <f>UPPER(TEXT(_2020_2022[[#This Row],[Data da Venda]],"mmm"))</f>
        <v>JUL</v>
      </c>
    </row>
    <row r="834" spans="1:13" x14ac:dyDescent="0.25">
      <c r="A834" t="s">
        <v>1441</v>
      </c>
      <c r="B834">
        <v>1450</v>
      </c>
      <c r="C834">
        <v>1</v>
      </c>
      <c r="D834" t="s">
        <v>29</v>
      </c>
      <c r="E834" t="s">
        <v>641</v>
      </c>
      <c r="F834" t="s">
        <v>1155</v>
      </c>
      <c r="G834" t="s">
        <v>650</v>
      </c>
      <c r="H834">
        <v>29</v>
      </c>
      <c r="I834" t="s">
        <v>651</v>
      </c>
      <c r="J834">
        <v>1450</v>
      </c>
      <c r="K834" s="1">
        <v>44817</v>
      </c>
      <c r="L834">
        <v>2022</v>
      </c>
      <c r="M834" t="str">
        <f>UPPER(TEXT(_2020_2022[[#This Row],[Data da Venda]],"mmm"))</f>
        <v>SET</v>
      </c>
    </row>
    <row r="835" spans="1:13" x14ac:dyDescent="0.25">
      <c r="A835" t="s">
        <v>12</v>
      </c>
      <c r="B835">
        <v>6500</v>
      </c>
      <c r="C835">
        <v>5</v>
      </c>
      <c r="D835" t="s">
        <v>37</v>
      </c>
      <c r="E835" t="s">
        <v>645</v>
      </c>
      <c r="F835" t="s">
        <v>668</v>
      </c>
      <c r="G835" t="s">
        <v>650</v>
      </c>
      <c r="H835">
        <v>57</v>
      </c>
      <c r="I835" t="s">
        <v>647</v>
      </c>
      <c r="J835">
        <v>32500</v>
      </c>
      <c r="K835" s="1">
        <v>44703</v>
      </c>
      <c r="L835">
        <v>2022</v>
      </c>
      <c r="M835" t="str">
        <f>UPPER(TEXT(_2020_2022[[#This Row],[Data da Venda]],"mmm"))</f>
        <v>MAI</v>
      </c>
    </row>
    <row r="836" spans="1:13" x14ac:dyDescent="0.25">
      <c r="A836" t="s">
        <v>21</v>
      </c>
      <c r="B836">
        <v>2400</v>
      </c>
      <c r="C836">
        <v>2</v>
      </c>
      <c r="D836" t="s">
        <v>36</v>
      </c>
      <c r="E836" t="s">
        <v>677</v>
      </c>
      <c r="F836" t="s">
        <v>690</v>
      </c>
      <c r="G836" t="s">
        <v>650</v>
      </c>
      <c r="H836">
        <v>60</v>
      </c>
      <c r="I836" t="s">
        <v>647</v>
      </c>
      <c r="J836">
        <v>4800</v>
      </c>
      <c r="K836" s="1">
        <v>44683</v>
      </c>
      <c r="L836">
        <v>2022</v>
      </c>
      <c r="M836" t="str">
        <f>UPPER(TEXT(_2020_2022[[#This Row],[Data da Venda]],"mmm"))</f>
        <v>MAI</v>
      </c>
    </row>
    <row r="837" spans="1:13" x14ac:dyDescent="0.25">
      <c r="A837" t="s">
        <v>1440</v>
      </c>
      <c r="B837">
        <v>700</v>
      </c>
      <c r="C837">
        <v>3</v>
      </c>
      <c r="D837" t="s">
        <v>29</v>
      </c>
      <c r="E837" t="s">
        <v>641</v>
      </c>
      <c r="F837" t="s">
        <v>1156</v>
      </c>
      <c r="G837" t="s">
        <v>643</v>
      </c>
      <c r="H837">
        <v>31</v>
      </c>
      <c r="I837" t="s">
        <v>644</v>
      </c>
      <c r="J837">
        <v>2100</v>
      </c>
      <c r="K837" s="1">
        <v>44734</v>
      </c>
      <c r="L837">
        <v>2022</v>
      </c>
      <c r="M837" t="str">
        <f>UPPER(TEXT(_2020_2022[[#This Row],[Data da Venda]],"mmm"))</f>
        <v>JUN</v>
      </c>
    </row>
    <row r="838" spans="1:13" x14ac:dyDescent="0.25">
      <c r="A838" t="s">
        <v>14</v>
      </c>
      <c r="B838">
        <v>2000</v>
      </c>
      <c r="C838">
        <v>1</v>
      </c>
      <c r="D838" t="s">
        <v>40</v>
      </c>
      <c r="E838" t="s">
        <v>657</v>
      </c>
      <c r="F838" t="s">
        <v>1157</v>
      </c>
      <c r="G838" t="s">
        <v>643</v>
      </c>
      <c r="H838">
        <v>36</v>
      </c>
      <c r="I838" t="s">
        <v>644</v>
      </c>
      <c r="J838">
        <v>2000</v>
      </c>
      <c r="K838" s="1">
        <v>44583</v>
      </c>
      <c r="L838">
        <v>2022</v>
      </c>
      <c r="M838" t="str">
        <f>UPPER(TEXT(_2020_2022[[#This Row],[Data da Venda]],"mmm"))</f>
        <v>JAN</v>
      </c>
    </row>
    <row r="839" spans="1:13" x14ac:dyDescent="0.25">
      <c r="A839" t="s">
        <v>1442</v>
      </c>
      <c r="B839">
        <v>1200</v>
      </c>
      <c r="C839">
        <v>3</v>
      </c>
      <c r="D839" t="s">
        <v>40</v>
      </c>
      <c r="E839" t="s">
        <v>657</v>
      </c>
      <c r="F839" t="s">
        <v>1150</v>
      </c>
      <c r="G839" t="s">
        <v>643</v>
      </c>
      <c r="H839">
        <v>25</v>
      </c>
      <c r="I839" t="s">
        <v>651</v>
      </c>
      <c r="J839">
        <v>3600</v>
      </c>
      <c r="K839" s="1">
        <v>44685</v>
      </c>
      <c r="L839">
        <v>2022</v>
      </c>
      <c r="M839" t="str">
        <f>UPPER(TEXT(_2020_2022[[#This Row],[Data da Venda]],"mmm"))</f>
        <v>MAI</v>
      </c>
    </row>
    <row r="840" spans="1:13" x14ac:dyDescent="0.25">
      <c r="A840" t="s">
        <v>25</v>
      </c>
      <c r="B840">
        <v>2500</v>
      </c>
      <c r="C840">
        <v>5</v>
      </c>
      <c r="D840" t="s">
        <v>33</v>
      </c>
      <c r="E840" t="s">
        <v>641</v>
      </c>
      <c r="F840" t="s">
        <v>863</v>
      </c>
      <c r="G840" t="s">
        <v>643</v>
      </c>
      <c r="H840">
        <v>48</v>
      </c>
      <c r="I840" t="s">
        <v>644</v>
      </c>
      <c r="J840">
        <v>12500</v>
      </c>
      <c r="K840" s="1">
        <v>44830</v>
      </c>
      <c r="L840">
        <v>2022</v>
      </c>
      <c r="M840" t="str">
        <f>UPPER(TEXT(_2020_2022[[#This Row],[Data da Venda]],"mmm"))</f>
        <v>SET</v>
      </c>
    </row>
    <row r="841" spans="1:13" x14ac:dyDescent="0.25">
      <c r="A841" t="s">
        <v>21</v>
      </c>
      <c r="B841">
        <v>2400</v>
      </c>
      <c r="C841">
        <v>2</v>
      </c>
      <c r="D841" t="s">
        <v>34</v>
      </c>
      <c r="E841" t="s">
        <v>679</v>
      </c>
      <c r="F841" t="s">
        <v>927</v>
      </c>
      <c r="G841" t="s">
        <v>650</v>
      </c>
      <c r="H841">
        <v>48</v>
      </c>
      <c r="I841" t="s">
        <v>644</v>
      </c>
      <c r="J841">
        <v>4800</v>
      </c>
      <c r="K841" s="1">
        <v>44648</v>
      </c>
      <c r="L841">
        <v>2022</v>
      </c>
      <c r="M841" t="str">
        <f>UPPER(TEXT(_2020_2022[[#This Row],[Data da Venda]],"mmm"))</f>
        <v>MAR</v>
      </c>
    </row>
    <row r="842" spans="1:13" x14ac:dyDescent="0.25">
      <c r="A842" t="s">
        <v>25</v>
      </c>
      <c r="B842">
        <v>2500</v>
      </c>
      <c r="C842">
        <v>1</v>
      </c>
      <c r="D842" t="s">
        <v>35</v>
      </c>
      <c r="E842" t="s">
        <v>666</v>
      </c>
      <c r="F842" t="s">
        <v>855</v>
      </c>
      <c r="G842" t="s">
        <v>643</v>
      </c>
      <c r="H842">
        <v>33</v>
      </c>
      <c r="I842" t="s">
        <v>644</v>
      </c>
      <c r="J842">
        <v>2500</v>
      </c>
      <c r="K842" s="1">
        <v>44747</v>
      </c>
      <c r="L842">
        <v>2022</v>
      </c>
      <c r="M842" t="str">
        <f>UPPER(TEXT(_2020_2022[[#This Row],[Data da Venda]],"mmm"))</f>
        <v>JUL</v>
      </c>
    </row>
    <row r="843" spans="1:13" x14ac:dyDescent="0.25">
      <c r="A843" t="s">
        <v>14</v>
      </c>
      <c r="B843">
        <v>2000</v>
      </c>
      <c r="C843">
        <v>2</v>
      </c>
      <c r="D843" t="s">
        <v>37</v>
      </c>
      <c r="E843" t="s">
        <v>645</v>
      </c>
      <c r="F843" t="s">
        <v>1158</v>
      </c>
      <c r="G843" t="s">
        <v>650</v>
      </c>
      <c r="H843">
        <v>45</v>
      </c>
      <c r="I843" t="s">
        <v>644</v>
      </c>
      <c r="J843">
        <v>4000</v>
      </c>
      <c r="K843" s="1">
        <v>44587</v>
      </c>
      <c r="L843">
        <v>2022</v>
      </c>
      <c r="M843" t="str">
        <f>UPPER(TEXT(_2020_2022[[#This Row],[Data da Venda]],"mmm"))</f>
        <v>JAN</v>
      </c>
    </row>
    <row r="844" spans="1:13" x14ac:dyDescent="0.25">
      <c r="A844" t="s">
        <v>5</v>
      </c>
      <c r="B844">
        <v>1750</v>
      </c>
      <c r="C844">
        <v>5</v>
      </c>
      <c r="D844" t="s">
        <v>38</v>
      </c>
      <c r="E844" t="s">
        <v>648</v>
      </c>
      <c r="F844" t="s">
        <v>1100</v>
      </c>
      <c r="G844" t="s">
        <v>650</v>
      </c>
      <c r="H844">
        <v>35</v>
      </c>
      <c r="I844" t="s">
        <v>644</v>
      </c>
      <c r="J844">
        <v>8750</v>
      </c>
      <c r="K844" s="1">
        <v>44779</v>
      </c>
      <c r="L844">
        <v>2022</v>
      </c>
      <c r="M844" t="str">
        <f>UPPER(TEXT(_2020_2022[[#This Row],[Data da Venda]],"mmm"))</f>
        <v>AGO</v>
      </c>
    </row>
    <row r="845" spans="1:13" x14ac:dyDescent="0.25">
      <c r="A845" t="s">
        <v>16</v>
      </c>
      <c r="B845">
        <v>1400</v>
      </c>
      <c r="C845">
        <v>4</v>
      </c>
      <c r="D845" t="s">
        <v>33</v>
      </c>
      <c r="E845" t="s">
        <v>641</v>
      </c>
      <c r="F845" t="s">
        <v>1159</v>
      </c>
      <c r="G845" t="s">
        <v>643</v>
      </c>
      <c r="H845">
        <v>48</v>
      </c>
      <c r="I845" t="s">
        <v>644</v>
      </c>
      <c r="J845">
        <v>5600</v>
      </c>
      <c r="K845" s="1">
        <v>44865</v>
      </c>
      <c r="L845">
        <v>2022</v>
      </c>
      <c r="M845" t="str">
        <f>UPPER(TEXT(_2020_2022[[#This Row],[Data da Venda]],"mmm"))</f>
        <v>OUT</v>
      </c>
    </row>
    <row r="846" spans="1:13" x14ac:dyDescent="0.25">
      <c r="A846" t="s">
        <v>18</v>
      </c>
      <c r="B846">
        <v>3000</v>
      </c>
      <c r="C846">
        <v>4</v>
      </c>
      <c r="D846" t="s">
        <v>37</v>
      </c>
      <c r="E846" t="s">
        <v>645</v>
      </c>
      <c r="F846" t="s">
        <v>694</v>
      </c>
      <c r="G846" t="s">
        <v>643</v>
      </c>
      <c r="H846">
        <v>44</v>
      </c>
      <c r="I846" t="s">
        <v>644</v>
      </c>
      <c r="J846">
        <v>12000</v>
      </c>
      <c r="K846" s="1">
        <v>44662</v>
      </c>
      <c r="L846">
        <v>2022</v>
      </c>
      <c r="M846" t="str">
        <f>UPPER(TEXT(_2020_2022[[#This Row],[Data da Venda]],"mmm"))</f>
        <v>ABR</v>
      </c>
    </row>
    <row r="847" spans="1:13" x14ac:dyDescent="0.25">
      <c r="A847" t="s">
        <v>1440</v>
      </c>
      <c r="B847">
        <v>700</v>
      </c>
      <c r="C847">
        <v>1</v>
      </c>
      <c r="D847" t="s">
        <v>34</v>
      </c>
      <c r="E847" t="s">
        <v>679</v>
      </c>
      <c r="F847" t="s">
        <v>1125</v>
      </c>
      <c r="G847" t="s">
        <v>643</v>
      </c>
      <c r="H847">
        <v>67</v>
      </c>
      <c r="I847" t="s">
        <v>647</v>
      </c>
      <c r="J847">
        <v>700</v>
      </c>
      <c r="K847" s="1">
        <v>44775</v>
      </c>
      <c r="L847">
        <v>2022</v>
      </c>
      <c r="M847" t="str">
        <f>UPPER(TEXT(_2020_2022[[#This Row],[Data da Venda]],"mmm"))</f>
        <v>AGO</v>
      </c>
    </row>
    <row r="848" spans="1:13" x14ac:dyDescent="0.25">
      <c r="A848" t="s">
        <v>1440</v>
      </c>
      <c r="B848">
        <v>700</v>
      </c>
      <c r="C848">
        <v>4</v>
      </c>
      <c r="D848" t="s">
        <v>39</v>
      </c>
      <c r="E848" t="s">
        <v>641</v>
      </c>
      <c r="F848" t="s">
        <v>1160</v>
      </c>
      <c r="G848" t="s">
        <v>643</v>
      </c>
      <c r="H848">
        <v>34</v>
      </c>
      <c r="I848" t="s">
        <v>644</v>
      </c>
      <c r="J848">
        <v>2800</v>
      </c>
      <c r="K848" s="1">
        <v>44919</v>
      </c>
      <c r="L848">
        <v>2022</v>
      </c>
      <c r="M848" t="str">
        <f>UPPER(TEXT(_2020_2022[[#This Row],[Data da Venda]],"mmm"))</f>
        <v>DEZ</v>
      </c>
    </row>
    <row r="849" spans="1:13" x14ac:dyDescent="0.25">
      <c r="A849" t="s">
        <v>1441</v>
      </c>
      <c r="B849">
        <v>1450</v>
      </c>
      <c r="C849">
        <v>4</v>
      </c>
      <c r="D849" t="s">
        <v>32</v>
      </c>
      <c r="E849" t="s">
        <v>652</v>
      </c>
      <c r="F849" t="s">
        <v>871</v>
      </c>
      <c r="G849" t="s">
        <v>650</v>
      </c>
      <c r="H849">
        <v>56</v>
      </c>
      <c r="I849" t="s">
        <v>647</v>
      </c>
      <c r="J849">
        <v>5800</v>
      </c>
      <c r="K849" s="1">
        <v>44722</v>
      </c>
      <c r="L849">
        <v>2022</v>
      </c>
      <c r="M849" t="str">
        <f>UPPER(TEXT(_2020_2022[[#This Row],[Data da Venda]],"mmm"))</f>
        <v>JUN</v>
      </c>
    </row>
    <row r="850" spans="1:13" x14ac:dyDescent="0.25">
      <c r="A850" t="s">
        <v>13</v>
      </c>
      <c r="B850">
        <v>2300</v>
      </c>
      <c r="C850">
        <v>5</v>
      </c>
      <c r="D850" t="s">
        <v>36</v>
      </c>
      <c r="E850" t="s">
        <v>677</v>
      </c>
      <c r="F850" t="s">
        <v>1161</v>
      </c>
      <c r="G850" t="s">
        <v>643</v>
      </c>
      <c r="H850">
        <v>70</v>
      </c>
      <c r="I850" t="s">
        <v>647</v>
      </c>
      <c r="J850">
        <v>11500</v>
      </c>
      <c r="K850" s="1">
        <v>44886</v>
      </c>
      <c r="L850">
        <v>2022</v>
      </c>
      <c r="M850" t="str">
        <f>UPPER(TEXT(_2020_2022[[#This Row],[Data da Venda]],"mmm"))</f>
        <v>NOV</v>
      </c>
    </row>
    <row r="851" spans="1:13" x14ac:dyDescent="0.25">
      <c r="A851" t="s">
        <v>1445</v>
      </c>
      <c r="B851">
        <v>1500</v>
      </c>
      <c r="C851">
        <v>5</v>
      </c>
      <c r="D851" t="s">
        <v>36</v>
      </c>
      <c r="E851" t="s">
        <v>677</v>
      </c>
      <c r="F851" t="s">
        <v>821</v>
      </c>
      <c r="G851" t="s">
        <v>643</v>
      </c>
      <c r="H851">
        <v>56</v>
      </c>
      <c r="I851" t="s">
        <v>647</v>
      </c>
      <c r="J851">
        <v>7500</v>
      </c>
      <c r="K851" s="1">
        <v>44626</v>
      </c>
      <c r="L851">
        <v>2022</v>
      </c>
      <c r="M851" t="str">
        <f>UPPER(TEXT(_2020_2022[[#This Row],[Data da Venda]],"mmm"))</f>
        <v>MAR</v>
      </c>
    </row>
    <row r="852" spans="1:13" x14ac:dyDescent="0.25">
      <c r="A852" t="s">
        <v>21</v>
      </c>
      <c r="B852">
        <v>2400</v>
      </c>
      <c r="C852">
        <v>4</v>
      </c>
      <c r="D852" t="s">
        <v>34</v>
      </c>
      <c r="E852" t="s">
        <v>679</v>
      </c>
      <c r="F852" t="s">
        <v>1125</v>
      </c>
      <c r="G852" t="s">
        <v>643</v>
      </c>
      <c r="H852">
        <v>67</v>
      </c>
      <c r="I852" t="s">
        <v>647</v>
      </c>
      <c r="J852">
        <v>9600</v>
      </c>
      <c r="K852" s="1">
        <v>44644</v>
      </c>
      <c r="L852">
        <v>2022</v>
      </c>
      <c r="M852" t="str">
        <f>UPPER(TEXT(_2020_2022[[#This Row],[Data da Venda]],"mmm"))</f>
        <v>MAR</v>
      </c>
    </row>
    <row r="853" spans="1:13" x14ac:dyDescent="0.25">
      <c r="A853" t="s">
        <v>18</v>
      </c>
      <c r="B853">
        <v>3000</v>
      </c>
      <c r="C853">
        <v>5</v>
      </c>
      <c r="D853" t="s">
        <v>29</v>
      </c>
      <c r="E853" t="s">
        <v>641</v>
      </c>
      <c r="F853" t="s">
        <v>1022</v>
      </c>
      <c r="G853" t="s">
        <v>650</v>
      </c>
      <c r="H853">
        <v>61</v>
      </c>
      <c r="I853" t="s">
        <v>647</v>
      </c>
      <c r="J853">
        <v>15000</v>
      </c>
      <c r="K853" s="1">
        <v>44901</v>
      </c>
      <c r="L853">
        <v>2022</v>
      </c>
      <c r="M853" t="str">
        <f>UPPER(TEXT(_2020_2022[[#This Row],[Data da Venda]],"mmm"))</f>
        <v>DEZ</v>
      </c>
    </row>
    <row r="854" spans="1:13" x14ac:dyDescent="0.25">
      <c r="A854" t="s">
        <v>26</v>
      </c>
      <c r="B854">
        <v>1100</v>
      </c>
      <c r="C854">
        <v>5</v>
      </c>
      <c r="D854" t="s">
        <v>41</v>
      </c>
      <c r="E854" t="s">
        <v>681</v>
      </c>
      <c r="F854" t="s">
        <v>1162</v>
      </c>
      <c r="G854" t="s">
        <v>650</v>
      </c>
      <c r="H854">
        <v>57</v>
      </c>
      <c r="I854" t="s">
        <v>647</v>
      </c>
      <c r="J854">
        <v>5500</v>
      </c>
      <c r="K854" s="1">
        <v>44624</v>
      </c>
      <c r="L854">
        <v>2022</v>
      </c>
      <c r="M854" t="str">
        <f>UPPER(TEXT(_2020_2022[[#This Row],[Data da Venda]],"mmm"))</f>
        <v>MAR</v>
      </c>
    </row>
    <row r="855" spans="1:13" x14ac:dyDescent="0.25">
      <c r="A855" t="s">
        <v>1441</v>
      </c>
      <c r="B855">
        <v>1450</v>
      </c>
      <c r="C855">
        <v>1</v>
      </c>
      <c r="D855" t="s">
        <v>29</v>
      </c>
      <c r="E855" t="s">
        <v>641</v>
      </c>
      <c r="F855" t="s">
        <v>720</v>
      </c>
      <c r="G855" t="s">
        <v>650</v>
      </c>
      <c r="H855">
        <v>57</v>
      </c>
      <c r="I855" t="s">
        <v>647</v>
      </c>
      <c r="J855">
        <v>1450</v>
      </c>
      <c r="K855" s="1">
        <v>44826</v>
      </c>
      <c r="L855">
        <v>2022</v>
      </c>
      <c r="M855" t="str">
        <f>UPPER(TEXT(_2020_2022[[#This Row],[Data da Venda]],"mmm"))</f>
        <v>SET</v>
      </c>
    </row>
    <row r="856" spans="1:13" x14ac:dyDescent="0.25">
      <c r="A856" t="s">
        <v>9</v>
      </c>
      <c r="B856">
        <v>1500</v>
      </c>
      <c r="C856">
        <v>3</v>
      </c>
      <c r="D856" t="s">
        <v>39</v>
      </c>
      <c r="E856" t="s">
        <v>641</v>
      </c>
      <c r="F856" t="s">
        <v>1163</v>
      </c>
      <c r="G856" t="s">
        <v>650</v>
      </c>
      <c r="H856">
        <v>42</v>
      </c>
      <c r="I856" t="s">
        <v>644</v>
      </c>
      <c r="J856">
        <v>4500</v>
      </c>
      <c r="K856" s="1">
        <v>44712</v>
      </c>
      <c r="L856">
        <v>2022</v>
      </c>
      <c r="M856" t="str">
        <f>UPPER(TEXT(_2020_2022[[#This Row],[Data da Venda]],"mmm"))</f>
        <v>MAI</v>
      </c>
    </row>
    <row r="857" spans="1:13" x14ac:dyDescent="0.25">
      <c r="A857" t="s">
        <v>5</v>
      </c>
      <c r="B857">
        <v>1750</v>
      </c>
      <c r="C857">
        <v>4</v>
      </c>
      <c r="D857" t="s">
        <v>39</v>
      </c>
      <c r="E857" t="s">
        <v>641</v>
      </c>
      <c r="F857" t="s">
        <v>874</v>
      </c>
      <c r="G857" t="s">
        <v>643</v>
      </c>
      <c r="H857">
        <v>40</v>
      </c>
      <c r="I857" t="s">
        <v>644</v>
      </c>
      <c r="J857">
        <v>7000</v>
      </c>
      <c r="K857" s="1">
        <v>44666</v>
      </c>
      <c r="L857">
        <v>2022</v>
      </c>
      <c r="M857" t="str">
        <f>UPPER(TEXT(_2020_2022[[#This Row],[Data da Venda]],"mmm"))</f>
        <v>ABR</v>
      </c>
    </row>
    <row r="858" spans="1:13" x14ac:dyDescent="0.25">
      <c r="A858" t="s">
        <v>1444</v>
      </c>
      <c r="B858">
        <v>1500</v>
      </c>
      <c r="C858">
        <v>3</v>
      </c>
      <c r="D858" t="s">
        <v>29</v>
      </c>
      <c r="E858" t="s">
        <v>641</v>
      </c>
      <c r="F858" t="s">
        <v>868</v>
      </c>
      <c r="G858" t="s">
        <v>643</v>
      </c>
      <c r="H858">
        <v>71</v>
      </c>
      <c r="I858" t="s">
        <v>647</v>
      </c>
      <c r="J858">
        <v>4500</v>
      </c>
      <c r="K858" s="1">
        <v>44614</v>
      </c>
      <c r="L858">
        <v>2022</v>
      </c>
      <c r="M858" t="str">
        <f>UPPER(TEXT(_2020_2022[[#This Row],[Data da Venda]],"mmm"))</f>
        <v>FEV</v>
      </c>
    </row>
    <row r="859" spans="1:13" x14ac:dyDescent="0.25">
      <c r="A859" t="s">
        <v>16</v>
      </c>
      <c r="B859">
        <v>1400</v>
      </c>
      <c r="C859">
        <v>3</v>
      </c>
      <c r="D859" t="s">
        <v>30</v>
      </c>
      <c r="E859" t="s">
        <v>645</v>
      </c>
      <c r="F859" t="s">
        <v>1111</v>
      </c>
      <c r="G859" t="s">
        <v>643</v>
      </c>
      <c r="H859">
        <v>70</v>
      </c>
      <c r="I859" t="s">
        <v>647</v>
      </c>
      <c r="J859">
        <v>4200</v>
      </c>
      <c r="K859" s="1">
        <v>44816</v>
      </c>
      <c r="L859">
        <v>2022</v>
      </c>
      <c r="M859" t="str">
        <f>UPPER(TEXT(_2020_2022[[#This Row],[Data da Venda]],"mmm"))</f>
        <v>SET</v>
      </c>
    </row>
    <row r="860" spans="1:13" x14ac:dyDescent="0.25">
      <c r="A860" t="s">
        <v>12</v>
      </c>
      <c r="B860">
        <v>6500</v>
      </c>
      <c r="C860">
        <v>2</v>
      </c>
      <c r="D860" t="s">
        <v>37</v>
      </c>
      <c r="E860" t="s">
        <v>645</v>
      </c>
      <c r="F860" t="s">
        <v>881</v>
      </c>
      <c r="G860" t="s">
        <v>643</v>
      </c>
      <c r="H860">
        <v>68</v>
      </c>
      <c r="I860" t="s">
        <v>647</v>
      </c>
      <c r="J860">
        <v>13000</v>
      </c>
      <c r="K860" s="1">
        <v>44882</v>
      </c>
      <c r="L860">
        <v>2022</v>
      </c>
      <c r="M860" t="str">
        <f>UPPER(TEXT(_2020_2022[[#This Row],[Data da Venda]],"mmm"))</f>
        <v>NOV</v>
      </c>
    </row>
    <row r="861" spans="1:13" x14ac:dyDescent="0.25">
      <c r="A861" t="s">
        <v>5</v>
      </c>
      <c r="B861">
        <v>1750</v>
      </c>
      <c r="C861">
        <v>3</v>
      </c>
      <c r="D861" t="s">
        <v>37</v>
      </c>
      <c r="E861" t="s">
        <v>645</v>
      </c>
      <c r="F861" t="s">
        <v>1164</v>
      </c>
      <c r="G861" t="s">
        <v>643</v>
      </c>
      <c r="H861">
        <v>39</v>
      </c>
      <c r="I861" t="s">
        <v>644</v>
      </c>
      <c r="J861">
        <v>5250</v>
      </c>
      <c r="K861" s="1">
        <v>44736</v>
      </c>
      <c r="L861">
        <v>2022</v>
      </c>
      <c r="M861" t="str">
        <f>UPPER(TEXT(_2020_2022[[#This Row],[Data da Venda]],"mmm"))</f>
        <v>JUN</v>
      </c>
    </row>
    <row r="862" spans="1:13" x14ac:dyDescent="0.25">
      <c r="A862" t="s">
        <v>16</v>
      </c>
      <c r="B862">
        <v>1400</v>
      </c>
      <c r="C862">
        <v>1</v>
      </c>
      <c r="D862" t="s">
        <v>33</v>
      </c>
      <c r="E862" t="s">
        <v>641</v>
      </c>
      <c r="F862" t="s">
        <v>1067</v>
      </c>
      <c r="G862" t="s">
        <v>650</v>
      </c>
      <c r="H862">
        <v>45</v>
      </c>
      <c r="I862" t="s">
        <v>644</v>
      </c>
      <c r="J862">
        <v>1400</v>
      </c>
      <c r="K862" s="1">
        <v>44864</v>
      </c>
      <c r="L862">
        <v>2022</v>
      </c>
      <c r="M862" t="str">
        <f>UPPER(TEXT(_2020_2022[[#This Row],[Data da Venda]],"mmm"))</f>
        <v>OUT</v>
      </c>
    </row>
    <row r="863" spans="1:13" x14ac:dyDescent="0.25">
      <c r="A863" t="s">
        <v>18</v>
      </c>
      <c r="B863">
        <v>3000</v>
      </c>
      <c r="C863">
        <v>1</v>
      </c>
      <c r="D863" t="s">
        <v>37</v>
      </c>
      <c r="E863" t="s">
        <v>645</v>
      </c>
      <c r="F863" t="s">
        <v>1165</v>
      </c>
      <c r="G863" t="s">
        <v>643</v>
      </c>
      <c r="H863">
        <v>69</v>
      </c>
      <c r="I863" t="s">
        <v>647</v>
      </c>
      <c r="J863">
        <v>3000</v>
      </c>
      <c r="K863" s="1">
        <v>44911</v>
      </c>
      <c r="L863">
        <v>2022</v>
      </c>
      <c r="M863" t="str">
        <f>UPPER(TEXT(_2020_2022[[#This Row],[Data da Venda]],"mmm"))</f>
        <v>DEZ</v>
      </c>
    </row>
    <row r="864" spans="1:13" x14ac:dyDescent="0.25">
      <c r="A864" t="s">
        <v>14</v>
      </c>
      <c r="B864">
        <v>2000</v>
      </c>
      <c r="C864">
        <v>4</v>
      </c>
      <c r="D864" t="s">
        <v>37</v>
      </c>
      <c r="E864" t="s">
        <v>645</v>
      </c>
      <c r="F864" t="s">
        <v>838</v>
      </c>
      <c r="G864" t="s">
        <v>643</v>
      </c>
      <c r="H864">
        <v>54</v>
      </c>
      <c r="I864" t="s">
        <v>647</v>
      </c>
      <c r="J864">
        <v>8000</v>
      </c>
      <c r="K864" s="1">
        <v>44614</v>
      </c>
      <c r="L864">
        <v>2022</v>
      </c>
      <c r="M864" t="str">
        <f>UPPER(TEXT(_2020_2022[[#This Row],[Data da Venda]],"mmm"))</f>
        <v>FEV</v>
      </c>
    </row>
    <row r="865" spans="1:13" x14ac:dyDescent="0.25">
      <c r="A865" t="s">
        <v>26</v>
      </c>
      <c r="B865">
        <v>1100</v>
      </c>
      <c r="C865">
        <v>4</v>
      </c>
      <c r="D865" t="s">
        <v>41</v>
      </c>
      <c r="E865" t="s">
        <v>681</v>
      </c>
      <c r="F865" t="s">
        <v>972</v>
      </c>
      <c r="G865" t="s">
        <v>643</v>
      </c>
      <c r="H865">
        <v>42</v>
      </c>
      <c r="I865" t="s">
        <v>644</v>
      </c>
      <c r="J865">
        <v>4400</v>
      </c>
      <c r="K865" s="1">
        <v>44732</v>
      </c>
      <c r="L865">
        <v>2022</v>
      </c>
      <c r="M865" t="str">
        <f>UPPER(TEXT(_2020_2022[[#This Row],[Data da Venda]],"mmm"))</f>
        <v>JUN</v>
      </c>
    </row>
    <row r="866" spans="1:13" x14ac:dyDescent="0.25">
      <c r="A866" t="s">
        <v>25</v>
      </c>
      <c r="B866">
        <v>2500</v>
      </c>
      <c r="C866">
        <v>1</v>
      </c>
      <c r="D866" t="s">
        <v>34</v>
      </c>
      <c r="E866" t="s">
        <v>679</v>
      </c>
      <c r="F866" t="s">
        <v>927</v>
      </c>
      <c r="G866" t="s">
        <v>650</v>
      </c>
      <c r="H866">
        <v>48</v>
      </c>
      <c r="I866" t="s">
        <v>644</v>
      </c>
      <c r="J866">
        <v>2500</v>
      </c>
      <c r="K866" s="1">
        <v>44856</v>
      </c>
      <c r="L866">
        <v>2022</v>
      </c>
      <c r="M866" t="str">
        <f>UPPER(TEXT(_2020_2022[[#This Row],[Data da Venda]],"mmm"))</f>
        <v>OUT</v>
      </c>
    </row>
    <row r="867" spans="1:13" x14ac:dyDescent="0.25">
      <c r="A867" t="s">
        <v>15</v>
      </c>
      <c r="B867">
        <v>1900</v>
      </c>
      <c r="C867">
        <v>1</v>
      </c>
      <c r="D867" t="s">
        <v>35</v>
      </c>
      <c r="E867" t="s">
        <v>666</v>
      </c>
      <c r="F867" t="s">
        <v>667</v>
      </c>
      <c r="G867" t="s">
        <v>643</v>
      </c>
      <c r="H867">
        <v>72</v>
      </c>
      <c r="I867" t="s">
        <v>647</v>
      </c>
      <c r="J867">
        <v>1900</v>
      </c>
      <c r="K867" s="1">
        <v>44817</v>
      </c>
      <c r="L867">
        <v>2022</v>
      </c>
      <c r="M867" t="str">
        <f>UPPER(TEXT(_2020_2022[[#This Row],[Data da Venda]],"mmm"))</f>
        <v>SET</v>
      </c>
    </row>
    <row r="868" spans="1:13" x14ac:dyDescent="0.25">
      <c r="A868" t="s">
        <v>1444</v>
      </c>
      <c r="B868">
        <v>1500</v>
      </c>
      <c r="C868">
        <v>5</v>
      </c>
      <c r="D868" t="s">
        <v>35</v>
      </c>
      <c r="E868" t="s">
        <v>666</v>
      </c>
      <c r="F868" t="s">
        <v>751</v>
      </c>
      <c r="G868" t="s">
        <v>650</v>
      </c>
      <c r="H868">
        <v>67</v>
      </c>
      <c r="I868" t="s">
        <v>647</v>
      </c>
      <c r="J868">
        <v>7500</v>
      </c>
      <c r="K868" s="1">
        <v>44868</v>
      </c>
      <c r="L868">
        <v>2022</v>
      </c>
      <c r="M868" t="str">
        <f>UPPER(TEXT(_2020_2022[[#This Row],[Data da Venda]],"mmm"))</f>
        <v>NOV</v>
      </c>
    </row>
    <row r="869" spans="1:13" x14ac:dyDescent="0.25">
      <c r="A869" t="s">
        <v>20</v>
      </c>
      <c r="B869">
        <v>2600</v>
      </c>
      <c r="C869">
        <v>4</v>
      </c>
      <c r="D869" t="s">
        <v>35</v>
      </c>
      <c r="E869" t="s">
        <v>666</v>
      </c>
      <c r="F869" t="s">
        <v>1166</v>
      </c>
      <c r="G869" t="s">
        <v>650</v>
      </c>
      <c r="H869">
        <v>39</v>
      </c>
      <c r="I869" t="s">
        <v>644</v>
      </c>
      <c r="J869">
        <v>10400</v>
      </c>
      <c r="K869" s="1">
        <v>44640</v>
      </c>
      <c r="L869">
        <v>2022</v>
      </c>
      <c r="M869" t="str">
        <f>UPPER(TEXT(_2020_2022[[#This Row],[Data da Venda]],"mmm"))</f>
        <v>MAR</v>
      </c>
    </row>
    <row r="870" spans="1:13" x14ac:dyDescent="0.25">
      <c r="A870" t="s">
        <v>14</v>
      </c>
      <c r="B870">
        <v>2000</v>
      </c>
      <c r="C870">
        <v>1</v>
      </c>
      <c r="D870" t="s">
        <v>29</v>
      </c>
      <c r="E870" t="s">
        <v>641</v>
      </c>
      <c r="F870" t="s">
        <v>957</v>
      </c>
      <c r="G870" t="s">
        <v>643</v>
      </c>
      <c r="H870">
        <v>38</v>
      </c>
      <c r="I870" t="s">
        <v>644</v>
      </c>
      <c r="J870">
        <v>2000</v>
      </c>
      <c r="K870" s="1">
        <v>44749</v>
      </c>
      <c r="L870">
        <v>2022</v>
      </c>
      <c r="M870" t="str">
        <f>UPPER(TEXT(_2020_2022[[#This Row],[Data da Venda]],"mmm"))</f>
        <v>JUL</v>
      </c>
    </row>
    <row r="871" spans="1:13" x14ac:dyDescent="0.25">
      <c r="A871" t="s">
        <v>21</v>
      </c>
      <c r="B871">
        <v>2400</v>
      </c>
      <c r="C871">
        <v>1</v>
      </c>
      <c r="D871" t="s">
        <v>41</v>
      </c>
      <c r="E871" t="s">
        <v>681</v>
      </c>
      <c r="F871" t="s">
        <v>1167</v>
      </c>
      <c r="G871" t="s">
        <v>643</v>
      </c>
      <c r="H871">
        <v>34</v>
      </c>
      <c r="I871" t="s">
        <v>644</v>
      </c>
      <c r="J871">
        <v>2400</v>
      </c>
      <c r="K871" s="1">
        <v>44766</v>
      </c>
      <c r="L871">
        <v>2022</v>
      </c>
      <c r="M871" t="str">
        <f>UPPER(TEXT(_2020_2022[[#This Row],[Data da Venda]],"mmm"))</f>
        <v>JUL</v>
      </c>
    </row>
    <row r="872" spans="1:13" x14ac:dyDescent="0.25">
      <c r="A872" t="s">
        <v>1444</v>
      </c>
      <c r="B872">
        <v>1500</v>
      </c>
      <c r="C872">
        <v>3</v>
      </c>
      <c r="D872" t="s">
        <v>30</v>
      </c>
      <c r="E872" t="s">
        <v>645</v>
      </c>
      <c r="F872" t="s">
        <v>1044</v>
      </c>
      <c r="G872" t="s">
        <v>650</v>
      </c>
      <c r="H872">
        <v>45</v>
      </c>
      <c r="I872" t="s">
        <v>644</v>
      </c>
      <c r="J872">
        <v>4500</v>
      </c>
      <c r="K872" s="1">
        <v>44888</v>
      </c>
      <c r="L872">
        <v>2022</v>
      </c>
      <c r="M872" t="str">
        <f>UPPER(TEXT(_2020_2022[[#This Row],[Data da Venda]],"mmm"))</f>
        <v>NOV</v>
      </c>
    </row>
    <row r="873" spans="1:13" x14ac:dyDescent="0.25">
      <c r="A873" t="s">
        <v>12</v>
      </c>
      <c r="B873">
        <v>6500</v>
      </c>
      <c r="C873">
        <v>1</v>
      </c>
      <c r="D873" t="s">
        <v>33</v>
      </c>
      <c r="E873" t="s">
        <v>641</v>
      </c>
      <c r="F873" t="s">
        <v>783</v>
      </c>
      <c r="G873" t="s">
        <v>650</v>
      </c>
      <c r="H873">
        <v>66</v>
      </c>
      <c r="I873" t="s">
        <v>647</v>
      </c>
      <c r="J873">
        <v>6500</v>
      </c>
      <c r="K873" s="1">
        <v>44771</v>
      </c>
      <c r="L873">
        <v>2022</v>
      </c>
      <c r="M873" t="str">
        <f>UPPER(TEXT(_2020_2022[[#This Row],[Data da Venda]],"mmm"))</f>
        <v>JUL</v>
      </c>
    </row>
    <row r="874" spans="1:13" x14ac:dyDescent="0.25">
      <c r="A874" t="s">
        <v>1443</v>
      </c>
      <c r="B874">
        <v>1550</v>
      </c>
      <c r="C874">
        <v>2</v>
      </c>
      <c r="D874" t="s">
        <v>35</v>
      </c>
      <c r="E874" t="s">
        <v>666</v>
      </c>
      <c r="F874" t="s">
        <v>834</v>
      </c>
      <c r="G874" t="s">
        <v>643</v>
      </c>
      <c r="H874">
        <v>55</v>
      </c>
      <c r="I874" t="s">
        <v>647</v>
      </c>
      <c r="J874">
        <v>3100</v>
      </c>
      <c r="K874" s="1">
        <v>44616</v>
      </c>
      <c r="L874">
        <v>2022</v>
      </c>
      <c r="M874" t="str">
        <f>UPPER(TEXT(_2020_2022[[#This Row],[Data da Venda]],"mmm"))</f>
        <v>FEV</v>
      </c>
    </row>
    <row r="875" spans="1:13" x14ac:dyDescent="0.25">
      <c r="A875" t="s">
        <v>11</v>
      </c>
      <c r="B875">
        <v>4500</v>
      </c>
      <c r="C875">
        <v>4</v>
      </c>
      <c r="D875" t="s">
        <v>32</v>
      </c>
      <c r="E875" t="s">
        <v>652</v>
      </c>
      <c r="F875" t="s">
        <v>1168</v>
      </c>
      <c r="G875" t="s">
        <v>643</v>
      </c>
      <c r="H875">
        <v>64</v>
      </c>
      <c r="I875" t="s">
        <v>647</v>
      </c>
      <c r="J875">
        <v>18000</v>
      </c>
      <c r="K875" s="1">
        <v>44695</v>
      </c>
      <c r="L875">
        <v>2022</v>
      </c>
      <c r="M875" t="str">
        <f>UPPER(TEXT(_2020_2022[[#This Row],[Data da Venda]],"mmm"))</f>
        <v>MAI</v>
      </c>
    </row>
    <row r="876" spans="1:13" x14ac:dyDescent="0.25">
      <c r="A876" t="s">
        <v>18</v>
      </c>
      <c r="B876">
        <v>3000</v>
      </c>
      <c r="C876">
        <v>3</v>
      </c>
      <c r="D876" t="s">
        <v>29</v>
      </c>
      <c r="E876" t="s">
        <v>641</v>
      </c>
      <c r="F876" t="s">
        <v>1169</v>
      </c>
      <c r="G876" t="s">
        <v>650</v>
      </c>
      <c r="H876">
        <v>54</v>
      </c>
      <c r="I876" t="s">
        <v>647</v>
      </c>
      <c r="J876">
        <v>9000</v>
      </c>
      <c r="K876" s="1">
        <v>44655</v>
      </c>
      <c r="L876">
        <v>2022</v>
      </c>
      <c r="M876" t="str">
        <f>UPPER(TEXT(_2020_2022[[#This Row],[Data da Venda]],"mmm"))</f>
        <v>ABR</v>
      </c>
    </row>
    <row r="877" spans="1:13" x14ac:dyDescent="0.25">
      <c r="A877" t="s">
        <v>20</v>
      </c>
      <c r="B877">
        <v>2600</v>
      </c>
      <c r="C877">
        <v>2</v>
      </c>
      <c r="D877" t="s">
        <v>41</v>
      </c>
      <c r="E877" t="s">
        <v>681</v>
      </c>
      <c r="F877" t="s">
        <v>689</v>
      </c>
      <c r="G877" t="s">
        <v>643</v>
      </c>
      <c r="H877">
        <v>36</v>
      </c>
      <c r="I877" t="s">
        <v>644</v>
      </c>
      <c r="J877">
        <v>5200</v>
      </c>
      <c r="K877" s="1">
        <v>44648</v>
      </c>
      <c r="L877">
        <v>2022</v>
      </c>
      <c r="M877" t="str">
        <f>UPPER(TEXT(_2020_2022[[#This Row],[Data da Venda]],"mmm"))</f>
        <v>MAR</v>
      </c>
    </row>
    <row r="878" spans="1:13" x14ac:dyDescent="0.25">
      <c r="A878" t="s">
        <v>13</v>
      </c>
      <c r="B878">
        <v>2300</v>
      </c>
      <c r="C878">
        <v>5</v>
      </c>
      <c r="D878" t="s">
        <v>32</v>
      </c>
      <c r="E878" t="s">
        <v>652</v>
      </c>
      <c r="F878" t="s">
        <v>902</v>
      </c>
      <c r="G878" t="s">
        <v>650</v>
      </c>
      <c r="H878">
        <v>26</v>
      </c>
      <c r="I878" t="s">
        <v>651</v>
      </c>
      <c r="J878">
        <v>11500</v>
      </c>
      <c r="K878" s="1">
        <v>44666</v>
      </c>
      <c r="L878">
        <v>2022</v>
      </c>
      <c r="M878" t="str">
        <f>UPPER(TEXT(_2020_2022[[#This Row],[Data da Venda]],"mmm"))</f>
        <v>ABR</v>
      </c>
    </row>
    <row r="879" spans="1:13" x14ac:dyDescent="0.25">
      <c r="A879" t="s">
        <v>9</v>
      </c>
      <c r="B879">
        <v>1500</v>
      </c>
      <c r="C879">
        <v>5</v>
      </c>
      <c r="D879" t="s">
        <v>30</v>
      </c>
      <c r="E879" t="s">
        <v>645</v>
      </c>
      <c r="F879" t="s">
        <v>1038</v>
      </c>
      <c r="G879" t="s">
        <v>643</v>
      </c>
      <c r="H879">
        <v>37</v>
      </c>
      <c r="I879" t="s">
        <v>644</v>
      </c>
      <c r="J879">
        <v>7500</v>
      </c>
      <c r="K879" s="1">
        <v>44879</v>
      </c>
      <c r="L879">
        <v>2022</v>
      </c>
      <c r="M879" t="str">
        <f>UPPER(TEXT(_2020_2022[[#This Row],[Data da Venda]],"mmm"))</f>
        <v>NOV</v>
      </c>
    </row>
    <row r="880" spans="1:13" x14ac:dyDescent="0.25">
      <c r="A880" t="s">
        <v>1442</v>
      </c>
      <c r="B880">
        <v>1200</v>
      </c>
      <c r="C880">
        <v>5</v>
      </c>
      <c r="D880" t="s">
        <v>38</v>
      </c>
      <c r="E880" t="s">
        <v>648</v>
      </c>
      <c r="F880" t="s">
        <v>1170</v>
      </c>
      <c r="G880" t="s">
        <v>650</v>
      </c>
      <c r="H880">
        <v>62</v>
      </c>
      <c r="I880" t="s">
        <v>647</v>
      </c>
      <c r="J880">
        <v>6000</v>
      </c>
      <c r="K880" s="1">
        <v>44579</v>
      </c>
      <c r="L880">
        <v>2022</v>
      </c>
      <c r="M880" t="str">
        <f>UPPER(TEXT(_2020_2022[[#This Row],[Data da Venda]],"mmm"))</f>
        <v>JAN</v>
      </c>
    </row>
    <row r="881" spans="1:13" x14ac:dyDescent="0.25">
      <c r="A881" t="s">
        <v>21</v>
      </c>
      <c r="B881">
        <v>2400</v>
      </c>
      <c r="C881">
        <v>3</v>
      </c>
      <c r="D881" t="s">
        <v>35</v>
      </c>
      <c r="E881" t="s">
        <v>666</v>
      </c>
      <c r="F881" t="s">
        <v>1171</v>
      </c>
      <c r="G881" t="s">
        <v>650</v>
      </c>
      <c r="H881">
        <v>59</v>
      </c>
      <c r="I881" t="s">
        <v>647</v>
      </c>
      <c r="J881">
        <v>7200</v>
      </c>
      <c r="K881" s="1">
        <v>44615</v>
      </c>
      <c r="L881">
        <v>2022</v>
      </c>
      <c r="M881" t="str">
        <f>UPPER(TEXT(_2020_2022[[#This Row],[Data da Venda]],"mmm"))</f>
        <v>FEV</v>
      </c>
    </row>
    <row r="882" spans="1:13" x14ac:dyDescent="0.25">
      <c r="A882" t="s">
        <v>1445</v>
      </c>
      <c r="B882">
        <v>1500</v>
      </c>
      <c r="C882">
        <v>5</v>
      </c>
      <c r="D882" t="s">
        <v>32</v>
      </c>
      <c r="E882" t="s">
        <v>652</v>
      </c>
      <c r="F882" t="s">
        <v>1172</v>
      </c>
      <c r="G882" t="s">
        <v>643</v>
      </c>
      <c r="H882">
        <v>48</v>
      </c>
      <c r="I882" t="s">
        <v>644</v>
      </c>
      <c r="J882">
        <v>7500</v>
      </c>
      <c r="K882" s="1">
        <v>44925</v>
      </c>
      <c r="L882">
        <v>2022</v>
      </c>
      <c r="M882" t="str">
        <f>UPPER(TEXT(_2020_2022[[#This Row],[Data da Venda]],"mmm"))</f>
        <v>DEZ</v>
      </c>
    </row>
    <row r="883" spans="1:13" x14ac:dyDescent="0.25">
      <c r="A883" t="s">
        <v>1442</v>
      </c>
      <c r="B883">
        <v>1200</v>
      </c>
      <c r="C883">
        <v>5</v>
      </c>
      <c r="D883" t="s">
        <v>33</v>
      </c>
      <c r="E883" t="s">
        <v>641</v>
      </c>
      <c r="F883" t="s">
        <v>904</v>
      </c>
      <c r="G883" t="s">
        <v>643</v>
      </c>
      <c r="H883">
        <v>54</v>
      </c>
      <c r="I883" t="s">
        <v>647</v>
      </c>
      <c r="J883">
        <v>6000</v>
      </c>
      <c r="K883" s="1">
        <v>44819</v>
      </c>
      <c r="L883">
        <v>2022</v>
      </c>
      <c r="M883" t="str">
        <f>UPPER(TEXT(_2020_2022[[#This Row],[Data da Venda]],"mmm"))</f>
        <v>SET</v>
      </c>
    </row>
    <row r="884" spans="1:13" x14ac:dyDescent="0.25">
      <c r="A884" t="s">
        <v>15</v>
      </c>
      <c r="B884">
        <v>1900</v>
      </c>
      <c r="C884">
        <v>2</v>
      </c>
      <c r="D884" t="s">
        <v>39</v>
      </c>
      <c r="E884" t="s">
        <v>641</v>
      </c>
      <c r="F884" t="s">
        <v>1173</v>
      </c>
      <c r="G884" t="s">
        <v>650</v>
      </c>
      <c r="H884">
        <v>41</v>
      </c>
      <c r="I884" t="s">
        <v>644</v>
      </c>
      <c r="J884">
        <v>3800</v>
      </c>
      <c r="K884" s="1">
        <v>44614</v>
      </c>
      <c r="L884">
        <v>2022</v>
      </c>
      <c r="M884" t="str">
        <f>UPPER(TEXT(_2020_2022[[#This Row],[Data da Venda]],"mmm"))</f>
        <v>FEV</v>
      </c>
    </row>
    <row r="885" spans="1:13" x14ac:dyDescent="0.25">
      <c r="A885" t="s">
        <v>24</v>
      </c>
      <c r="B885">
        <v>2000</v>
      </c>
      <c r="C885">
        <v>5</v>
      </c>
      <c r="D885" t="s">
        <v>29</v>
      </c>
      <c r="E885" t="s">
        <v>641</v>
      </c>
      <c r="F885" t="s">
        <v>803</v>
      </c>
      <c r="G885" t="s">
        <v>650</v>
      </c>
      <c r="H885">
        <v>35</v>
      </c>
      <c r="I885" t="s">
        <v>644</v>
      </c>
      <c r="J885">
        <v>10000</v>
      </c>
      <c r="K885" s="1">
        <v>44826</v>
      </c>
      <c r="L885">
        <v>2022</v>
      </c>
      <c r="M885" t="str">
        <f>UPPER(TEXT(_2020_2022[[#This Row],[Data da Venda]],"mmm"))</f>
        <v>SET</v>
      </c>
    </row>
    <row r="886" spans="1:13" x14ac:dyDescent="0.25">
      <c r="A886" t="s">
        <v>22</v>
      </c>
      <c r="B886">
        <v>5200</v>
      </c>
      <c r="C886">
        <v>2</v>
      </c>
      <c r="D886" t="s">
        <v>29</v>
      </c>
      <c r="E886" t="s">
        <v>641</v>
      </c>
      <c r="F886" t="s">
        <v>1174</v>
      </c>
      <c r="G886" t="s">
        <v>650</v>
      </c>
      <c r="H886">
        <v>40</v>
      </c>
      <c r="I886" t="s">
        <v>644</v>
      </c>
      <c r="J886">
        <v>10400</v>
      </c>
      <c r="K886" s="1">
        <v>44772</v>
      </c>
      <c r="L886">
        <v>2022</v>
      </c>
      <c r="M886" t="str">
        <f>UPPER(TEXT(_2020_2022[[#This Row],[Data da Venda]],"mmm"))</f>
        <v>JUL</v>
      </c>
    </row>
    <row r="887" spans="1:13" x14ac:dyDescent="0.25">
      <c r="A887" t="s">
        <v>5</v>
      </c>
      <c r="B887">
        <v>1750</v>
      </c>
      <c r="C887">
        <v>4</v>
      </c>
      <c r="D887" t="s">
        <v>38</v>
      </c>
      <c r="E887" t="s">
        <v>648</v>
      </c>
      <c r="F887" t="s">
        <v>669</v>
      </c>
      <c r="G887" t="s">
        <v>650</v>
      </c>
      <c r="H887">
        <v>35</v>
      </c>
      <c r="I887" t="s">
        <v>644</v>
      </c>
      <c r="J887">
        <v>7000</v>
      </c>
      <c r="K887" s="1">
        <v>44669</v>
      </c>
      <c r="L887">
        <v>2022</v>
      </c>
      <c r="M887" t="str">
        <f>UPPER(TEXT(_2020_2022[[#This Row],[Data da Venda]],"mmm"))</f>
        <v>ABR</v>
      </c>
    </row>
    <row r="888" spans="1:13" x14ac:dyDescent="0.25">
      <c r="A888" t="s">
        <v>26</v>
      </c>
      <c r="B888">
        <v>1100</v>
      </c>
      <c r="C888">
        <v>3</v>
      </c>
      <c r="D888" t="s">
        <v>40</v>
      </c>
      <c r="E888" t="s">
        <v>657</v>
      </c>
      <c r="F888" t="s">
        <v>1034</v>
      </c>
      <c r="G888" t="s">
        <v>643</v>
      </c>
      <c r="H888">
        <v>75</v>
      </c>
      <c r="I888" t="s">
        <v>647</v>
      </c>
      <c r="J888">
        <v>3300</v>
      </c>
      <c r="K888" s="1">
        <v>44723</v>
      </c>
      <c r="L888">
        <v>2022</v>
      </c>
      <c r="M888" t="str">
        <f>UPPER(TEXT(_2020_2022[[#This Row],[Data da Venda]],"mmm"))</f>
        <v>JUN</v>
      </c>
    </row>
    <row r="889" spans="1:13" x14ac:dyDescent="0.25">
      <c r="A889" t="s">
        <v>8</v>
      </c>
      <c r="B889">
        <v>5500</v>
      </c>
      <c r="C889">
        <v>1</v>
      </c>
      <c r="D889" t="s">
        <v>36</v>
      </c>
      <c r="E889" t="s">
        <v>677</v>
      </c>
      <c r="F889" t="s">
        <v>1175</v>
      </c>
      <c r="G889" t="s">
        <v>650</v>
      </c>
      <c r="H889">
        <v>62</v>
      </c>
      <c r="I889" t="s">
        <v>647</v>
      </c>
      <c r="J889">
        <v>5500</v>
      </c>
      <c r="K889" s="1">
        <v>44733</v>
      </c>
      <c r="L889">
        <v>2022</v>
      </c>
      <c r="M889" t="str">
        <f>UPPER(TEXT(_2020_2022[[#This Row],[Data da Venda]],"mmm"))</f>
        <v>JUN</v>
      </c>
    </row>
    <row r="890" spans="1:13" x14ac:dyDescent="0.25">
      <c r="A890" t="s">
        <v>1444</v>
      </c>
      <c r="B890">
        <v>1500</v>
      </c>
      <c r="C890">
        <v>3</v>
      </c>
      <c r="D890" t="s">
        <v>29</v>
      </c>
      <c r="E890" t="s">
        <v>641</v>
      </c>
      <c r="F890" t="s">
        <v>748</v>
      </c>
      <c r="G890" t="s">
        <v>643</v>
      </c>
      <c r="H890">
        <v>29</v>
      </c>
      <c r="I890" t="s">
        <v>651</v>
      </c>
      <c r="J890">
        <v>4500</v>
      </c>
      <c r="K890" s="1">
        <v>44879</v>
      </c>
      <c r="L890">
        <v>2022</v>
      </c>
      <c r="M890" t="str">
        <f>UPPER(TEXT(_2020_2022[[#This Row],[Data da Venda]],"mmm"))</f>
        <v>NOV</v>
      </c>
    </row>
    <row r="891" spans="1:13" x14ac:dyDescent="0.25">
      <c r="A891" t="s">
        <v>20</v>
      </c>
      <c r="B891">
        <v>2600</v>
      </c>
      <c r="C891">
        <v>5</v>
      </c>
      <c r="D891" t="s">
        <v>36</v>
      </c>
      <c r="E891" t="s">
        <v>677</v>
      </c>
      <c r="F891" t="s">
        <v>1176</v>
      </c>
      <c r="G891" t="s">
        <v>643</v>
      </c>
      <c r="H891">
        <v>59</v>
      </c>
      <c r="I891" t="s">
        <v>647</v>
      </c>
      <c r="J891">
        <v>13000</v>
      </c>
      <c r="K891" s="1">
        <v>44656</v>
      </c>
      <c r="L891">
        <v>2022</v>
      </c>
      <c r="M891" t="str">
        <f>UPPER(TEXT(_2020_2022[[#This Row],[Data da Venda]],"mmm"))</f>
        <v>ABR</v>
      </c>
    </row>
    <row r="892" spans="1:13" x14ac:dyDescent="0.25">
      <c r="A892" t="s">
        <v>25</v>
      </c>
      <c r="B892">
        <v>2500</v>
      </c>
      <c r="C892">
        <v>5</v>
      </c>
      <c r="D892" t="s">
        <v>41</v>
      </c>
      <c r="E892" t="s">
        <v>681</v>
      </c>
      <c r="F892" t="s">
        <v>1177</v>
      </c>
      <c r="G892" t="s">
        <v>650</v>
      </c>
      <c r="H892">
        <v>46</v>
      </c>
      <c r="I892" t="s">
        <v>644</v>
      </c>
      <c r="J892">
        <v>12500</v>
      </c>
      <c r="K892" s="1">
        <v>44860</v>
      </c>
      <c r="L892">
        <v>2022</v>
      </c>
      <c r="M892" t="str">
        <f>UPPER(TEXT(_2020_2022[[#This Row],[Data da Venda]],"mmm"))</f>
        <v>OUT</v>
      </c>
    </row>
    <row r="893" spans="1:13" x14ac:dyDescent="0.25">
      <c r="A893" t="s">
        <v>1440</v>
      </c>
      <c r="B893">
        <v>700</v>
      </c>
      <c r="C893">
        <v>1</v>
      </c>
      <c r="D893" t="s">
        <v>37</v>
      </c>
      <c r="E893" t="s">
        <v>645</v>
      </c>
      <c r="F893" t="s">
        <v>997</v>
      </c>
      <c r="G893" t="s">
        <v>643</v>
      </c>
      <c r="H893">
        <v>36</v>
      </c>
      <c r="I893" t="s">
        <v>644</v>
      </c>
      <c r="J893">
        <v>700</v>
      </c>
      <c r="K893" s="1">
        <v>44642</v>
      </c>
      <c r="L893">
        <v>2022</v>
      </c>
      <c r="M893" t="str">
        <f>UPPER(TEXT(_2020_2022[[#This Row],[Data da Venda]],"mmm"))</f>
        <v>MAR</v>
      </c>
    </row>
    <row r="894" spans="1:13" x14ac:dyDescent="0.25">
      <c r="A894" t="s">
        <v>14</v>
      </c>
      <c r="B894">
        <v>2000</v>
      </c>
      <c r="C894">
        <v>1</v>
      </c>
      <c r="D894" t="s">
        <v>36</v>
      </c>
      <c r="E894" t="s">
        <v>677</v>
      </c>
      <c r="F894" t="s">
        <v>756</v>
      </c>
      <c r="G894" t="s">
        <v>643</v>
      </c>
      <c r="H894">
        <v>59</v>
      </c>
      <c r="I894" t="s">
        <v>647</v>
      </c>
      <c r="J894">
        <v>2000</v>
      </c>
      <c r="K894" s="1">
        <v>44616</v>
      </c>
      <c r="L894">
        <v>2022</v>
      </c>
      <c r="M894" t="str">
        <f>UPPER(TEXT(_2020_2022[[#This Row],[Data da Venda]],"mmm"))</f>
        <v>FEV</v>
      </c>
    </row>
    <row r="895" spans="1:13" x14ac:dyDescent="0.25">
      <c r="A895" t="s">
        <v>14</v>
      </c>
      <c r="B895">
        <v>2000</v>
      </c>
      <c r="C895">
        <v>1</v>
      </c>
      <c r="D895" t="s">
        <v>32</v>
      </c>
      <c r="E895" t="s">
        <v>652</v>
      </c>
      <c r="F895" t="s">
        <v>685</v>
      </c>
      <c r="G895" t="s">
        <v>643</v>
      </c>
      <c r="H895">
        <v>36</v>
      </c>
      <c r="I895" t="s">
        <v>644</v>
      </c>
      <c r="J895">
        <v>2000</v>
      </c>
      <c r="K895" s="1">
        <v>44763</v>
      </c>
      <c r="L895">
        <v>2022</v>
      </c>
      <c r="M895" t="str">
        <f>UPPER(TEXT(_2020_2022[[#This Row],[Data da Venda]],"mmm"))</f>
        <v>JUL</v>
      </c>
    </row>
    <row r="896" spans="1:13" x14ac:dyDescent="0.25">
      <c r="A896" t="s">
        <v>18</v>
      </c>
      <c r="B896">
        <v>3000</v>
      </c>
      <c r="C896">
        <v>4</v>
      </c>
      <c r="D896" t="s">
        <v>32</v>
      </c>
      <c r="E896" t="s">
        <v>652</v>
      </c>
      <c r="F896" t="s">
        <v>806</v>
      </c>
      <c r="G896" t="s">
        <v>650</v>
      </c>
      <c r="H896">
        <v>63</v>
      </c>
      <c r="I896" t="s">
        <v>647</v>
      </c>
      <c r="J896">
        <v>12000</v>
      </c>
      <c r="K896" s="1">
        <v>44608</v>
      </c>
      <c r="L896">
        <v>2022</v>
      </c>
      <c r="M896" t="str">
        <f>UPPER(TEXT(_2020_2022[[#This Row],[Data da Venda]],"mmm"))</f>
        <v>FEV</v>
      </c>
    </row>
    <row r="897" spans="1:13" x14ac:dyDescent="0.25">
      <c r="A897" t="s">
        <v>1440</v>
      </c>
      <c r="B897">
        <v>700</v>
      </c>
      <c r="C897">
        <v>2</v>
      </c>
      <c r="D897" t="s">
        <v>30</v>
      </c>
      <c r="E897" t="s">
        <v>645</v>
      </c>
      <c r="F897" t="s">
        <v>963</v>
      </c>
      <c r="G897" t="s">
        <v>643</v>
      </c>
      <c r="H897">
        <v>60</v>
      </c>
      <c r="I897" t="s">
        <v>647</v>
      </c>
      <c r="J897">
        <v>1400</v>
      </c>
      <c r="K897" s="1">
        <v>44710</v>
      </c>
      <c r="L897">
        <v>2022</v>
      </c>
      <c r="M897" t="str">
        <f>UPPER(TEXT(_2020_2022[[#This Row],[Data da Venda]],"mmm"))</f>
        <v>MAI</v>
      </c>
    </row>
    <row r="898" spans="1:13" x14ac:dyDescent="0.25">
      <c r="A898" t="s">
        <v>28</v>
      </c>
      <c r="B898">
        <v>1400</v>
      </c>
      <c r="C898">
        <v>2</v>
      </c>
      <c r="D898" t="s">
        <v>36</v>
      </c>
      <c r="E898" t="s">
        <v>677</v>
      </c>
      <c r="F898" t="s">
        <v>801</v>
      </c>
      <c r="G898" t="s">
        <v>650</v>
      </c>
      <c r="H898">
        <v>64</v>
      </c>
      <c r="I898" t="s">
        <v>647</v>
      </c>
      <c r="J898">
        <v>2800</v>
      </c>
      <c r="K898" s="1">
        <v>44605</v>
      </c>
      <c r="L898">
        <v>2022</v>
      </c>
      <c r="M898" t="str">
        <f>UPPER(TEXT(_2020_2022[[#This Row],[Data da Venda]],"mmm"))</f>
        <v>FEV</v>
      </c>
    </row>
    <row r="899" spans="1:13" x14ac:dyDescent="0.25">
      <c r="A899" t="s">
        <v>11</v>
      </c>
      <c r="B899">
        <v>4500</v>
      </c>
      <c r="C899">
        <v>2</v>
      </c>
      <c r="D899" t="s">
        <v>30</v>
      </c>
      <c r="E899" t="s">
        <v>645</v>
      </c>
      <c r="F899" t="s">
        <v>1178</v>
      </c>
      <c r="G899" t="s">
        <v>650</v>
      </c>
      <c r="H899">
        <v>36</v>
      </c>
      <c r="I899" t="s">
        <v>644</v>
      </c>
      <c r="J899">
        <v>9000</v>
      </c>
      <c r="K899" s="1">
        <v>44840</v>
      </c>
      <c r="L899">
        <v>2022</v>
      </c>
      <c r="M899" t="str">
        <f>UPPER(TEXT(_2020_2022[[#This Row],[Data da Venda]],"mmm"))</f>
        <v>OUT</v>
      </c>
    </row>
    <row r="900" spans="1:13" x14ac:dyDescent="0.25">
      <c r="A900" t="s">
        <v>25</v>
      </c>
      <c r="B900">
        <v>2500</v>
      </c>
      <c r="C900">
        <v>2</v>
      </c>
      <c r="D900" t="s">
        <v>40</v>
      </c>
      <c r="E900" t="s">
        <v>657</v>
      </c>
      <c r="F900" t="s">
        <v>1179</v>
      </c>
      <c r="G900" t="s">
        <v>643</v>
      </c>
      <c r="H900">
        <v>55</v>
      </c>
      <c r="I900" t="s">
        <v>647</v>
      </c>
      <c r="J900">
        <v>5000</v>
      </c>
      <c r="K900" s="1">
        <v>44790</v>
      </c>
      <c r="L900">
        <v>2022</v>
      </c>
      <c r="M900" t="str">
        <f>UPPER(TEXT(_2020_2022[[#This Row],[Data da Venda]],"mmm"))</f>
        <v>AGO</v>
      </c>
    </row>
    <row r="901" spans="1:13" x14ac:dyDescent="0.25">
      <c r="A901" t="s">
        <v>24</v>
      </c>
      <c r="B901">
        <v>2000</v>
      </c>
      <c r="C901">
        <v>3</v>
      </c>
      <c r="D901" t="s">
        <v>34</v>
      </c>
      <c r="E901" t="s">
        <v>679</v>
      </c>
      <c r="F901" t="s">
        <v>824</v>
      </c>
      <c r="G901" t="s">
        <v>643</v>
      </c>
      <c r="H901">
        <v>32</v>
      </c>
      <c r="I901" t="s">
        <v>644</v>
      </c>
      <c r="J901">
        <v>6000</v>
      </c>
      <c r="K901" s="1">
        <v>44866</v>
      </c>
      <c r="L901">
        <v>2022</v>
      </c>
      <c r="M901" t="str">
        <f>UPPER(TEXT(_2020_2022[[#This Row],[Data da Venda]],"mmm"))</f>
        <v>NOV</v>
      </c>
    </row>
    <row r="902" spans="1:13" x14ac:dyDescent="0.25">
      <c r="A902" t="s">
        <v>1444</v>
      </c>
      <c r="B902">
        <v>1500</v>
      </c>
      <c r="C902">
        <v>5</v>
      </c>
      <c r="D902" t="s">
        <v>36</v>
      </c>
      <c r="E902" t="s">
        <v>677</v>
      </c>
      <c r="F902" t="s">
        <v>821</v>
      </c>
      <c r="G902" t="s">
        <v>643</v>
      </c>
      <c r="H902">
        <v>56</v>
      </c>
      <c r="I902" t="s">
        <v>647</v>
      </c>
      <c r="J902">
        <v>7500</v>
      </c>
      <c r="K902" s="1">
        <v>44748</v>
      </c>
      <c r="L902">
        <v>2022</v>
      </c>
      <c r="M902" t="str">
        <f>UPPER(TEXT(_2020_2022[[#This Row],[Data da Venda]],"mmm"))</f>
        <v>JUL</v>
      </c>
    </row>
    <row r="903" spans="1:13" x14ac:dyDescent="0.25">
      <c r="A903" t="s">
        <v>12</v>
      </c>
      <c r="B903">
        <v>6500</v>
      </c>
      <c r="C903">
        <v>3</v>
      </c>
      <c r="D903" t="s">
        <v>36</v>
      </c>
      <c r="E903" t="s">
        <v>677</v>
      </c>
      <c r="F903" t="s">
        <v>960</v>
      </c>
      <c r="G903" t="s">
        <v>650</v>
      </c>
      <c r="H903">
        <v>32</v>
      </c>
      <c r="I903" t="s">
        <v>644</v>
      </c>
      <c r="J903">
        <v>19500</v>
      </c>
      <c r="K903" s="1">
        <v>44845</v>
      </c>
      <c r="L903">
        <v>2022</v>
      </c>
      <c r="M903" t="str">
        <f>UPPER(TEXT(_2020_2022[[#This Row],[Data da Venda]],"mmm"))</f>
        <v>OUT</v>
      </c>
    </row>
    <row r="904" spans="1:13" x14ac:dyDescent="0.25">
      <c r="A904" t="s">
        <v>13</v>
      </c>
      <c r="B904">
        <v>2300</v>
      </c>
      <c r="C904">
        <v>4</v>
      </c>
      <c r="D904" t="s">
        <v>40</v>
      </c>
      <c r="E904" t="s">
        <v>657</v>
      </c>
      <c r="F904" t="s">
        <v>1180</v>
      </c>
      <c r="G904" t="s">
        <v>643</v>
      </c>
      <c r="H904">
        <v>35</v>
      </c>
      <c r="I904" t="s">
        <v>644</v>
      </c>
      <c r="J904">
        <v>9200</v>
      </c>
      <c r="K904" s="1">
        <v>44920</v>
      </c>
      <c r="L904">
        <v>2022</v>
      </c>
      <c r="M904" t="str">
        <f>UPPER(TEXT(_2020_2022[[#This Row],[Data da Venda]],"mmm"))</f>
        <v>DEZ</v>
      </c>
    </row>
    <row r="905" spans="1:13" x14ac:dyDescent="0.25">
      <c r="A905" t="s">
        <v>1445</v>
      </c>
      <c r="B905">
        <v>1500</v>
      </c>
      <c r="C905">
        <v>3</v>
      </c>
      <c r="D905" t="s">
        <v>35</v>
      </c>
      <c r="E905" t="s">
        <v>666</v>
      </c>
      <c r="F905" t="s">
        <v>1181</v>
      </c>
      <c r="G905" t="s">
        <v>643</v>
      </c>
      <c r="H905">
        <v>69</v>
      </c>
      <c r="I905" t="s">
        <v>647</v>
      </c>
      <c r="J905">
        <v>4500</v>
      </c>
      <c r="K905" s="1">
        <v>44818</v>
      </c>
      <c r="L905">
        <v>2022</v>
      </c>
      <c r="M905" t="str">
        <f>UPPER(TEXT(_2020_2022[[#This Row],[Data da Venda]],"mmm"))</f>
        <v>SET</v>
      </c>
    </row>
    <row r="906" spans="1:13" x14ac:dyDescent="0.25">
      <c r="A906" t="s">
        <v>1444</v>
      </c>
      <c r="B906">
        <v>1500</v>
      </c>
      <c r="C906">
        <v>2</v>
      </c>
      <c r="D906" t="s">
        <v>39</v>
      </c>
      <c r="E906" t="s">
        <v>641</v>
      </c>
      <c r="F906" t="s">
        <v>844</v>
      </c>
      <c r="G906" t="s">
        <v>650</v>
      </c>
      <c r="H906">
        <v>30</v>
      </c>
      <c r="I906" t="s">
        <v>644</v>
      </c>
      <c r="J906">
        <v>3000</v>
      </c>
      <c r="K906" s="1">
        <v>44706</v>
      </c>
      <c r="L906">
        <v>2022</v>
      </c>
      <c r="M906" t="str">
        <f>UPPER(TEXT(_2020_2022[[#This Row],[Data da Venda]],"mmm"))</f>
        <v>MAI</v>
      </c>
    </row>
    <row r="907" spans="1:13" x14ac:dyDescent="0.25">
      <c r="A907" t="s">
        <v>24</v>
      </c>
      <c r="B907">
        <v>2000</v>
      </c>
      <c r="C907">
        <v>1</v>
      </c>
      <c r="D907" t="s">
        <v>40</v>
      </c>
      <c r="E907" t="s">
        <v>657</v>
      </c>
      <c r="F907" t="s">
        <v>857</v>
      </c>
      <c r="G907" t="s">
        <v>643</v>
      </c>
      <c r="H907">
        <v>56</v>
      </c>
      <c r="I907" t="s">
        <v>647</v>
      </c>
      <c r="J907">
        <v>2000</v>
      </c>
      <c r="K907" s="1">
        <v>44685</v>
      </c>
      <c r="L907">
        <v>2022</v>
      </c>
      <c r="M907" t="str">
        <f>UPPER(TEXT(_2020_2022[[#This Row],[Data da Venda]],"mmm"))</f>
        <v>MAI</v>
      </c>
    </row>
    <row r="908" spans="1:13" x14ac:dyDescent="0.25">
      <c r="A908" t="s">
        <v>5</v>
      </c>
      <c r="B908">
        <v>1750</v>
      </c>
      <c r="C908">
        <v>2</v>
      </c>
      <c r="D908" t="s">
        <v>32</v>
      </c>
      <c r="E908" t="s">
        <v>652</v>
      </c>
      <c r="F908" t="s">
        <v>861</v>
      </c>
      <c r="G908" t="s">
        <v>650</v>
      </c>
      <c r="H908">
        <v>34</v>
      </c>
      <c r="I908" t="s">
        <v>644</v>
      </c>
      <c r="J908">
        <v>3500</v>
      </c>
      <c r="K908" s="1">
        <v>44889</v>
      </c>
      <c r="L908">
        <v>2022</v>
      </c>
      <c r="M908" t="str">
        <f>UPPER(TEXT(_2020_2022[[#This Row],[Data da Venda]],"mmm"))</f>
        <v>NOV</v>
      </c>
    </row>
    <row r="909" spans="1:13" x14ac:dyDescent="0.25">
      <c r="A909" t="s">
        <v>12</v>
      </c>
      <c r="B909">
        <v>6500</v>
      </c>
      <c r="C909">
        <v>4</v>
      </c>
      <c r="D909" t="s">
        <v>32</v>
      </c>
      <c r="E909" t="s">
        <v>652</v>
      </c>
      <c r="F909" t="s">
        <v>1182</v>
      </c>
      <c r="G909" t="s">
        <v>643</v>
      </c>
      <c r="H909">
        <v>43</v>
      </c>
      <c r="I909" t="s">
        <v>644</v>
      </c>
      <c r="J909">
        <v>26000</v>
      </c>
      <c r="K909" s="1">
        <v>44690</v>
      </c>
      <c r="L909">
        <v>2022</v>
      </c>
      <c r="M909" t="str">
        <f>UPPER(TEXT(_2020_2022[[#This Row],[Data da Venda]],"mmm"))</f>
        <v>MAI</v>
      </c>
    </row>
    <row r="910" spans="1:13" x14ac:dyDescent="0.25">
      <c r="A910" t="s">
        <v>11</v>
      </c>
      <c r="B910">
        <v>4500</v>
      </c>
      <c r="C910">
        <v>4</v>
      </c>
      <c r="D910" t="s">
        <v>41</v>
      </c>
      <c r="E910" t="s">
        <v>681</v>
      </c>
      <c r="F910" t="s">
        <v>1183</v>
      </c>
      <c r="G910" t="s">
        <v>650</v>
      </c>
      <c r="H910">
        <v>67</v>
      </c>
      <c r="I910" t="s">
        <v>647</v>
      </c>
      <c r="J910">
        <v>18000</v>
      </c>
      <c r="K910" s="1">
        <v>44839</v>
      </c>
      <c r="L910">
        <v>2022</v>
      </c>
      <c r="M910" t="str">
        <f>UPPER(TEXT(_2020_2022[[#This Row],[Data da Venda]],"mmm"))</f>
        <v>OUT</v>
      </c>
    </row>
    <row r="911" spans="1:13" x14ac:dyDescent="0.25">
      <c r="A911" t="s">
        <v>18</v>
      </c>
      <c r="B911">
        <v>3000</v>
      </c>
      <c r="C911">
        <v>3</v>
      </c>
      <c r="D911" t="s">
        <v>31</v>
      </c>
      <c r="E911" t="s">
        <v>645</v>
      </c>
      <c r="F911" t="s">
        <v>1184</v>
      </c>
      <c r="G911" t="s">
        <v>643</v>
      </c>
      <c r="H911">
        <v>66</v>
      </c>
      <c r="I911" t="s">
        <v>647</v>
      </c>
      <c r="J911">
        <v>9000</v>
      </c>
      <c r="K911" s="1">
        <v>44707</v>
      </c>
      <c r="L911">
        <v>2022</v>
      </c>
      <c r="M911" t="str">
        <f>UPPER(TEXT(_2020_2022[[#This Row],[Data da Venda]],"mmm"))</f>
        <v>MAI</v>
      </c>
    </row>
    <row r="912" spans="1:13" x14ac:dyDescent="0.25">
      <c r="A912" t="s">
        <v>14</v>
      </c>
      <c r="B912">
        <v>2000</v>
      </c>
      <c r="C912">
        <v>3</v>
      </c>
      <c r="D912" t="s">
        <v>30</v>
      </c>
      <c r="E912" t="s">
        <v>645</v>
      </c>
      <c r="F912" t="s">
        <v>955</v>
      </c>
      <c r="G912" t="s">
        <v>643</v>
      </c>
      <c r="H912">
        <v>75</v>
      </c>
      <c r="I912" t="s">
        <v>647</v>
      </c>
      <c r="J912">
        <v>6000</v>
      </c>
      <c r="K912" s="1">
        <v>44857</v>
      </c>
      <c r="L912">
        <v>2022</v>
      </c>
      <c r="M912" t="str">
        <f>UPPER(TEXT(_2020_2022[[#This Row],[Data da Venda]],"mmm"))</f>
        <v>OUT</v>
      </c>
    </row>
    <row r="913" spans="1:13" x14ac:dyDescent="0.25">
      <c r="A913" t="s">
        <v>7</v>
      </c>
      <c r="B913">
        <v>750</v>
      </c>
      <c r="C913">
        <v>3</v>
      </c>
      <c r="D913" t="s">
        <v>30</v>
      </c>
      <c r="E913" t="s">
        <v>645</v>
      </c>
      <c r="F913" t="s">
        <v>1061</v>
      </c>
      <c r="G913" t="s">
        <v>643</v>
      </c>
      <c r="H913">
        <v>32</v>
      </c>
      <c r="I913" t="s">
        <v>644</v>
      </c>
      <c r="J913">
        <v>2250</v>
      </c>
      <c r="K913" s="1">
        <v>44563</v>
      </c>
      <c r="L913">
        <v>2022</v>
      </c>
      <c r="M913" t="str">
        <f>UPPER(TEXT(_2020_2022[[#This Row],[Data da Venda]],"mmm"))</f>
        <v>JAN</v>
      </c>
    </row>
    <row r="914" spans="1:13" x14ac:dyDescent="0.25">
      <c r="A914" t="s">
        <v>16</v>
      </c>
      <c r="B914">
        <v>1400</v>
      </c>
      <c r="C914">
        <v>3</v>
      </c>
      <c r="D914" t="s">
        <v>30</v>
      </c>
      <c r="E914" t="s">
        <v>645</v>
      </c>
      <c r="F914" t="s">
        <v>1185</v>
      </c>
      <c r="G914" t="s">
        <v>650</v>
      </c>
      <c r="H914">
        <v>42</v>
      </c>
      <c r="I914" t="s">
        <v>644</v>
      </c>
      <c r="J914">
        <v>4200</v>
      </c>
      <c r="K914" s="1">
        <v>44710</v>
      </c>
      <c r="L914">
        <v>2022</v>
      </c>
      <c r="M914" t="str">
        <f>UPPER(TEXT(_2020_2022[[#This Row],[Data da Venda]],"mmm"))</f>
        <v>MAI</v>
      </c>
    </row>
    <row r="915" spans="1:13" x14ac:dyDescent="0.25">
      <c r="A915" t="s">
        <v>1445</v>
      </c>
      <c r="B915">
        <v>1500</v>
      </c>
      <c r="C915">
        <v>5</v>
      </c>
      <c r="D915" t="s">
        <v>40</v>
      </c>
      <c r="E915" t="s">
        <v>657</v>
      </c>
      <c r="F915" t="s">
        <v>1186</v>
      </c>
      <c r="G915" t="s">
        <v>643</v>
      </c>
      <c r="H915">
        <v>41</v>
      </c>
      <c r="I915" t="s">
        <v>644</v>
      </c>
      <c r="J915">
        <v>7500</v>
      </c>
      <c r="K915" s="1">
        <v>44906</v>
      </c>
      <c r="L915">
        <v>2022</v>
      </c>
      <c r="M915" t="str">
        <f>UPPER(TEXT(_2020_2022[[#This Row],[Data da Venda]],"mmm"))</f>
        <v>DEZ</v>
      </c>
    </row>
    <row r="916" spans="1:13" x14ac:dyDescent="0.25">
      <c r="A916" t="s">
        <v>13</v>
      </c>
      <c r="B916">
        <v>2300</v>
      </c>
      <c r="C916">
        <v>3</v>
      </c>
      <c r="D916" t="s">
        <v>29</v>
      </c>
      <c r="E916" t="s">
        <v>641</v>
      </c>
      <c r="F916" t="s">
        <v>969</v>
      </c>
      <c r="G916" t="s">
        <v>650</v>
      </c>
      <c r="H916">
        <v>34</v>
      </c>
      <c r="I916" t="s">
        <v>644</v>
      </c>
      <c r="J916">
        <v>6900</v>
      </c>
      <c r="K916" s="1">
        <v>44692</v>
      </c>
      <c r="L916">
        <v>2022</v>
      </c>
      <c r="M916" t="str">
        <f>UPPER(TEXT(_2020_2022[[#This Row],[Data da Venda]],"mmm"))</f>
        <v>MAI</v>
      </c>
    </row>
    <row r="917" spans="1:13" x14ac:dyDescent="0.25">
      <c r="A917" t="s">
        <v>1445</v>
      </c>
      <c r="B917">
        <v>1500</v>
      </c>
      <c r="C917">
        <v>4</v>
      </c>
      <c r="D917" t="s">
        <v>31</v>
      </c>
      <c r="E917" t="s">
        <v>645</v>
      </c>
      <c r="F917" t="s">
        <v>1187</v>
      </c>
      <c r="G917" t="s">
        <v>650</v>
      </c>
      <c r="H917">
        <v>27</v>
      </c>
      <c r="I917" t="s">
        <v>651</v>
      </c>
      <c r="J917">
        <v>6000</v>
      </c>
      <c r="K917" s="1">
        <v>44909</v>
      </c>
      <c r="L917">
        <v>2022</v>
      </c>
      <c r="M917" t="str">
        <f>UPPER(TEXT(_2020_2022[[#This Row],[Data da Venda]],"mmm"))</f>
        <v>DEZ</v>
      </c>
    </row>
    <row r="918" spans="1:13" x14ac:dyDescent="0.25">
      <c r="A918" t="s">
        <v>24</v>
      </c>
      <c r="B918">
        <v>2000</v>
      </c>
      <c r="C918">
        <v>5</v>
      </c>
      <c r="D918" t="s">
        <v>32</v>
      </c>
      <c r="E918" t="s">
        <v>652</v>
      </c>
      <c r="F918" t="s">
        <v>902</v>
      </c>
      <c r="G918" t="s">
        <v>650</v>
      </c>
      <c r="H918">
        <v>26</v>
      </c>
      <c r="I918" t="s">
        <v>651</v>
      </c>
      <c r="J918">
        <v>10000</v>
      </c>
      <c r="K918" s="1">
        <v>44907</v>
      </c>
      <c r="L918">
        <v>2022</v>
      </c>
      <c r="M918" t="str">
        <f>UPPER(TEXT(_2020_2022[[#This Row],[Data da Venda]],"mmm"))</f>
        <v>DEZ</v>
      </c>
    </row>
    <row r="919" spans="1:13" x14ac:dyDescent="0.25">
      <c r="A919" t="s">
        <v>28</v>
      </c>
      <c r="B919">
        <v>1400</v>
      </c>
      <c r="C919">
        <v>2</v>
      </c>
      <c r="D919" t="s">
        <v>29</v>
      </c>
      <c r="E919" t="s">
        <v>641</v>
      </c>
      <c r="F919" t="s">
        <v>816</v>
      </c>
      <c r="G919" t="s">
        <v>643</v>
      </c>
      <c r="H919">
        <v>27</v>
      </c>
      <c r="I919" t="s">
        <v>651</v>
      </c>
      <c r="J919">
        <v>2800</v>
      </c>
      <c r="K919" s="1">
        <v>44729</v>
      </c>
      <c r="L919">
        <v>2022</v>
      </c>
      <c r="M919" t="str">
        <f>UPPER(TEXT(_2020_2022[[#This Row],[Data da Venda]],"mmm"))</f>
        <v>JUN</v>
      </c>
    </row>
    <row r="920" spans="1:13" x14ac:dyDescent="0.25">
      <c r="A920" t="s">
        <v>18</v>
      </c>
      <c r="B920">
        <v>3000</v>
      </c>
      <c r="C920">
        <v>5</v>
      </c>
      <c r="D920" t="s">
        <v>40</v>
      </c>
      <c r="E920" t="s">
        <v>657</v>
      </c>
      <c r="F920" t="s">
        <v>1188</v>
      </c>
      <c r="G920" t="s">
        <v>643</v>
      </c>
      <c r="H920">
        <v>74</v>
      </c>
      <c r="I920" t="s">
        <v>647</v>
      </c>
      <c r="J920">
        <v>15000</v>
      </c>
      <c r="K920" s="1">
        <v>44782</v>
      </c>
      <c r="L920">
        <v>2022</v>
      </c>
      <c r="M920" t="str">
        <f>UPPER(TEXT(_2020_2022[[#This Row],[Data da Venda]],"mmm"))</f>
        <v>AGO</v>
      </c>
    </row>
    <row r="921" spans="1:13" x14ac:dyDescent="0.25">
      <c r="A921" t="s">
        <v>22</v>
      </c>
      <c r="B921">
        <v>5200</v>
      </c>
      <c r="C921">
        <v>3</v>
      </c>
      <c r="D921" t="s">
        <v>30</v>
      </c>
      <c r="E921" t="s">
        <v>645</v>
      </c>
      <c r="F921" t="s">
        <v>810</v>
      </c>
      <c r="G921" t="s">
        <v>643</v>
      </c>
      <c r="H921">
        <v>74</v>
      </c>
      <c r="I921" t="s">
        <v>647</v>
      </c>
      <c r="J921">
        <v>15600</v>
      </c>
      <c r="K921" s="1">
        <v>44875</v>
      </c>
      <c r="L921">
        <v>2022</v>
      </c>
      <c r="M921" t="str">
        <f>UPPER(TEXT(_2020_2022[[#This Row],[Data da Venda]],"mmm"))</f>
        <v>NOV</v>
      </c>
    </row>
    <row r="922" spans="1:13" x14ac:dyDescent="0.25">
      <c r="A922" t="s">
        <v>1444</v>
      </c>
      <c r="B922">
        <v>1500</v>
      </c>
      <c r="C922">
        <v>4</v>
      </c>
      <c r="D922" t="s">
        <v>33</v>
      </c>
      <c r="E922" t="s">
        <v>641</v>
      </c>
      <c r="F922" t="s">
        <v>1189</v>
      </c>
      <c r="G922" t="s">
        <v>650</v>
      </c>
      <c r="H922">
        <v>70</v>
      </c>
      <c r="I922" t="s">
        <v>647</v>
      </c>
      <c r="J922">
        <v>6000</v>
      </c>
      <c r="K922" s="1">
        <v>44757</v>
      </c>
      <c r="L922">
        <v>2022</v>
      </c>
      <c r="M922" t="str">
        <f>UPPER(TEXT(_2020_2022[[#This Row],[Data da Venda]],"mmm"))</f>
        <v>JUL</v>
      </c>
    </row>
    <row r="923" spans="1:13" x14ac:dyDescent="0.25">
      <c r="A923" t="s">
        <v>1440</v>
      </c>
      <c r="B923">
        <v>700</v>
      </c>
      <c r="C923">
        <v>3</v>
      </c>
      <c r="D923" t="s">
        <v>40</v>
      </c>
      <c r="E923" t="s">
        <v>657</v>
      </c>
      <c r="F923" t="s">
        <v>770</v>
      </c>
      <c r="G923" t="s">
        <v>643</v>
      </c>
      <c r="H923">
        <v>31</v>
      </c>
      <c r="I923" t="s">
        <v>644</v>
      </c>
      <c r="J923">
        <v>2100</v>
      </c>
      <c r="K923" s="1">
        <v>44807</v>
      </c>
      <c r="L923">
        <v>2022</v>
      </c>
      <c r="M923" t="str">
        <f>UPPER(TEXT(_2020_2022[[#This Row],[Data da Venda]],"mmm"))</f>
        <v>SET</v>
      </c>
    </row>
    <row r="924" spans="1:13" x14ac:dyDescent="0.25">
      <c r="A924" t="s">
        <v>1444</v>
      </c>
      <c r="B924">
        <v>1500</v>
      </c>
      <c r="C924">
        <v>2</v>
      </c>
      <c r="D924" t="s">
        <v>34</v>
      </c>
      <c r="E924" t="s">
        <v>679</v>
      </c>
      <c r="F924" t="s">
        <v>1190</v>
      </c>
      <c r="G924" t="s">
        <v>643</v>
      </c>
      <c r="H924">
        <v>48</v>
      </c>
      <c r="I924" t="s">
        <v>644</v>
      </c>
      <c r="J924">
        <v>3000</v>
      </c>
      <c r="K924" s="1">
        <v>44827</v>
      </c>
      <c r="L924">
        <v>2022</v>
      </c>
      <c r="M924" t="str">
        <f>UPPER(TEXT(_2020_2022[[#This Row],[Data da Venda]],"mmm"))</f>
        <v>SET</v>
      </c>
    </row>
    <row r="925" spans="1:13" x14ac:dyDescent="0.25">
      <c r="A925" t="s">
        <v>1444</v>
      </c>
      <c r="B925">
        <v>1500</v>
      </c>
      <c r="C925">
        <v>3</v>
      </c>
      <c r="D925" t="s">
        <v>31</v>
      </c>
      <c r="E925" t="s">
        <v>645</v>
      </c>
      <c r="F925" t="s">
        <v>979</v>
      </c>
      <c r="G925" t="s">
        <v>650</v>
      </c>
      <c r="H925">
        <v>69</v>
      </c>
      <c r="I925" t="s">
        <v>647</v>
      </c>
      <c r="J925">
        <v>4500</v>
      </c>
      <c r="K925" s="1">
        <v>44924</v>
      </c>
      <c r="L925">
        <v>2022</v>
      </c>
      <c r="M925" t="str">
        <f>UPPER(TEXT(_2020_2022[[#This Row],[Data da Venda]],"mmm"))</f>
        <v>DEZ</v>
      </c>
    </row>
    <row r="926" spans="1:13" x14ac:dyDescent="0.25">
      <c r="A926" t="s">
        <v>20</v>
      </c>
      <c r="B926">
        <v>2600</v>
      </c>
      <c r="C926">
        <v>5</v>
      </c>
      <c r="D926" t="s">
        <v>37</v>
      </c>
      <c r="E926" t="s">
        <v>645</v>
      </c>
      <c r="F926" t="s">
        <v>718</v>
      </c>
      <c r="G926" t="s">
        <v>650</v>
      </c>
      <c r="H926">
        <v>37</v>
      </c>
      <c r="I926" t="s">
        <v>644</v>
      </c>
      <c r="J926">
        <v>13000</v>
      </c>
      <c r="K926" s="1">
        <v>44743</v>
      </c>
      <c r="L926">
        <v>2022</v>
      </c>
      <c r="M926" t="str">
        <f>UPPER(TEXT(_2020_2022[[#This Row],[Data da Venda]],"mmm"))</f>
        <v>JUL</v>
      </c>
    </row>
    <row r="927" spans="1:13" x14ac:dyDescent="0.25">
      <c r="A927" t="s">
        <v>11</v>
      </c>
      <c r="B927">
        <v>4500</v>
      </c>
      <c r="C927">
        <v>4</v>
      </c>
      <c r="D927" t="s">
        <v>36</v>
      </c>
      <c r="E927" t="s">
        <v>677</v>
      </c>
      <c r="F927" t="s">
        <v>1191</v>
      </c>
      <c r="G927" t="s">
        <v>650</v>
      </c>
      <c r="H927">
        <v>32</v>
      </c>
      <c r="I927" t="s">
        <v>644</v>
      </c>
      <c r="J927">
        <v>18000</v>
      </c>
      <c r="K927" s="1">
        <v>44920</v>
      </c>
      <c r="L927">
        <v>2022</v>
      </c>
      <c r="M927" t="str">
        <f>UPPER(TEXT(_2020_2022[[#This Row],[Data da Venda]],"mmm"))</f>
        <v>DEZ</v>
      </c>
    </row>
    <row r="928" spans="1:13" x14ac:dyDescent="0.25">
      <c r="A928" t="s">
        <v>7</v>
      </c>
      <c r="B928">
        <v>750</v>
      </c>
      <c r="C928">
        <v>5</v>
      </c>
      <c r="D928" t="s">
        <v>32</v>
      </c>
      <c r="E928" t="s">
        <v>652</v>
      </c>
      <c r="F928" t="s">
        <v>1192</v>
      </c>
      <c r="G928" t="s">
        <v>650</v>
      </c>
      <c r="H928">
        <v>67</v>
      </c>
      <c r="I928" t="s">
        <v>647</v>
      </c>
      <c r="J928">
        <v>3750</v>
      </c>
      <c r="K928" s="1">
        <v>44605</v>
      </c>
      <c r="L928">
        <v>2022</v>
      </c>
      <c r="M928" t="str">
        <f>UPPER(TEXT(_2020_2022[[#This Row],[Data da Venda]],"mmm"))</f>
        <v>FEV</v>
      </c>
    </row>
    <row r="929" spans="1:13" x14ac:dyDescent="0.25">
      <c r="A929" t="s">
        <v>24</v>
      </c>
      <c r="B929">
        <v>2000</v>
      </c>
      <c r="C929">
        <v>3</v>
      </c>
      <c r="D929" t="s">
        <v>36</v>
      </c>
      <c r="E929" t="s">
        <v>677</v>
      </c>
      <c r="F929" t="s">
        <v>1080</v>
      </c>
      <c r="G929" t="s">
        <v>650</v>
      </c>
      <c r="H929">
        <v>66</v>
      </c>
      <c r="I929" t="s">
        <v>647</v>
      </c>
      <c r="J929">
        <v>6000</v>
      </c>
      <c r="K929" s="1">
        <v>44568</v>
      </c>
      <c r="L929">
        <v>2022</v>
      </c>
      <c r="M929" t="str">
        <f>UPPER(TEXT(_2020_2022[[#This Row],[Data da Venda]],"mmm"))</f>
        <v>JAN</v>
      </c>
    </row>
    <row r="930" spans="1:13" x14ac:dyDescent="0.25">
      <c r="A930" t="s">
        <v>1443</v>
      </c>
      <c r="B930">
        <v>1550</v>
      </c>
      <c r="C930">
        <v>5</v>
      </c>
      <c r="D930" t="s">
        <v>40</v>
      </c>
      <c r="E930" t="s">
        <v>657</v>
      </c>
      <c r="F930" t="s">
        <v>1193</v>
      </c>
      <c r="G930" t="s">
        <v>650</v>
      </c>
      <c r="H930">
        <v>53</v>
      </c>
      <c r="I930" t="s">
        <v>647</v>
      </c>
      <c r="J930">
        <v>7750</v>
      </c>
      <c r="K930" s="1">
        <v>44904</v>
      </c>
      <c r="L930">
        <v>2022</v>
      </c>
      <c r="M930" t="str">
        <f>UPPER(TEXT(_2020_2022[[#This Row],[Data da Venda]],"mmm"))</f>
        <v>DEZ</v>
      </c>
    </row>
    <row r="931" spans="1:13" x14ac:dyDescent="0.25">
      <c r="A931" t="s">
        <v>1441</v>
      </c>
      <c r="B931">
        <v>1450</v>
      </c>
      <c r="C931">
        <v>4</v>
      </c>
      <c r="D931" t="s">
        <v>32</v>
      </c>
      <c r="E931" t="s">
        <v>652</v>
      </c>
      <c r="F931" t="s">
        <v>893</v>
      </c>
      <c r="G931" t="s">
        <v>650</v>
      </c>
      <c r="H931">
        <v>69</v>
      </c>
      <c r="I931" t="s">
        <v>647</v>
      </c>
      <c r="J931">
        <v>5800</v>
      </c>
      <c r="K931" s="1">
        <v>44849</v>
      </c>
      <c r="L931">
        <v>2022</v>
      </c>
      <c r="M931" t="str">
        <f>UPPER(TEXT(_2020_2022[[#This Row],[Data da Venda]],"mmm"))</f>
        <v>OUT</v>
      </c>
    </row>
    <row r="932" spans="1:13" x14ac:dyDescent="0.25">
      <c r="A932" t="s">
        <v>1441</v>
      </c>
      <c r="B932">
        <v>1450</v>
      </c>
      <c r="C932">
        <v>1</v>
      </c>
      <c r="D932" t="s">
        <v>30</v>
      </c>
      <c r="E932" t="s">
        <v>645</v>
      </c>
      <c r="F932" t="s">
        <v>915</v>
      </c>
      <c r="G932" t="s">
        <v>643</v>
      </c>
      <c r="H932">
        <v>54</v>
      </c>
      <c r="I932" t="s">
        <v>647</v>
      </c>
      <c r="J932">
        <v>1450</v>
      </c>
      <c r="K932" s="1">
        <v>44573</v>
      </c>
      <c r="L932">
        <v>2022</v>
      </c>
      <c r="M932" t="str">
        <f>UPPER(TEXT(_2020_2022[[#This Row],[Data da Venda]],"mmm"))</f>
        <v>JAN</v>
      </c>
    </row>
    <row r="933" spans="1:13" x14ac:dyDescent="0.25">
      <c r="A933" t="s">
        <v>1444</v>
      </c>
      <c r="B933">
        <v>1500</v>
      </c>
      <c r="C933">
        <v>1</v>
      </c>
      <c r="D933" t="s">
        <v>32</v>
      </c>
      <c r="E933" t="s">
        <v>652</v>
      </c>
      <c r="F933" t="s">
        <v>1194</v>
      </c>
      <c r="G933" t="s">
        <v>650</v>
      </c>
      <c r="H933">
        <v>51</v>
      </c>
      <c r="I933" t="s">
        <v>647</v>
      </c>
      <c r="J933">
        <v>1500</v>
      </c>
      <c r="K933" s="1">
        <v>44783</v>
      </c>
      <c r="L933">
        <v>2022</v>
      </c>
      <c r="M933" t="str">
        <f>UPPER(TEXT(_2020_2022[[#This Row],[Data da Venda]],"mmm"))</f>
        <v>AGO</v>
      </c>
    </row>
    <row r="934" spans="1:13" x14ac:dyDescent="0.25">
      <c r="A934" t="s">
        <v>22</v>
      </c>
      <c r="B934">
        <v>5200</v>
      </c>
      <c r="C934">
        <v>5</v>
      </c>
      <c r="D934" t="s">
        <v>29</v>
      </c>
      <c r="E934" t="s">
        <v>641</v>
      </c>
      <c r="F934" t="s">
        <v>941</v>
      </c>
      <c r="G934" t="s">
        <v>650</v>
      </c>
      <c r="H934">
        <v>52</v>
      </c>
      <c r="I934" t="s">
        <v>647</v>
      </c>
      <c r="J934">
        <v>26000</v>
      </c>
      <c r="K934" s="1">
        <v>44602</v>
      </c>
      <c r="L934">
        <v>2022</v>
      </c>
      <c r="M934" t="str">
        <f>UPPER(TEXT(_2020_2022[[#This Row],[Data da Venda]],"mmm"))</f>
        <v>FEV</v>
      </c>
    </row>
    <row r="935" spans="1:13" x14ac:dyDescent="0.25">
      <c r="A935" t="s">
        <v>1440</v>
      </c>
      <c r="B935">
        <v>700</v>
      </c>
      <c r="C935">
        <v>5</v>
      </c>
      <c r="D935" t="s">
        <v>29</v>
      </c>
      <c r="E935" t="s">
        <v>641</v>
      </c>
      <c r="F935" t="s">
        <v>1195</v>
      </c>
      <c r="G935" t="s">
        <v>643</v>
      </c>
      <c r="H935">
        <v>74</v>
      </c>
      <c r="I935" t="s">
        <v>647</v>
      </c>
      <c r="J935">
        <v>3500</v>
      </c>
      <c r="K935" s="1">
        <v>44724</v>
      </c>
      <c r="L935">
        <v>2022</v>
      </c>
      <c r="M935" t="str">
        <f>UPPER(TEXT(_2020_2022[[#This Row],[Data da Venda]],"mmm"))</f>
        <v>JUN</v>
      </c>
    </row>
    <row r="936" spans="1:13" x14ac:dyDescent="0.25">
      <c r="A936" t="s">
        <v>26</v>
      </c>
      <c r="B936">
        <v>1100</v>
      </c>
      <c r="C936">
        <v>2</v>
      </c>
      <c r="D936" t="s">
        <v>33</v>
      </c>
      <c r="E936" t="s">
        <v>641</v>
      </c>
      <c r="F936" t="s">
        <v>729</v>
      </c>
      <c r="G936" t="s">
        <v>650</v>
      </c>
      <c r="H936">
        <v>42</v>
      </c>
      <c r="I936" t="s">
        <v>644</v>
      </c>
      <c r="J936">
        <v>2200</v>
      </c>
      <c r="K936" s="1">
        <v>44798</v>
      </c>
      <c r="L936">
        <v>2022</v>
      </c>
      <c r="M936" t="str">
        <f>UPPER(TEXT(_2020_2022[[#This Row],[Data da Venda]],"mmm"))</f>
        <v>AGO</v>
      </c>
    </row>
    <row r="937" spans="1:13" x14ac:dyDescent="0.25">
      <c r="A937" t="s">
        <v>5</v>
      </c>
      <c r="B937">
        <v>1750</v>
      </c>
      <c r="C937">
        <v>2</v>
      </c>
      <c r="D937" t="s">
        <v>34</v>
      </c>
      <c r="E937" t="s">
        <v>679</v>
      </c>
      <c r="F937" t="s">
        <v>977</v>
      </c>
      <c r="G937" t="s">
        <v>650</v>
      </c>
      <c r="H937">
        <v>49</v>
      </c>
      <c r="I937" t="s">
        <v>644</v>
      </c>
      <c r="J937">
        <v>3500</v>
      </c>
      <c r="K937" s="1">
        <v>44840</v>
      </c>
      <c r="L937">
        <v>2022</v>
      </c>
      <c r="M937" t="str">
        <f>UPPER(TEXT(_2020_2022[[#This Row],[Data da Venda]],"mmm"))</f>
        <v>OUT</v>
      </c>
    </row>
    <row r="938" spans="1:13" x14ac:dyDescent="0.25">
      <c r="A938" t="s">
        <v>1443</v>
      </c>
      <c r="B938">
        <v>1550</v>
      </c>
      <c r="C938">
        <v>4</v>
      </c>
      <c r="D938" t="s">
        <v>32</v>
      </c>
      <c r="E938" t="s">
        <v>652</v>
      </c>
      <c r="F938" t="s">
        <v>745</v>
      </c>
      <c r="G938" t="s">
        <v>650</v>
      </c>
      <c r="H938">
        <v>64</v>
      </c>
      <c r="I938" t="s">
        <v>647</v>
      </c>
      <c r="J938">
        <v>6200</v>
      </c>
      <c r="K938" s="1">
        <v>44736</v>
      </c>
      <c r="L938">
        <v>2022</v>
      </c>
      <c r="M938" t="str">
        <f>UPPER(TEXT(_2020_2022[[#This Row],[Data da Venda]],"mmm"))</f>
        <v>JUN</v>
      </c>
    </row>
    <row r="939" spans="1:13" x14ac:dyDescent="0.25">
      <c r="A939" t="s">
        <v>11</v>
      </c>
      <c r="B939">
        <v>4500</v>
      </c>
      <c r="C939">
        <v>3</v>
      </c>
      <c r="D939" t="s">
        <v>33</v>
      </c>
      <c r="E939" t="s">
        <v>641</v>
      </c>
      <c r="F939" t="s">
        <v>788</v>
      </c>
      <c r="G939" t="s">
        <v>643</v>
      </c>
      <c r="H939">
        <v>49</v>
      </c>
      <c r="I939" t="s">
        <v>644</v>
      </c>
      <c r="J939">
        <v>13500</v>
      </c>
      <c r="K939" s="1">
        <v>44888</v>
      </c>
      <c r="L939">
        <v>2022</v>
      </c>
      <c r="M939" t="str">
        <f>UPPER(TEXT(_2020_2022[[#This Row],[Data da Venda]],"mmm"))</f>
        <v>NOV</v>
      </c>
    </row>
    <row r="940" spans="1:13" x14ac:dyDescent="0.25">
      <c r="A940" t="s">
        <v>1440</v>
      </c>
      <c r="B940">
        <v>700</v>
      </c>
      <c r="C940">
        <v>3</v>
      </c>
      <c r="D940" t="s">
        <v>41</v>
      </c>
      <c r="E940" t="s">
        <v>681</v>
      </c>
      <c r="F940" t="s">
        <v>1048</v>
      </c>
      <c r="G940" t="s">
        <v>643</v>
      </c>
      <c r="H940">
        <v>38</v>
      </c>
      <c r="I940" t="s">
        <v>644</v>
      </c>
      <c r="J940">
        <v>2100</v>
      </c>
      <c r="K940" s="1">
        <v>44742</v>
      </c>
      <c r="L940">
        <v>2022</v>
      </c>
      <c r="M940" t="str">
        <f>UPPER(TEXT(_2020_2022[[#This Row],[Data da Venda]],"mmm"))</f>
        <v>JUN</v>
      </c>
    </row>
    <row r="941" spans="1:13" x14ac:dyDescent="0.25">
      <c r="A941" t="s">
        <v>11</v>
      </c>
      <c r="B941">
        <v>4500</v>
      </c>
      <c r="C941">
        <v>5</v>
      </c>
      <c r="D941" t="s">
        <v>33</v>
      </c>
      <c r="E941" t="s">
        <v>641</v>
      </c>
      <c r="F941" t="s">
        <v>981</v>
      </c>
      <c r="G941" t="s">
        <v>643</v>
      </c>
      <c r="H941">
        <v>49</v>
      </c>
      <c r="I941" t="s">
        <v>644</v>
      </c>
      <c r="J941">
        <v>22500</v>
      </c>
      <c r="K941" s="1">
        <v>44924</v>
      </c>
      <c r="L941">
        <v>2022</v>
      </c>
      <c r="M941" t="str">
        <f>UPPER(TEXT(_2020_2022[[#This Row],[Data da Venda]],"mmm"))</f>
        <v>DEZ</v>
      </c>
    </row>
    <row r="942" spans="1:13" x14ac:dyDescent="0.25">
      <c r="A942" t="s">
        <v>15</v>
      </c>
      <c r="B942">
        <v>1900</v>
      </c>
      <c r="C942">
        <v>2</v>
      </c>
      <c r="D942" t="s">
        <v>41</v>
      </c>
      <c r="E942" t="s">
        <v>681</v>
      </c>
      <c r="F942" t="s">
        <v>1196</v>
      </c>
      <c r="G942" t="s">
        <v>643</v>
      </c>
      <c r="H942">
        <v>64</v>
      </c>
      <c r="I942" t="s">
        <v>647</v>
      </c>
      <c r="J942">
        <v>3800</v>
      </c>
      <c r="K942" s="1">
        <v>44788</v>
      </c>
      <c r="L942">
        <v>2022</v>
      </c>
      <c r="M942" t="str">
        <f>UPPER(TEXT(_2020_2022[[#This Row],[Data da Venda]],"mmm"))</f>
        <v>AGO</v>
      </c>
    </row>
    <row r="943" spans="1:13" x14ac:dyDescent="0.25">
      <c r="A943" t="s">
        <v>15</v>
      </c>
      <c r="B943">
        <v>1900</v>
      </c>
      <c r="C943">
        <v>1</v>
      </c>
      <c r="D943" t="s">
        <v>38</v>
      </c>
      <c r="E943" t="s">
        <v>648</v>
      </c>
      <c r="F943" t="s">
        <v>1041</v>
      </c>
      <c r="G943" t="s">
        <v>643</v>
      </c>
      <c r="H943">
        <v>57</v>
      </c>
      <c r="I943" t="s">
        <v>647</v>
      </c>
      <c r="J943">
        <v>1900</v>
      </c>
      <c r="K943" s="1">
        <v>44916</v>
      </c>
      <c r="L943">
        <v>2022</v>
      </c>
      <c r="M943" t="str">
        <f>UPPER(TEXT(_2020_2022[[#This Row],[Data da Venda]],"mmm"))</f>
        <v>DEZ</v>
      </c>
    </row>
    <row r="944" spans="1:13" x14ac:dyDescent="0.25">
      <c r="A944" t="s">
        <v>9</v>
      </c>
      <c r="B944">
        <v>1500</v>
      </c>
      <c r="C944">
        <v>2</v>
      </c>
      <c r="D944" t="s">
        <v>29</v>
      </c>
      <c r="E944" t="s">
        <v>641</v>
      </c>
      <c r="F944" t="s">
        <v>928</v>
      </c>
      <c r="G944" t="s">
        <v>650</v>
      </c>
      <c r="H944">
        <v>73</v>
      </c>
      <c r="I944" t="s">
        <v>647</v>
      </c>
      <c r="J944">
        <v>3000</v>
      </c>
      <c r="K944" s="1">
        <v>44764</v>
      </c>
      <c r="L944">
        <v>2022</v>
      </c>
      <c r="M944" t="str">
        <f>UPPER(TEXT(_2020_2022[[#This Row],[Data da Venda]],"mmm"))</f>
        <v>JUL</v>
      </c>
    </row>
    <row r="945" spans="1:13" x14ac:dyDescent="0.25">
      <c r="A945" t="s">
        <v>21</v>
      </c>
      <c r="B945">
        <v>2400</v>
      </c>
      <c r="C945">
        <v>2</v>
      </c>
      <c r="D945" t="s">
        <v>32</v>
      </c>
      <c r="E945" t="s">
        <v>652</v>
      </c>
      <c r="F945" t="s">
        <v>1197</v>
      </c>
      <c r="G945" t="s">
        <v>643</v>
      </c>
      <c r="H945">
        <v>34</v>
      </c>
      <c r="I945" t="s">
        <v>644</v>
      </c>
      <c r="J945">
        <v>4800</v>
      </c>
      <c r="K945" s="1">
        <v>44753</v>
      </c>
      <c r="L945">
        <v>2022</v>
      </c>
      <c r="M945" t="str">
        <f>UPPER(TEXT(_2020_2022[[#This Row],[Data da Venda]],"mmm"))</f>
        <v>JUL</v>
      </c>
    </row>
    <row r="946" spans="1:13" x14ac:dyDescent="0.25">
      <c r="A946" t="s">
        <v>1445</v>
      </c>
      <c r="B946">
        <v>1500</v>
      </c>
      <c r="C946">
        <v>2</v>
      </c>
      <c r="D946" t="s">
        <v>32</v>
      </c>
      <c r="E946" t="s">
        <v>652</v>
      </c>
      <c r="F946" t="s">
        <v>1112</v>
      </c>
      <c r="G946" t="s">
        <v>650</v>
      </c>
      <c r="H946">
        <v>55</v>
      </c>
      <c r="I946" t="s">
        <v>647</v>
      </c>
      <c r="J946">
        <v>3000</v>
      </c>
      <c r="K946" s="1">
        <v>44707</v>
      </c>
      <c r="L946">
        <v>2022</v>
      </c>
      <c r="M946" t="str">
        <f>UPPER(TEXT(_2020_2022[[#This Row],[Data da Venda]],"mmm"))</f>
        <v>MAI</v>
      </c>
    </row>
    <row r="947" spans="1:13" x14ac:dyDescent="0.25">
      <c r="A947" t="s">
        <v>1444</v>
      </c>
      <c r="B947">
        <v>1500</v>
      </c>
      <c r="C947">
        <v>4</v>
      </c>
      <c r="D947" t="s">
        <v>35</v>
      </c>
      <c r="E947" t="s">
        <v>666</v>
      </c>
      <c r="F947" t="s">
        <v>779</v>
      </c>
      <c r="G947" t="s">
        <v>650</v>
      </c>
      <c r="H947">
        <v>32</v>
      </c>
      <c r="I947" t="s">
        <v>644</v>
      </c>
      <c r="J947">
        <v>6000</v>
      </c>
      <c r="K947" s="1">
        <v>44852</v>
      </c>
      <c r="L947">
        <v>2022</v>
      </c>
      <c r="M947" t="str">
        <f>UPPER(TEXT(_2020_2022[[#This Row],[Data da Venda]],"mmm"))</f>
        <v>OUT</v>
      </c>
    </row>
    <row r="948" spans="1:13" x14ac:dyDescent="0.25">
      <c r="A948" t="s">
        <v>1445</v>
      </c>
      <c r="B948">
        <v>1500</v>
      </c>
      <c r="C948">
        <v>4</v>
      </c>
      <c r="D948" t="s">
        <v>32</v>
      </c>
      <c r="E948" t="s">
        <v>652</v>
      </c>
      <c r="F948" t="s">
        <v>653</v>
      </c>
      <c r="G948" t="s">
        <v>643</v>
      </c>
      <c r="H948">
        <v>27</v>
      </c>
      <c r="I948" t="s">
        <v>651</v>
      </c>
      <c r="J948">
        <v>6000</v>
      </c>
      <c r="K948" s="1">
        <v>44776</v>
      </c>
      <c r="L948">
        <v>2022</v>
      </c>
      <c r="M948" t="str">
        <f>UPPER(TEXT(_2020_2022[[#This Row],[Data da Venda]],"mmm"))</f>
        <v>AGO</v>
      </c>
    </row>
    <row r="949" spans="1:13" x14ac:dyDescent="0.25">
      <c r="A949" t="s">
        <v>1441</v>
      </c>
      <c r="B949">
        <v>1450</v>
      </c>
      <c r="C949">
        <v>5</v>
      </c>
      <c r="D949" t="s">
        <v>36</v>
      </c>
      <c r="E949" t="s">
        <v>677</v>
      </c>
      <c r="F949" t="s">
        <v>1198</v>
      </c>
      <c r="G949" t="s">
        <v>650</v>
      </c>
      <c r="H949">
        <v>65</v>
      </c>
      <c r="I949" t="s">
        <v>647</v>
      </c>
      <c r="J949">
        <v>7250</v>
      </c>
      <c r="K949" s="1">
        <v>44596</v>
      </c>
      <c r="L949">
        <v>2022</v>
      </c>
      <c r="M949" t="str">
        <f>UPPER(TEXT(_2020_2022[[#This Row],[Data da Venda]],"mmm"))</f>
        <v>FEV</v>
      </c>
    </row>
    <row r="950" spans="1:13" x14ac:dyDescent="0.25">
      <c r="A950" t="s">
        <v>14</v>
      </c>
      <c r="B950">
        <v>2000</v>
      </c>
      <c r="C950">
        <v>2</v>
      </c>
      <c r="D950" t="s">
        <v>40</v>
      </c>
      <c r="E950" t="s">
        <v>657</v>
      </c>
      <c r="F950" t="s">
        <v>1199</v>
      </c>
      <c r="G950" t="s">
        <v>643</v>
      </c>
      <c r="H950">
        <v>71</v>
      </c>
      <c r="I950" t="s">
        <v>647</v>
      </c>
      <c r="J950">
        <v>4000</v>
      </c>
      <c r="K950" s="1">
        <v>44771</v>
      </c>
      <c r="L950">
        <v>2022</v>
      </c>
      <c r="M950" t="str">
        <f>UPPER(TEXT(_2020_2022[[#This Row],[Data da Venda]],"mmm"))</f>
        <v>JUL</v>
      </c>
    </row>
    <row r="951" spans="1:13" x14ac:dyDescent="0.25">
      <c r="A951" t="s">
        <v>21</v>
      </c>
      <c r="B951">
        <v>2400</v>
      </c>
      <c r="C951">
        <v>4</v>
      </c>
      <c r="D951" t="s">
        <v>37</v>
      </c>
      <c r="E951" t="s">
        <v>645</v>
      </c>
      <c r="F951" t="s">
        <v>973</v>
      </c>
      <c r="G951" t="s">
        <v>643</v>
      </c>
      <c r="H951">
        <v>72</v>
      </c>
      <c r="I951" t="s">
        <v>647</v>
      </c>
      <c r="J951">
        <v>9600</v>
      </c>
      <c r="K951" s="1">
        <v>44772</v>
      </c>
      <c r="L951">
        <v>2022</v>
      </c>
      <c r="M951" t="str">
        <f>UPPER(TEXT(_2020_2022[[#This Row],[Data da Venda]],"mmm"))</f>
        <v>JUL</v>
      </c>
    </row>
    <row r="952" spans="1:13" x14ac:dyDescent="0.25">
      <c r="A952" t="s">
        <v>14</v>
      </c>
      <c r="B952">
        <v>2000</v>
      </c>
      <c r="C952">
        <v>4</v>
      </c>
      <c r="D952" t="s">
        <v>40</v>
      </c>
      <c r="E952" t="s">
        <v>657</v>
      </c>
      <c r="F952" t="s">
        <v>1200</v>
      </c>
      <c r="G952" t="s">
        <v>650</v>
      </c>
      <c r="H952">
        <v>64</v>
      </c>
      <c r="I952" t="s">
        <v>647</v>
      </c>
      <c r="J952">
        <v>8000</v>
      </c>
      <c r="K952" s="1">
        <v>44691</v>
      </c>
      <c r="L952">
        <v>2022</v>
      </c>
      <c r="M952" t="str">
        <f>UPPER(TEXT(_2020_2022[[#This Row],[Data da Venda]],"mmm"))</f>
        <v>MAI</v>
      </c>
    </row>
    <row r="953" spans="1:13" x14ac:dyDescent="0.25">
      <c r="A953" t="s">
        <v>24</v>
      </c>
      <c r="B953">
        <v>2000</v>
      </c>
      <c r="C953">
        <v>1</v>
      </c>
      <c r="D953" t="s">
        <v>29</v>
      </c>
      <c r="E953" t="s">
        <v>641</v>
      </c>
      <c r="F953" t="s">
        <v>1029</v>
      </c>
      <c r="G953" t="s">
        <v>643</v>
      </c>
      <c r="H953">
        <v>44</v>
      </c>
      <c r="I953" t="s">
        <v>644</v>
      </c>
      <c r="J953">
        <v>2000</v>
      </c>
      <c r="K953" s="1">
        <v>44794</v>
      </c>
      <c r="L953">
        <v>2022</v>
      </c>
      <c r="M953" t="str">
        <f>UPPER(TEXT(_2020_2022[[#This Row],[Data da Venda]],"mmm"))</f>
        <v>AGO</v>
      </c>
    </row>
    <row r="954" spans="1:13" x14ac:dyDescent="0.25">
      <c r="A954" t="s">
        <v>7</v>
      </c>
      <c r="B954">
        <v>750</v>
      </c>
      <c r="C954">
        <v>1</v>
      </c>
      <c r="D954" t="s">
        <v>29</v>
      </c>
      <c r="E954" t="s">
        <v>641</v>
      </c>
      <c r="F954" t="s">
        <v>1201</v>
      </c>
      <c r="G954" t="s">
        <v>643</v>
      </c>
      <c r="H954">
        <v>74</v>
      </c>
      <c r="I954" t="s">
        <v>647</v>
      </c>
      <c r="J954">
        <v>750</v>
      </c>
      <c r="K954" s="1">
        <v>44725</v>
      </c>
      <c r="L954">
        <v>2022</v>
      </c>
      <c r="M954" t="str">
        <f>UPPER(TEXT(_2020_2022[[#This Row],[Data da Venda]],"mmm"))</f>
        <v>JUN</v>
      </c>
    </row>
    <row r="955" spans="1:13" x14ac:dyDescent="0.25">
      <c r="A955" t="s">
        <v>20</v>
      </c>
      <c r="B955">
        <v>2600</v>
      </c>
      <c r="C955">
        <v>3</v>
      </c>
      <c r="D955" t="s">
        <v>34</v>
      </c>
      <c r="E955" t="s">
        <v>679</v>
      </c>
      <c r="F955" t="s">
        <v>742</v>
      </c>
      <c r="G955" t="s">
        <v>643</v>
      </c>
      <c r="H955">
        <v>26</v>
      </c>
      <c r="I955" t="s">
        <v>651</v>
      </c>
      <c r="J955">
        <v>7800</v>
      </c>
      <c r="K955" s="1">
        <v>44856</v>
      </c>
      <c r="L955">
        <v>2022</v>
      </c>
      <c r="M955" t="str">
        <f>UPPER(TEXT(_2020_2022[[#This Row],[Data da Venda]],"mmm"))</f>
        <v>OUT</v>
      </c>
    </row>
    <row r="956" spans="1:13" x14ac:dyDescent="0.25">
      <c r="A956" t="s">
        <v>14</v>
      </c>
      <c r="B956">
        <v>2000</v>
      </c>
      <c r="C956">
        <v>5</v>
      </c>
      <c r="D956" t="s">
        <v>36</v>
      </c>
      <c r="E956" t="s">
        <v>677</v>
      </c>
      <c r="F956" t="s">
        <v>805</v>
      </c>
      <c r="G956" t="s">
        <v>650</v>
      </c>
      <c r="H956">
        <v>47</v>
      </c>
      <c r="I956" t="s">
        <v>644</v>
      </c>
      <c r="J956">
        <v>10000</v>
      </c>
      <c r="K956" s="1">
        <v>44722</v>
      </c>
      <c r="L956">
        <v>2022</v>
      </c>
      <c r="M956" t="str">
        <f>UPPER(TEXT(_2020_2022[[#This Row],[Data da Venda]],"mmm"))</f>
        <v>JUN</v>
      </c>
    </row>
    <row r="957" spans="1:13" x14ac:dyDescent="0.25">
      <c r="A957" t="s">
        <v>22</v>
      </c>
      <c r="B957">
        <v>5200</v>
      </c>
      <c r="C957">
        <v>1</v>
      </c>
      <c r="D957" t="s">
        <v>30</v>
      </c>
      <c r="E957" t="s">
        <v>645</v>
      </c>
      <c r="F957" t="s">
        <v>753</v>
      </c>
      <c r="G957" t="s">
        <v>650</v>
      </c>
      <c r="H957">
        <v>57</v>
      </c>
      <c r="I957" t="s">
        <v>647</v>
      </c>
      <c r="J957">
        <v>5200</v>
      </c>
      <c r="K957" s="1">
        <v>44734</v>
      </c>
      <c r="L957">
        <v>2022</v>
      </c>
      <c r="M957" t="str">
        <f>UPPER(TEXT(_2020_2022[[#This Row],[Data da Venda]],"mmm"))</f>
        <v>JUN</v>
      </c>
    </row>
    <row r="958" spans="1:13" x14ac:dyDescent="0.25">
      <c r="A958" t="s">
        <v>28</v>
      </c>
      <c r="B958">
        <v>1400</v>
      </c>
      <c r="C958">
        <v>2</v>
      </c>
      <c r="D958" t="s">
        <v>39</v>
      </c>
      <c r="E958" t="s">
        <v>641</v>
      </c>
      <c r="F958" t="s">
        <v>1202</v>
      </c>
      <c r="G958" t="s">
        <v>650</v>
      </c>
      <c r="H958">
        <v>37</v>
      </c>
      <c r="I958" t="s">
        <v>644</v>
      </c>
      <c r="J958">
        <v>2800</v>
      </c>
      <c r="K958" s="1">
        <v>44583</v>
      </c>
      <c r="L958">
        <v>2022</v>
      </c>
      <c r="M958" t="str">
        <f>UPPER(TEXT(_2020_2022[[#This Row],[Data da Venda]],"mmm"))</f>
        <v>JAN</v>
      </c>
    </row>
    <row r="959" spans="1:13" x14ac:dyDescent="0.25">
      <c r="A959" t="s">
        <v>26</v>
      </c>
      <c r="B959">
        <v>1100</v>
      </c>
      <c r="C959">
        <v>1</v>
      </c>
      <c r="D959" t="s">
        <v>40</v>
      </c>
      <c r="E959" t="s">
        <v>657</v>
      </c>
      <c r="F959" t="s">
        <v>1203</v>
      </c>
      <c r="G959" t="s">
        <v>643</v>
      </c>
      <c r="H959">
        <v>37</v>
      </c>
      <c r="I959" t="s">
        <v>644</v>
      </c>
      <c r="J959">
        <v>1100</v>
      </c>
      <c r="K959" s="1">
        <v>44763</v>
      </c>
      <c r="L959">
        <v>2022</v>
      </c>
      <c r="M959" t="str">
        <f>UPPER(TEXT(_2020_2022[[#This Row],[Data da Venda]],"mmm"))</f>
        <v>JUL</v>
      </c>
    </row>
    <row r="960" spans="1:13" x14ac:dyDescent="0.25">
      <c r="A960" t="s">
        <v>1443</v>
      </c>
      <c r="B960">
        <v>1550</v>
      </c>
      <c r="C960">
        <v>3</v>
      </c>
      <c r="D960" t="s">
        <v>38</v>
      </c>
      <c r="E960" t="s">
        <v>648</v>
      </c>
      <c r="F960" t="s">
        <v>749</v>
      </c>
      <c r="G960" t="s">
        <v>650</v>
      </c>
      <c r="H960">
        <v>41</v>
      </c>
      <c r="I960" t="s">
        <v>644</v>
      </c>
      <c r="J960">
        <v>4650</v>
      </c>
      <c r="K960" s="1">
        <v>44743</v>
      </c>
      <c r="L960">
        <v>2022</v>
      </c>
      <c r="M960" t="str">
        <f>UPPER(TEXT(_2020_2022[[#This Row],[Data da Venda]],"mmm"))</f>
        <v>JUL</v>
      </c>
    </row>
    <row r="961" spans="1:13" x14ac:dyDescent="0.25">
      <c r="A961" t="s">
        <v>1444</v>
      </c>
      <c r="B961">
        <v>1500</v>
      </c>
      <c r="C961">
        <v>4</v>
      </c>
      <c r="D961" t="s">
        <v>34</v>
      </c>
      <c r="E961" t="s">
        <v>679</v>
      </c>
      <c r="F961" t="s">
        <v>977</v>
      </c>
      <c r="G961" t="s">
        <v>650</v>
      </c>
      <c r="H961">
        <v>49</v>
      </c>
      <c r="I961" t="s">
        <v>644</v>
      </c>
      <c r="J961">
        <v>6000</v>
      </c>
      <c r="K961" s="1">
        <v>44840</v>
      </c>
      <c r="L961">
        <v>2022</v>
      </c>
      <c r="M961" t="str">
        <f>UPPER(TEXT(_2020_2022[[#This Row],[Data da Venda]],"mmm"))</f>
        <v>OUT</v>
      </c>
    </row>
    <row r="962" spans="1:13" x14ac:dyDescent="0.25">
      <c r="A962" t="s">
        <v>8</v>
      </c>
      <c r="B962">
        <v>5500</v>
      </c>
      <c r="C962">
        <v>5</v>
      </c>
      <c r="D962" t="s">
        <v>38</v>
      </c>
      <c r="E962" t="s">
        <v>648</v>
      </c>
      <c r="F962" t="s">
        <v>659</v>
      </c>
      <c r="G962" t="s">
        <v>643</v>
      </c>
      <c r="H962">
        <v>50</v>
      </c>
      <c r="I962" t="s">
        <v>644</v>
      </c>
      <c r="J962">
        <v>27500</v>
      </c>
      <c r="K962" s="1">
        <v>44604</v>
      </c>
      <c r="L962">
        <v>2022</v>
      </c>
      <c r="M962" t="str">
        <f>UPPER(TEXT(_2020_2022[[#This Row],[Data da Venda]],"mmm"))</f>
        <v>FEV</v>
      </c>
    </row>
    <row r="963" spans="1:13" x14ac:dyDescent="0.25">
      <c r="A963" t="s">
        <v>7</v>
      </c>
      <c r="B963">
        <v>750</v>
      </c>
      <c r="C963">
        <v>1</v>
      </c>
      <c r="D963" t="s">
        <v>33</v>
      </c>
      <c r="E963" t="s">
        <v>641</v>
      </c>
      <c r="F963" t="s">
        <v>1204</v>
      </c>
      <c r="G963" t="s">
        <v>643</v>
      </c>
      <c r="H963">
        <v>56</v>
      </c>
      <c r="I963" t="s">
        <v>647</v>
      </c>
      <c r="J963">
        <v>750</v>
      </c>
      <c r="K963" s="1">
        <v>44618</v>
      </c>
      <c r="L963">
        <v>2022</v>
      </c>
      <c r="M963" t="str">
        <f>UPPER(TEXT(_2020_2022[[#This Row],[Data da Venda]],"mmm"))</f>
        <v>FEV</v>
      </c>
    </row>
    <row r="964" spans="1:13" x14ac:dyDescent="0.25">
      <c r="A964" t="s">
        <v>20</v>
      </c>
      <c r="B964">
        <v>2600</v>
      </c>
      <c r="C964">
        <v>4</v>
      </c>
      <c r="D964" t="s">
        <v>34</v>
      </c>
      <c r="E964" t="s">
        <v>679</v>
      </c>
      <c r="F964" t="s">
        <v>1002</v>
      </c>
      <c r="G964" t="s">
        <v>650</v>
      </c>
      <c r="H964">
        <v>43</v>
      </c>
      <c r="I964" t="s">
        <v>644</v>
      </c>
      <c r="J964">
        <v>10400</v>
      </c>
      <c r="K964" s="1">
        <v>44627</v>
      </c>
      <c r="L964">
        <v>2022</v>
      </c>
      <c r="M964" t="str">
        <f>UPPER(TEXT(_2020_2022[[#This Row],[Data da Venda]],"mmm"))</f>
        <v>MAR</v>
      </c>
    </row>
    <row r="965" spans="1:13" x14ac:dyDescent="0.25">
      <c r="A965" t="s">
        <v>22</v>
      </c>
      <c r="B965">
        <v>5200</v>
      </c>
      <c r="C965">
        <v>2</v>
      </c>
      <c r="D965" t="s">
        <v>29</v>
      </c>
      <c r="E965" t="s">
        <v>641</v>
      </c>
      <c r="F965" t="s">
        <v>661</v>
      </c>
      <c r="G965" t="s">
        <v>650</v>
      </c>
      <c r="H965">
        <v>53</v>
      </c>
      <c r="I965" t="s">
        <v>647</v>
      </c>
      <c r="J965">
        <v>10400</v>
      </c>
      <c r="K965" s="1">
        <v>44926</v>
      </c>
      <c r="L965">
        <v>2022</v>
      </c>
      <c r="M965" t="str">
        <f>UPPER(TEXT(_2020_2022[[#This Row],[Data da Venda]],"mmm"))</f>
        <v>DEZ</v>
      </c>
    </row>
    <row r="966" spans="1:13" x14ac:dyDescent="0.25">
      <c r="A966" t="s">
        <v>25</v>
      </c>
      <c r="B966">
        <v>2500</v>
      </c>
      <c r="C966">
        <v>3</v>
      </c>
      <c r="D966" t="s">
        <v>33</v>
      </c>
      <c r="E966" t="s">
        <v>641</v>
      </c>
      <c r="F966" t="s">
        <v>1189</v>
      </c>
      <c r="G966" t="s">
        <v>650</v>
      </c>
      <c r="H966">
        <v>70</v>
      </c>
      <c r="I966" t="s">
        <v>647</v>
      </c>
      <c r="J966">
        <v>7500</v>
      </c>
      <c r="K966" s="1">
        <v>44627</v>
      </c>
      <c r="L966">
        <v>2022</v>
      </c>
      <c r="M966" t="str">
        <f>UPPER(TEXT(_2020_2022[[#This Row],[Data da Venda]],"mmm"))</f>
        <v>MAR</v>
      </c>
    </row>
    <row r="967" spans="1:13" x14ac:dyDescent="0.25">
      <c r="A967" t="s">
        <v>5</v>
      </c>
      <c r="B967">
        <v>1750</v>
      </c>
      <c r="C967">
        <v>5</v>
      </c>
      <c r="D967" t="s">
        <v>40</v>
      </c>
      <c r="E967" t="s">
        <v>657</v>
      </c>
      <c r="F967" t="s">
        <v>1034</v>
      </c>
      <c r="G967" t="s">
        <v>643</v>
      </c>
      <c r="H967">
        <v>75</v>
      </c>
      <c r="I967" t="s">
        <v>647</v>
      </c>
      <c r="J967">
        <v>8750</v>
      </c>
      <c r="K967" s="1">
        <v>44818</v>
      </c>
      <c r="L967">
        <v>2022</v>
      </c>
      <c r="M967" t="str">
        <f>UPPER(TEXT(_2020_2022[[#This Row],[Data da Venda]],"mmm"))</f>
        <v>SET</v>
      </c>
    </row>
    <row r="968" spans="1:13" x14ac:dyDescent="0.25">
      <c r="A968" t="s">
        <v>11</v>
      </c>
      <c r="B968">
        <v>4500</v>
      </c>
      <c r="C968">
        <v>5</v>
      </c>
      <c r="D968" t="s">
        <v>36</v>
      </c>
      <c r="E968" t="s">
        <v>677</v>
      </c>
      <c r="F968" t="s">
        <v>886</v>
      </c>
      <c r="G968" t="s">
        <v>650</v>
      </c>
      <c r="H968">
        <v>27</v>
      </c>
      <c r="I968" t="s">
        <v>651</v>
      </c>
      <c r="J968">
        <v>22500</v>
      </c>
      <c r="K968" s="1">
        <v>44635</v>
      </c>
      <c r="L968">
        <v>2022</v>
      </c>
      <c r="M968" t="str">
        <f>UPPER(TEXT(_2020_2022[[#This Row],[Data da Venda]],"mmm"))</f>
        <v>MAR</v>
      </c>
    </row>
    <row r="969" spans="1:13" x14ac:dyDescent="0.25">
      <c r="A969" t="s">
        <v>1444</v>
      </c>
      <c r="B969">
        <v>1500</v>
      </c>
      <c r="C969">
        <v>2</v>
      </c>
      <c r="D969" t="s">
        <v>34</v>
      </c>
      <c r="E969" t="s">
        <v>679</v>
      </c>
      <c r="F969" t="s">
        <v>1205</v>
      </c>
      <c r="G969" t="s">
        <v>643</v>
      </c>
      <c r="H969">
        <v>62</v>
      </c>
      <c r="I969" t="s">
        <v>647</v>
      </c>
      <c r="J969">
        <v>3000</v>
      </c>
      <c r="K969" s="1">
        <v>44895</v>
      </c>
      <c r="L969">
        <v>2022</v>
      </c>
      <c r="M969" t="str">
        <f>UPPER(TEXT(_2020_2022[[#This Row],[Data da Venda]],"mmm"))</f>
        <v>NOV</v>
      </c>
    </row>
    <row r="970" spans="1:13" x14ac:dyDescent="0.25">
      <c r="A970" t="s">
        <v>14</v>
      </c>
      <c r="B970">
        <v>2000</v>
      </c>
      <c r="C970">
        <v>2</v>
      </c>
      <c r="D970" t="s">
        <v>29</v>
      </c>
      <c r="E970" t="s">
        <v>641</v>
      </c>
      <c r="F970" t="s">
        <v>1156</v>
      </c>
      <c r="G970" t="s">
        <v>643</v>
      </c>
      <c r="H970">
        <v>31</v>
      </c>
      <c r="I970" t="s">
        <v>644</v>
      </c>
      <c r="J970">
        <v>4000</v>
      </c>
      <c r="K970" s="1">
        <v>44584</v>
      </c>
      <c r="L970">
        <v>2022</v>
      </c>
      <c r="M970" t="str">
        <f>UPPER(TEXT(_2020_2022[[#This Row],[Data da Venda]],"mmm"))</f>
        <v>JAN</v>
      </c>
    </row>
    <row r="971" spans="1:13" x14ac:dyDescent="0.25">
      <c r="A971" t="s">
        <v>1441</v>
      </c>
      <c r="B971">
        <v>1450</v>
      </c>
      <c r="C971">
        <v>5</v>
      </c>
      <c r="D971" t="s">
        <v>40</v>
      </c>
      <c r="E971" t="s">
        <v>657</v>
      </c>
      <c r="F971" t="s">
        <v>770</v>
      </c>
      <c r="G971" t="s">
        <v>643</v>
      </c>
      <c r="H971">
        <v>31</v>
      </c>
      <c r="I971" t="s">
        <v>644</v>
      </c>
      <c r="J971">
        <v>7250</v>
      </c>
      <c r="K971" s="1">
        <v>44754</v>
      </c>
      <c r="L971">
        <v>2022</v>
      </c>
      <c r="M971" t="str">
        <f>UPPER(TEXT(_2020_2022[[#This Row],[Data da Venda]],"mmm"))</f>
        <v>JUL</v>
      </c>
    </row>
    <row r="972" spans="1:13" x14ac:dyDescent="0.25">
      <c r="A972" t="s">
        <v>16</v>
      </c>
      <c r="B972">
        <v>1400</v>
      </c>
      <c r="C972">
        <v>4</v>
      </c>
      <c r="D972" t="s">
        <v>36</v>
      </c>
      <c r="E972" t="s">
        <v>677</v>
      </c>
      <c r="F972" t="s">
        <v>825</v>
      </c>
      <c r="G972" t="s">
        <v>643</v>
      </c>
      <c r="H972">
        <v>27</v>
      </c>
      <c r="I972" t="s">
        <v>651</v>
      </c>
      <c r="J972">
        <v>5600</v>
      </c>
      <c r="K972" s="1">
        <v>44829</v>
      </c>
      <c r="L972">
        <v>2022</v>
      </c>
      <c r="M972" t="str">
        <f>UPPER(TEXT(_2020_2022[[#This Row],[Data da Venda]],"mmm"))</f>
        <v>SET</v>
      </c>
    </row>
    <row r="973" spans="1:13" x14ac:dyDescent="0.25">
      <c r="A973" t="s">
        <v>13</v>
      </c>
      <c r="B973">
        <v>2300</v>
      </c>
      <c r="C973">
        <v>1</v>
      </c>
      <c r="D973" t="s">
        <v>31</v>
      </c>
      <c r="E973" t="s">
        <v>645</v>
      </c>
      <c r="F973" t="s">
        <v>1206</v>
      </c>
      <c r="G973" t="s">
        <v>643</v>
      </c>
      <c r="H973">
        <v>41</v>
      </c>
      <c r="I973" t="s">
        <v>644</v>
      </c>
      <c r="J973">
        <v>2300</v>
      </c>
      <c r="K973" s="1">
        <v>44684</v>
      </c>
      <c r="L973">
        <v>2022</v>
      </c>
      <c r="M973" t="str">
        <f>UPPER(TEXT(_2020_2022[[#This Row],[Data da Venda]],"mmm"))</f>
        <v>MAI</v>
      </c>
    </row>
    <row r="974" spans="1:13" x14ac:dyDescent="0.25">
      <c r="A974" t="s">
        <v>8</v>
      </c>
      <c r="B974">
        <v>5500</v>
      </c>
      <c r="C974">
        <v>1</v>
      </c>
      <c r="D974" t="s">
        <v>30</v>
      </c>
      <c r="E974" t="s">
        <v>645</v>
      </c>
      <c r="F974" t="s">
        <v>752</v>
      </c>
      <c r="G974" t="s">
        <v>650</v>
      </c>
      <c r="H974">
        <v>54</v>
      </c>
      <c r="I974" t="s">
        <v>647</v>
      </c>
      <c r="J974">
        <v>5500</v>
      </c>
      <c r="K974" s="1">
        <v>44737</v>
      </c>
      <c r="L974">
        <v>2022</v>
      </c>
      <c r="M974" t="str">
        <f>UPPER(TEXT(_2020_2022[[#This Row],[Data da Venda]],"mmm"))</f>
        <v>JUN</v>
      </c>
    </row>
    <row r="975" spans="1:13" x14ac:dyDescent="0.25">
      <c r="A975" t="s">
        <v>1443</v>
      </c>
      <c r="B975">
        <v>1550</v>
      </c>
      <c r="C975">
        <v>4</v>
      </c>
      <c r="D975" t="s">
        <v>41</v>
      </c>
      <c r="E975" t="s">
        <v>681</v>
      </c>
      <c r="F975" t="s">
        <v>1207</v>
      </c>
      <c r="G975" t="s">
        <v>643</v>
      </c>
      <c r="H975">
        <v>52</v>
      </c>
      <c r="I975" t="s">
        <v>647</v>
      </c>
      <c r="J975">
        <v>6200</v>
      </c>
      <c r="K975" s="1">
        <v>44666</v>
      </c>
      <c r="L975">
        <v>2022</v>
      </c>
      <c r="M975" t="str">
        <f>UPPER(TEXT(_2020_2022[[#This Row],[Data da Venda]],"mmm"))</f>
        <v>ABR</v>
      </c>
    </row>
    <row r="976" spans="1:13" x14ac:dyDescent="0.25">
      <c r="A976" t="s">
        <v>1442</v>
      </c>
      <c r="B976">
        <v>1200</v>
      </c>
      <c r="C976">
        <v>1</v>
      </c>
      <c r="D976" t="s">
        <v>32</v>
      </c>
      <c r="E976" t="s">
        <v>652</v>
      </c>
      <c r="F976" t="s">
        <v>715</v>
      </c>
      <c r="G976" t="s">
        <v>643</v>
      </c>
      <c r="H976">
        <v>72</v>
      </c>
      <c r="I976" t="s">
        <v>647</v>
      </c>
      <c r="J976">
        <v>1200</v>
      </c>
      <c r="K976" s="1">
        <v>44915</v>
      </c>
      <c r="L976">
        <v>2022</v>
      </c>
      <c r="M976" t="str">
        <f>UPPER(TEXT(_2020_2022[[#This Row],[Data da Venda]],"mmm"))</f>
        <v>DEZ</v>
      </c>
    </row>
    <row r="977" spans="1:13" x14ac:dyDescent="0.25">
      <c r="A977" t="s">
        <v>14</v>
      </c>
      <c r="B977">
        <v>2000</v>
      </c>
      <c r="C977">
        <v>2</v>
      </c>
      <c r="D977" t="s">
        <v>37</v>
      </c>
      <c r="E977" t="s">
        <v>645</v>
      </c>
      <c r="F977" t="s">
        <v>973</v>
      </c>
      <c r="G977" t="s">
        <v>643</v>
      </c>
      <c r="H977">
        <v>72</v>
      </c>
      <c r="I977" t="s">
        <v>647</v>
      </c>
      <c r="J977">
        <v>4000</v>
      </c>
      <c r="K977" s="1">
        <v>44896</v>
      </c>
      <c r="L977">
        <v>2022</v>
      </c>
      <c r="M977" t="str">
        <f>UPPER(TEXT(_2020_2022[[#This Row],[Data da Venda]],"mmm"))</f>
        <v>DEZ</v>
      </c>
    </row>
    <row r="978" spans="1:13" x14ac:dyDescent="0.25">
      <c r="A978" t="s">
        <v>20</v>
      </c>
      <c r="B978">
        <v>2600</v>
      </c>
      <c r="C978">
        <v>4</v>
      </c>
      <c r="D978" t="s">
        <v>37</v>
      </c>
      <c r="E978" t="s">
        <v>645</v>
      </c>
      <c r="F978" t="s">
        <v>1113</v>
      </c>
      <c r="G978" t="s">
        <v>643</v>
      </c>
      <c r="H978">
        <v>70</v>
      </c>
      <c r="I978" t="s">
        <v>647</v>
      </c>
      <c r="J978">
        <v>10400</v>
      </c>
      <c r="K978" s="1">
        <v>44887</v>
      </c>
      <c r="L978">
        <v>2022</v>
      </c>
      <c r="M978" t="str">
        <f>UPPER(TEXT(_2020_2022[[#This Row],[Data da Venda]],"mmm"))</f>
        <v>NOV</v>
      </c>
    </row>
    <row r="979" spans="1:13" x14ac:dyDescent="0.25">
      <c r="A979" t="s">
        <v>18</v>
      </c>
      <c r="B979">
        <v>3000</v>
      </c>
      <c r="C979">
        <v>1</v>
      </c>
      <c r="D979" t="s">
        <v>36</v>
      </c>
      <c r="E979" t="s">
        <v>677</v>
      </c>
      <c r="F979" t="s">
        <v>1099</v>
      </c>
      <c r="G979" t="s">
        <v>650</v>
      </c>
      <c r="H979">
        <v>47</v>
      </c>
      <c r="I979" t="s">
        <v>644</v>
      </c>
      <c r="J979">
        <v>3000</v>
      </c>
      <c r="K979" s="1">
        <v>44723</v>
      </c>
      <c r="L979">
        <v>2022</v>
      </c>
      <c r="M979" t="str">
        <f>UPPER(TEXT(_2020_2022[[#This Row],[Data da Venda]],"mmm"))</f>
        <v>JUN</v>
      </c>
    </row>
    <row r="980" spans="1:13" x14ac:dyDescent="0.25">
      <c r="A980" t="s">
        <v>1442</v>
      </c>
      <c r="B980">
        <v>1200</v>
      </c>
      <c r="C980">
        <v>1</v>
      </c>
      <c r="D980" t="s">
        <v>36</v>
      </c>
      <c r="E980" t="s">
        <v>677</v>
      </c>
      <c r="F980" t="s">
        <v>825</v>
      </c>
      <c r="G980" t="s">
        <v>643</v>
      </c>
      <c r="H980">
        <v>27</v>
      </c>
      <c r="I980" t="s">
        <v>651</v>
      </c>
      <c r="J980">
        <v>1200</v>
      </c>
      <c r="K980" s="1">
        <v>44869</v>
      </c>
      <c r="L980">
        <v>2022</v>
      </c>
      <c r="M980" t="str">
        <f>UPPER(TEXT(_2020_2022[[#This Row],[Data da Venda]],"mmm"))</f>
        <v>NOV</v>
      </c>
    </row>
    <row r="981" spans="1:13" x14ac:dyDescent="0.25">
      <c r="A981" t="s">
        <v>14</v>
      </c>
      <c r="B981">
        <v>2000</v>
      </c>
      <c r="C981">
        <v>4</v>
      </c>
      <c r="D981" t="s">
        <v>33</v>
      </c>
      <c r="E981" t="s">
        <v>641</v>
      </c>
      <c r="F981" t="s">
        <v>962</v>
      </c>
      <c r="G981" t="s">
        <v>643</v>
      </c>
      <c r="H981">
        <v>34</v>
      </c>
      <c r="I981" t="s">
        <v>644</v>
      </c>
      <c r="J981">
        <v>8000</v>
      </c>
      <c r="K981" s="1">
        <v>44862</v>
      </c>
      <c r="L981">
        <v>2022</v>
      </c>
      <c r="M981" t="str">
        <f>UPPER(TEXT(_2020_2022[[#This Row],[Data da Venda]],"mmm"))</f>
        <v>OUT</v>
      </c>
    </row>
    <row r="982" spans="1:13" x14ac:dyDescent="0.25">
      <c r="A982" t="s">
        <v>24</v>
      </c>
      <c r="B982">
        <v>2000</v>
      </c>
      <c r="C982">
        <v>4</v>
      </c>
      <c r="D982" t="s">
        <v>31</v>
      </c>
      <c r="E982" t="s">
        <v>645</v>
      </c>
      <c r="F982" t="s">
        <v>1208</v>
      </c>
      <c r="G982" t="s">
        <v>643</v>
      </c>
      <c r="H982">
        <v>34</v>
      </c>
      <c r="I982" t="s">
        <v>644</v>
      </c>
      <c r="J982">
        <v>8000</v>
      </c>
      <c r="K982" s="1">
        <v>44793</v>
      </c>
      <c r="L982">
        <v>2022</v>
      </c>
      <c r="M982" t="str">
        <f>UPPER(TEXT(_2020_2022[[#This Row],[Data da Venda]],"mmm"))</f>
        <v>AGO</v>
      </c>
    </row>
    <row r="983" spans="1:13" x14ac:dyDescent="0.25">
      <c r="A983" t="s">
        <v>1442</v>
      </c>
      <c r="B983">
        <v>1200</v>
      </c>
      <c r="C983">
        <v>4</v>
      </c>
      <c r="D983" t="s">
        <v>35</v>
      </c>
      <c r="E983" t="s">
        <v>666</v>
      </c>
      <c r="F983" t="s">
        <v>1209</v>
      </c>
      <c r="G983" t="s">
        <v>643</v>
      </c>
      <c r="H983">
        <v>33</v>
      </c>
      <c r="I983" t="s">
        <v>644</v>
      </c>
      <c r="J983">
        <v>4800</v>
      </c>
      <c r="K983" s="1">
        <v>44652</v>
      </c>
      <c r="L983">
        <v>2022</v>
      </c>
      <c r="M983" t="str">
        <f>UPPER(TEXT(_2020_2022[[#This Row],[Data da Venda]],"mmm"))</f>
        <v>ABR</v>
      </c>
    </row>
    <row r="984" spans="1:13" x14ac:dyDescent="0.25">
      <c r="A984" t="s">
        <v>5</v>
      </c>
      <c r="B984">
        <v>1750</v>
      </c>
      <c r="C984">
        <v>1</v>
      </c>
      <c r="D984" t="s">
        <v>36</v>
      </c>
      <c r="E984" t="s">
        <v>677</v>
      </c>
      <c r="F984" t="s">
        <v>1128</v>
      </c>
      <c r="G984" t="s">
        <v>643</v>
      </c>
      <c r="H984">
        <v>63</v>
      </c>
      <c r="I984" t="s">
        <v>647</v>
      </c>
      <c r="J984">
        <v>1750</v>
      </c>
      <c r="K984" s="1">
        <v>44862</v>
      </c>
      <c r="L984">
        <v>2022</v>
      </c>
      <c r="M984" t="str">
        <f>UPPER(TEXT(_2020_2022[[#This Row],[Data da Venda]],"mmm"))</f>
        <v>OUT</v>
      </c>
    </row>
    <row r="985" spans="1:13" x14ac:dyDescent="0.25">
      <c r="A985" t="s">
        <v>16</v>
      </c>
      <c r="B985">
        <v>1400</v>
      </c>
      <c r="C985">
        <v>2</v>
      </c>
      <c r="D985" t="s">
        <v>31</v>
      </c>
      <c r="E985" t="s">
        <v>645</v>
      </c>
      <c r="F985" t="s">
        <v>811</v>
      </c>
      <c r="G985" t="s">
        <v>650</v>
      </c>
      <c r="H985">
        <v>56</v>
      </c>
      <c r="I985" t="s">
        <v>647</v>
      </c>
      <c r="J985">
        <v>2800</v>
      </c>
      <c r="K985" s="1">
        <v>44630</v>
      </c>
      <c r="L985">
        <v>2022</v>
      </c>
      <c r="M985" t="str">
        <f>UPPER(TEXT(_2020_2022[[#This Row],[Data da Venda]],"mmm"))</f>
        <v>MAR</v>
      </c>
    </row>
    <row r="986" spans="1:13" x14ac:dyDescent="0.25">
      <c r="A986" t="s">
        <v>22</v>
      </c>
      <c r="B986">
        <v>5200</v>
      </c>
      <c r="C986">
        <v>2</v>
      </c>
      <c r="D986" t="s">
        <v>35</v>
      </c>
      <c r="E986" t="s">
        <v>666</v>
      </c>
      <c r="F986" t="s">
        <v>751</v>
      </c>
      <c r="G986" t="s">
        <v>650</v>
      </c>
      <c r="H986">
        <v>67</v>
      </c>
      <c r="I986" t="s">
        <v>647</v>
      </c>
      <c r="J986">
        <v>10400</v>
      </c>
      <c r="K986" s="1">
        <v>44912</v>
      </c>
      <c r="L986">
        <v>2022</v>
      </c>
      <c r="M986" t="str">
        <f>UPPER(TEXT(_2020_2022[[#This Row],[Data da Venda]],"mmm"))</f>
        <v>DEZ</v>
      </c>
    </row>
    <row r="987" spans="1:13" x14ac:dyDescent="0.25">
      <c r="A987" t="s">
        <v>5</v>
      </c>
      <c r="B987">
        <v>1750</v>
      </c>
      <c r="C987">
        <v>1</v>
      </c>
      <c r="D987" t="s">
        <v>35</v>
      </c>
      <c r="E987" t="s">
        <v>666</v>
      </c>
      <c r="F987" t="s">
        <v>1134</v>
      </c>
      <c r="G987" t="s">
        <v>650</v>
      </c>
      <c r="H987">
        <v>68</v>
      </c>
      <c r="I987" t="s">
        <v>647</v>
      </c>
      <c r="J987">
        <v>1750</v>
      </c>
      <c r="K987" s="1">
        <v>44727</v>
      </c>
      <c r="L987">
        <v>2022</v>
      </c>
      <c r="M987" t="str">
        <f>UPPER(TEXT(_2020_2022[[#This Row],[Data da Venda]],"mmm"))</f>
        <v>JUN</v>
      </c>
    </row>
    <row r="988" spans="1:13" x14ac:dyDescent="0.25">
      <c r="A988" t="s">
        <v>15</v>
      </c>
      <c r="B988">
        <v>1900</v>
      </c>
      <c r="C988">
        <v>1</v>
      </c>
      <c r="D988" t="s">
        <v>39</v>
      </c>
      <c r="E988" t="s">
        <v>641</v>
      </c>
      <c r="F988" t="s">
        <v>1210</v>
      </c>
      <c r="G988" t="s">
        <v>650</v>
      </c>
      <c r="H988">
        <v>30</v>
      </c>
      <c r="I988" t="s">
        <v>644</v>
      </c>
      <c r="J988">
        <v>1900</v>
      </c>
      <c r="K988" s="1">
        <v>44622</v>
      </c>
      <c r="L988">
        <v>2022</v>
      </c>
      <c r="M988" t="str">
        <f>UPPER(TEXT(_2020_2022[[#This Row],[Data da Venda]],"mmm"))</f>
        <v>MAR</v>
      </c>
    </row>
    <row r="989" spans="1:13" x14ac:dyDescent="0.25">
      <c r="A989" t="s">
        <v>5</v>
      </c>
      <c r="B989">
        <v>1750</v>
      </c>
      <c r="C989">
        <v>1</v>
      </c>
      <c r="D989" t="s">
        <v>39</v>
      </c>
      <c r="E989" t="s">
        <v>641</v>
      </c>
      <c r="F989" t="s">
        <v>987</v>
      </c>
      <c r="G989" t="s">
        <v>650</v>
      </c>
      <c r="H989">
        <v>30</v>
      </c>
      <c r="I989" t="s">
        <v>644</v>
      </c>
      <c r="J989">
        <v>1750</v>
      </c>
      <c r="K989" s="1">
        <v>44739</v>
      </c>
      <c r="L989">
        <v>2022</v>
      </c>
      <c r="M989" t="str">
        <f>UPPER(TEXT(_2020_2022[[#This Row],[Data da Venda]],"mmm"))</f>
        <v>JUN</v>
      </c>
    </row>
    <row r="990" spans="1:13" x14ac:dyDescent="0.25">
      <c r="A990" t="s">
        <v>1445</v>
      </c>
      <c r="B990">
        <v>1500</v>
      </c>
      <c r="C990">
        <v>3</v>
      </c>
      <c r="D990" t="s">
        <v>29</v>
      </c>
      <c r="E990" t="s">
        <v>641</v>
      </c>
      <c r="F990" t="s">
        <v>692</v>
      </c>
      <c r="G990" t="s">
        <v>643</v>
      </c>
      <c r="H990">
        <v>49</v>
      </c>
      <c r="I990" t="s">
        <v>644</v>
      </c>
      <c r="J990">
        <v>4500</v>
      </c>
      <c r="K990" s="1">
        <v>44823</v>
      </c>
      <c r="L990">
        <v>2022</v>
      </c>
      <c r="M990" t="str">
        <f>UPPER(TEXT(_2020_2022[[#This Row],[Data da Venda]],"mmm"))</f>
        <v>SET</v>
      </c>
    </row>
    <row r="991" spans="1:13" x14ac:dyDescent="0.25">
      <c r="A991" t="s">
        <v>1443</v>
      </c>
      <c r="B991">
        <v>1550</v>
      </c>
      <c r="C991">
        <v>5</v>
      </c>
      <c r="D991" t="s">
        <v>29</v>
      </c>
      <c r="E991" t="s">
        <v>641</v>
      </c>
      <c r="F991" t="s">
        <v>843</v>
      </c>
      <c r="G991" t="s">
        <v>650</v>
      </c>
      <c r="H991">
        <v>73</v>
      </c>
      <c r="I991" t="s">
        <v>647</v>
      </c>
      <c r="J991">
        <v>7750</v>
      </c>
      <c r="K991" s="1">
        <v>44571</v>
      </c>
      <c r="L991">
        <v>2022</v>
      </c>
      <c r="M991" t="str">
        <f>UPPER(TEXT(_2020_2022[[#This Row],[Data da Venda]],"mmm"))</f>
        <v>JAN</v>
      </c>
    </row>
    <row r="992" spans="1:13" x14ac:dyDescent="0.25">
      <c r="A992" t="s">
        <v>1443</v>
      </c>
      <c r="B992">
        <v>1550</v>
      </c>
      <c r="C992">
        <v>1</v>
      </c>
      <c r="D992" t="s">
        <v>39</v>
      </c>
      <c r="E992" t="s">
        <v>641</v>
      </c>
      <c r="F992" t="s">
        <v>818</v>
      </c>
      <c r="G992" t="s">
        <v>643</v>
      </c>
      <c r="H992">
        <v>71</v>
      </c>
      <c r="I992" t="s">
        <v>647</v>
      </c>
      <c r="J992">
        <v>1550</v>
      </c>
      <c r="K992" s="1">
        <v>44597</v>
      </c>
      <c r="L992">
        <v>2022</v>
      </c>
      <c r="M992" t="str">
        <f>UPPER(TEXT(_2020_2022[[#This Row],[Data da Venda]],"mmm"))</f>
        <v>FEV</v>
      </c>
    </row>
    <row r="993" spans="1:13" x14ac:dyDescent="0.25">
      <c r="A993" t="s">
        <v>12</v>
      </c>
      <c r="B993">
        <v>6500</v>
      </c>
      <c r="C993">
        <v>3</v>
      </c>
      <c r="D993" t="s">
        <v>38</v>
      </c>
      <c r="E993" t="s">
        <v>648</v>
      </c>
      <c r="F993" t="s">
        <v>1143</v>
      </c>
      <c r="G993" t="s">
        <v>643</v>
      </c>
      <c r="H993">
        <v>27</v>
      </c>
      <c r="I993" t="s">
        <v>651</v>
      </c>
      <c r="J993">
        <v>19500</v>
      </c>
      <c r="K993" s="1">
        <v>44694</v>
      </c>
      <c r="L993">
        <v>2022</v>
      </c>
      <c r="M993" t="str">
        <f>UPPER(TEXT(_2020_2022[[#This Row],[Data da Venda]],"mmm"))</f>
        <v>MAI</v>
      </c>
    </row>
    <row r="994" spans="1:13" x14ac:dyDescent="0.25">
      <c r="A994" t="s">
        <v>1444</v>
      </c>
      <c r="B994">
        <v>1500</v>
      </c>
      <c r="C994">
        <v>5</v>
      </c>
      <c r="D994" t="s">
        <v>37</v>
      </c>
      <c r="E994" t="s">
        <v>645</v>
      </c>
      <c r="F994" t="s">
        <v>1211</v>
      </c>
      <c r="G994" t="s">
        <v>650</v>
      </c>
      <c r="H994">
        <v>50</v>
      </c>
      <c r="I994" t="s">
        <v>644</v>
      </c>
      <c r="J994">
        <v>7500</v>
      </c>
      <c r="K994" s="1">
        <v>44693</v>
      </c>
      <c r="L994">
        <v>2022</v>
      </c>
      <c r="M994" t="str">
        <f>UPPER(TEXT(_2020_2022[[#This Row],[Data da Venda]],"mmm"))</f>
        <v>MAI</v>
      </c>
    </row>
    <row r="995" spans="1:13" x14ac:dyDescent="0.25">
      <c r="A995" t="s">
        <v>7</v>
      </c>
      <c r="B995">
        <v>750</v>
      </c>
      <c r="C995">
        <v>1</v>
      </c>
      <c r="D995" t="s">
        <v>40</v>
      </c>
      <c r="E995" t="s">
        <v>657</v>
      </c>
      <c r="F995" t="s">
        <v>1193</v>
      </c>
      <c r="G995" t="s">
        <v>650</v>
      </c>
      <c r="H995">
        <v>53</v>
      </c>
      <c r="I995" t="s">
        <v>647</v>
      </c>
      <c r="J995">
        <v>750</v>
      </c>
      <c r="K995" s="1">
        <v>44871</v>
      </c>
      <c r="L995">
        <v>2022</v>
      </c>
      <c r="M995" t="str">
        <f>UPPER(TEXT(_2020_2022[[#This Row],[Data da Venda]],"mmm"))</f>
        <v>NOV</v>
      </c>
    </row>
    <row r="996" spans="1:13" x14ac:dyDescent="0.25">
      <c r="A996" t="s">
        <v>16</v>
      </c>
      <c r="B996">
        <v>1400</v>
      </c>
      <c r="C996">
        <v>2</v>
      </c>
      <c r="D996" t="s">
        <v>30</v>
      </c>
      <c r="E996" t="s">
        <v>645</v>
      </c>
      <c r="F996" t="s">
        <v>765</v>
      </c>
      <c r="G996" t="s">
        <v>650</v>
      </c>
      <c r="H996">
        <v>73</v>
      </c>
      <c r="I996" t="s">
        <v>647</v>
      </c>
      <c r="J996">
        <v>2800</v>
      </c>
      <c r="K996" s="1">
        <v>44655</v>
      </c>
      <c r="L996">
        <v>2022</v>
      </c>
      <c r="M996" t="str">
        <f>UPPER(TEXT(_2020_2022[[#This Row],[Data da Venda]],"mmm"))</f>
        <v>ABR</v>
      </c>
    </row>
    <row r="997" spans="1:13" x14ac:dyDescent="0.25">
      <c r="A997" t="s">
        <v>8</v>
      </c>
      <c r="B997">
        <v>5500</v>
      </c>
      <c r="C997">
        <v>2</v>
      </c>
      <c r="D997" t="s">
        <v>39</v>
      </c>
      <c r="E997" t="s">
        <v>641</v>
      </c>
      <c r="F997" t="s">
        <v>1210</v>
      </c>
      <c r="G997" t="s">
        <v>650</v>
      </c>
      <c r="H997">
        <v>30</v>
      </c>
      <c r="I997" t="s">
        <v>644</v>
      </c>
      <c r="J997">
        <v>11000</v>
      </c>
      <c r="K997" s="1">
        <v>44838</v>
      </c>
      <c r="L997">
        <v>2022</v>
      </c>
      <c r="M997" t="str">
        <f>UPPER(TEXT(_2020_2022[[#This Row],[Data da Venda]],"mmm"))</f>
        <v>OUT</v>
      </c>
    </row>
    <row r="998" spans="1:13" x14ac:dyDescent="0.25">
      <c r="A998" t="s">
        <v>12</v>
      </c>
      <c r="B998">
        <v>6500</v>
      </c>
      <c r="C998">
        <v>4</v>
      </c>
      <c r="D998" t="s">
        <v>32</v>
      </c>
      <c r="E998" t="s">
        <v>652</v>
      </c>
      <c r="F998" t="s">
        <v>761</v>
      </c>
      <c r="G998" t="s">
        <v>643</v>
      </c>
      <c r="H998">
        <v>26</v>
      </c>
      <c r="I998" t="s">
        <v>651</v>
      </c>
      <c r="J998">
        <v>26000</v>
      </c>
      <c r="K998" s="1">
        <v>44892</v>
      </c>
      <c r="L998">
        <v>2022</v>
      </c>
      <c r="M998" t="str">
        <f>UPPER(TEXT(_2020_2022[[#This Row],[Data da Venda]],"mmm"))</f>
        <v>NOV</v>
      </c>
    </row>
    <row r="999" spans="1:13" x14ac:dyDescent="0.25">
      <c r="A999" t="s">
        <v>1445</v>
      </c>
      <c r="B999">
        <v>1500</v>
      </c>
      <c r="C999">
        <v>4</v>
      </c>
      <c r="D999" t="s">
        <v>29</v>
      </c>
      <c r="E999" t="s">
        <v>641</v>
      </c>
      <c r="F999" t="s">
        <v>1155</v>
      </c>
      <c r="G999" t="s">
        <v>650</v>
      </c>
      <c r="H999">
        <v>29</v>
      </c>
      <c r="I999" t="s">
        <v>651</v>
      </c>
      <c r="J999">
        <v>6000</v>
      </c>
      <c r="K999" s="1">
        <v>44582</v>
      </c>
      <c r="L999">
        <v>2022</v>
      </c>
      <c r="M999" t="str">
        <f>UPPER(TEXT(_2020_2022[[#This Row],[Data da Venda]],"mmm"))</f>
        <v>JAN</v>
      </c>
    </row>
    <row r="1000" spans="1:13" x14ac:dyDescent="0.25">
      <c r="A1000" t="s">
        <v>24</v>
      </c>
      <c r="B1000">
        <v>2000</v>
      </c>
      <c r="C1000">
        <v>3</v>
      </c>
      <c r="D1000" t="s">
        <v>37</v>
      </c>
      <c r="E1000" t="s">
        <v>645</v>
      </c>
      <c r="F1000" t="s">
        <v>1212</v>
      </c>
      <c r="G1000" t="s">
        <v>650</v>
      </c>
      <c r="H1000">
        <v>44</v>
      </c>
      <c r="I1000" t="s">
        <v>644</v>
      </c>
      <c r="J1000">
        <v>6000</v>
      </c>
      <c r="K1000" s="1">
        <v>44704</v>
      </c>
      <c r="L1000">
        <v>2022</v>
      </c>
      <c r="M1000" t="str">
        <f>UPPER(TEXT(_2020_2022[[#This Row],[Data da Venda]],"mmm"))</f>
        <v>MAI</v>
      </c>
    </row>
    <row r="1001" spans="1:13" x14ac:dyDescent="0.25">
      <c r="A1001" t="s">
        <v>28</v>
      </c>
      <c r="B1001">
        <v>1400</v>
      </c>
      <c r="C1001">
        <v>4</v>
      </c>
      <c r="D1001" t="s">
        <v>29</v>
      </c>
      <c r="E1001" t="s">
        <v>641</v>
      </c>
      <c r="F1001" t="s">
        <v>807</v>
      </c>
      <c r="G1001" t="s">
        <v>643</v>
      </c>
      <c r="H1001">
        <v>28</v>
      </c>
      <c r="I1001" t="s">
        <v>651</v>
      </c>
      <c r="J1001">
        <v>5600</v>
      </c>
      <c r="K1001" s="1">
        <v>44874</v>
      </c>
      <c r="L1001">
        <v>2022</v>
      </c>
      <c r="M1001" t="str">
        <f>UPPER(TEXT(_2020_2022[[#This Row],[Data da Venda]],"mmm"))</f>
        <v>NOV</v>
      </c>
    </row>
    <row r="1002" spans="1:13" x14ac:dyDescent="0.25">
      <c r="A1002" t="s">
        <v>12</v>
      </c>
      <c r="B1002">
        <v>6500</v>
      </c>
      <c r="C1002">
        <v>1</v>
      </c>
      <c r="D1002" t="s">
        <v>36</v>
      </c>
      <c r="E1002" t="s">
        <v>677</v>
      </c>
      <c r="F1002" t="s">
        <v>819</v>
      </c>
      <c r="G1002" t="s">
        <v>643</v>
      </c>
      <c r="H1002">
        <v>63</v>
      </c>
      <c r="I1002" t="s">
        <v>647</v>
      </c>
      <c r="J1002">
        <v>6500</v>
      </c>
      <c r="K1002" s="1">
        <v>44923</v>
      </c>
      <c r="L1002">
        <v>2022</v>
      </c>
      <c r="M1002" t="str">
        <f>UPPER(TEXT(_2020_2022[[#This Row],[Data da Venda]],"mmm"))</f>
        <v>DEZ</v>
      </c>
    </row>
    <row r="1003" spans="1:13" x14ac:dyDescent="0.25">
      <c r="A1003" t="s">
        <v>14</v>
      </c>
      <c r="B1003">
        <v>2000</v>
      </c>
      <c r="C1003">
        <v>5</v>
      </c>
      <c r="D1003" t="s">
        <v>36</v>
      </c>
      <c r="E1003" t="s">
        <v>677</v>
      </c>
      <c r="F1003" t="s">
        <v>1094</v>
      </c>
      <c r="G1003" t="s">
        <v>650</v>
      </c>
      <c r="H1003">
        <v>26</v>
      </c>
      <c r="I1003" t="s">
        <v>651</v>
      </c>
      <c r="J1003">
        <v>10000</v>
      </c>
      <c r="K1003" s="1">
        <v>44707</v>
      </c>
      <c r="L1003">
        <v>2022</v>
      </c>
      <c r="M1003" t="str">
        <f>UPPER(TEXT(_2020_2022[[#This Row],[Data da Venda]],"mmm"))</f>
        <v>MAI</v>
      </c>
    </row>
    <row r="1004" spans="1:13" x14ac:dyDescent="0.25">
      <c r="A1004" t="s">
        <v>7</v>
      </c>
      <c r="B1004">
        <v>750</v>
      </c>
      <c r="C1004">
        <v>2</v>
      </c>
      <c r="D1004" t="s">
        <v>41</v>
      </c>
      <c r="E1004" t="s">
        <v>681</v>
      </c>
      <c r="F1004" t="s">
        <v>1213</v>
      </c>
      <c r="G1004" t="s">
        <v>643</v>
      </c>
      <c r="H1004">
        <v>56</v>
      </c>
      <c r="I1004" t="s">
        <v>647</v>
      </c>
      <c r="J1004">
        <v>1500</v>
      </c>
      <c r="K1004" s="1">
        <v>44745</v>
      </c>
      <c r="L1004">
        <v>2022</v>
      </c>
      <c r="M1004" t="str">
        <f>UPPER(TEXT(_2020_2022[[#This Row],[Data da Venda]],"mmm"))</f>
        <v>JUL</v>
      </c>
    </row>
    <row r="1005" spans="1:13" x14ac:dyDescent="0.25">
      <c r="A1005" t="s">
        <v>24</v>
      </c>
      <c r="B1005">
        <v>2000</v>
      </c>
      <c r="C1005">
        <v>4</v>
      </c>
      <c r="D1005" t="s">
        <v>31</v>
      </c>
      <c r="E1005" t="s">
        <v>645</v>
      </c>
      <c r="F1005" t="s">
        <v>947</v>
      </c>
      <c r="G1005" t="s">
        <v>650</v>
      </c>
      <c r="H1005">
        <v>32</v>
      </c>
      <c r="I1005" t="s">
        <v>644</v>
      </c>
      <c r="J1005">
        <v>8000</v>
      </c>
      <c r="K1005" s="1">
        <v>44739</v>
      </c>
      <c r="L1005">
        <v>2022</v>
      </c>
      <c r="M1005" t="str">
        <f>UPPER(TEXT(_2020_2022[[#This Row],[Data da Venda]],"mmm"))</f>
        <v>JUN</v>
      </c>
    </row>
    <row r="1006" spans="1:13" x14ac:dyDescent="0.25">
      <c r="A1006" t="s">
        <v>21</v>
      </c>
      <c r="B1006">
        <v>2400</v>
      </c>
      <c r="C1006">
        <v>4</v>
      </c>
      <c r="D1006" t="s">
        <v>37</v>
      </c>
      <c r="E1006" t="s">
        <v>645</v>
      </c>
      <c r="F1006" t="s">
        <v>1214</v>
      </c>
      <c r="G1006" t="s">
        <v>643</v>
      </c>
      <c r="H1006">
        <v>64</v>
      </c>
      <c r="I1006" t="s">
        <v>647</v>
      </c>
      <c r="J1006">
        <v>9600</v>
      </c>
      <c r="K1006" s="1">
        <v>44839</v>
      </c>
      <c r="L1006">
        <v>2022</v>
      </c>
      <c r="M1006" t="str">
        <f>UPPER(TEXT(_2020_2022[[#This Row],[Data da Venda]],"mmm"))</f>
        <v>OUT</v>
      </c>
    </row>
    <row r="1007" spans="1:13" x14ac:dyDescent="0.25">
      <c r="A1007" t="s">
        <v>1444</v>
      </c>
      <c r="B1007">
        <v>1500</v>
      </c>
      <c r="C1007">
        <v>5</v>
      </c>
      <c r="D1007" t="s">
        <v>36</v>
      </c>
      <c r="E1007" t="s">
        <v>677</v>
      </c>
      <c r="F1007" t="s">
        <v>960</v>
      </c>
      <c r="G1007" t="s">
        <v>650</v>
      </c>
      <c r="H1007">
        <v>32</v>
      </c>
      <c r="I1007" t="s">
        <v>644</v>
      </c>
      <c r="J1007">
        <v>7500</v>
      </c>
      <c r="K1007" s="1">
        <v>44682</v>
      </c>
      <c r="L1007">
        <v>2022</v>
      </c>
      <c r="M1007" t="str">
        <f>UPPER(TEXT(_2020_2022[[#This Row],[Data da Venda]],"mmm"))</f>
        <v>MAI</v>
      </c>
    </row>
    <row r="1008" spans="1:13" x14ac:dyDescent="0.25">
      <c r="A1008" t="s">
        <v>1445</v>
      </c>
      <c r="B1008">
        <v>1500</v>
      </c>
      <c r="C1008">
        <v>1</v>
      </c>
      <c r="D1008" t="s">
        <v>29</v>
      </c>
      <c r="E1008" t="s">
        <v>641</v>
      </c>
      <c r="F1008" t="s">
        <v>1215</v>
      </c>
      <c r="G1008" t="s">
        <v>643</v>
      </c>
      <c r="H1008">
        <v>60</v>
      </c>
      <c r="I1008" t="s">
        <v>647</v>
      </c>
      <c r="J1008">
        <v>1500</v>
      </c>
      <c r="K1008" s="1">
        <v>44599</v>
      </c>
      <c r="L1008">
        <v>2022</v>
      </c>
      <c r="M1008" t="str">
        <f>UPPER(TEXT(_2020_2022[[#This Row],[Data da Venda]],"mmm"))</f>
        <v>FEV</v>
      </c>
    </row>
    <row r="1009" spans="1:13" x14ac:dyDescent="0.25">
      <c r="A1009" t="s">
        <v>8</v>
      </c>
      <c r="B1009">
        <v>5500</v>
      </c>
      <c r="C1009">
        <v>3</v>
      </c>
      <c r="D1009" t="s">
        <v>39</v>
      </c>
      <c r="E1009" t="s">
        <v>641</v>
      </c>
      <c r="F1009" t="s">
        <v>987</v>
      </c>
      <c r="G1009" t="s">
        <v>650</v>
      </c>
      <c r="H1009">
        <v>30</v>
      </c>
      <c r="I1009" t="s">
        <v>644</v>
      </c>
      <c r="J1009">
        <v>16500</v>
      </c>
      <c r="K1009" s="1">
        <v>44774</v>
      </c>
      <c r="L1009">
        <v>2022</v>
      </c>
      <c r="M1009" t="str">
        <f>UPPER(TEXT(_2020_2022[[#This Row],[Data da Venda]],"mmm"))</f>
        <v>AGO</v>
      </c>
    </row>
    <row r="1010" spans="1:13" x14ac:dyDescent="0.25">
      <c r="A1010" t="s">
        <v>18</v>
      </c>
      <c r="B1010">
        <v>3000</v>
      </c>
      <c r="C1010">
        <v>5</v>
      </c>
      <c r="D1010" t="s">
        <v>39</v>
      </c>
      <c r="E1010" t="s">
        <v>641</v>
      </c>
      <c r="F1010" t="s">
        <v>1216</v>
      </c>
      <c r="G1010" t="s">
        <v>643</v>
      </c>
      <c r="H1010">
        <v>45</v>
      </c>
      <c r="I1010" t="s">
        <v>644</v>
      </c>
      <c r="J1010">
        <v>15000</v>
      </c>
      <c r="K1010" s="1">
        <v>44888</v>
      </c>
      <c r="L1010">
        <v>2022</v>
      </c>
      <c r="M1010" t="str">
        <f>UPPER(TEXT(_2020_2022[[#This Row],[Data da Venda]],"mmm"))</f>
        <v>NOV</v>
      </c>
    </row>
    <row r="1011" spans="1:13" x14ac:dyDescent="0.25">
      <c r="A1011" t="s">
        <v>1445</v>
      </c>
      <c r="B1011">
        <v>1500</v>
      </c>
      <c r="C1011">
        <v>5</v>
      </c>
      <c r="D1011" t="s">
        <v>29</v>
      </c>
      <c r="E1011" t="s">
        <v>641</v>
      </c>
      <c r="F1011" t="s">
        <v>734</v>
      </c>
      <c r="G1011" t="s">
        <v>643</v>
      </c>
      <c r="H1011">
        <v>52</v>
      </c>
      <c r="I1011" t="s">
        <v>647</v>
      </c>
      <c r="J1011">
        <v>7500</v>
      </c>
      <c r="K1011" s="1">
        <v>44740</v>
      </c>
      <c r="L1011">
        <v>2022</v>
      </c>
      <c r="M1011" t="str">
        <f>UPPER(TEXT(_2020_2022[[#This Row],[Data da Venda]],"mmm"))</f>
        <v>JUN</v>
      </c>
    </row>
    <row r="1012" spans="1:13" x14ac:dyDescent="0.25">
      <c r="A1012" t="s">
        <v>9</v>
      </c>
      <c r="B1012">
        <v>1500</v>
      </c>
      <c r="C1012">
        <v>1</v>
      </c>
      <c r="D1012" t="s">
        <v>37</v>
      </c>
      <c r="E1012" t="s">
        <v>645</v>
      </c>
      <c r="F1012" t="s">
        <v>1217</v>
      </c>
      <c r="G1012" t="s">
        <v>650</v>
      </c>
      <c r="H1012">
        <v>67</v>
      </c>
      <c r="I1012" t="s">
        <v>647</v>
      </c>
      <c r="J1012">
        <v>1500</v>
      </c>
      <c r="K1012" s="1">
        <v>44711</v>
      </c>
      <c r="L1012">
        <v>2022</v>
      </c>
      <c r="M1012" t="str">
        <f>UPPER(TEXT(_2020_2022[[#This Row],[Data da Venda]],"mmm"))</f>
        <v>MAI</v>
      </c>
    </row>
    <row r="1013" spans="1:13" x14ac:dyDescent="0.25">
      <c r="A1013" t="s">
        <v>18</v>
      </c>
      <c r="B1013">
        <v>3000</v>
      </c>
      <c r="C1013">
        <v>4</v>
      </c>
      <c r="D1013" t="s">
        <v>31</v>
      </c>
      <c r="E1013" t="s">
        <v>645</v>
      </c>
      <c r="F1013" t="s">
        <v>1030</v>
      </c>
      <c r="G1013" t="s">
        <v>650</v>
      </c>
      <c r="H1013">
        <v>41</v>
      </c>
      <c r="I1013" t="s">
        <v>644</v>
      </c>
      <c r="J1013">
        <v>12000</v>
      </c>
      <c r="K1013" s="1">
        <v>44593</v>
      </c>
      <c r="L1013">
        <v>2022</v>
      </c>
      <c r="M1013" t="str">
        <f>UPPER(TEXT(_2020_2022[[#This Row],[Data da Venda]],"mmm"))</f>
        <v>FEV</v>
      </c>
    </row>
    <row r="1014" spans="1:13" x14ac:dyDescent="0.25">
      <c r="A1014" t="s">
        <v>24</v>
      </c>
      <c r="B1014">
        <v>2000</v>
      </c>
      <c r="C1014">
        <v>1</v>
      </c>
      <c r="D1014" t="s">
        <v>40</v>
      </c>
      <c r="E1014" t="s">
        <v>657</v>
      </c>
      <c r="F1014" t="s">
        <v>696</v>
      </c>
      <c r="G1014" t="s">
        <v>643</v>
      </c>
      <c r="H1014">
        <v>38</v>
      </c>
      <c r="I1014" t="s">
        <v>644</v>
      </c>
      <c r="J1014">
        <v>2000</v>
      </c>
      <c r="K1014" s="1">
        <v>44868</v>
      </c>
      <c r="L1014">
        <v>2022</v>
      </c>
      <c r="M1014" t="str">
        <f>UPPER(TEXT(_2020_2022[[#This Row],[Data da Venda]],"mmm"))</f>
        <v>NOV</v>
      </c>
    </row>
    <row r="1015" spans="1:13" x14ac:dyDescent="0.25">
      <c r="A1015" t="s">
        <v>1442</v>
      </c>
      <c r="B1015">
        <v>1200</v>
      </c>
      <c r="C1015">
        <v>2</v>
      </c>
      <c r="D1015" t="s">
        <v>41</v>
      </c>
      <c r="E1015" t="s">
        <v>681</v>
      </c>
      <c r="F1015" t="s">
        <v>1196</v>
      </c>
      <c r="G1015" t="s">
        <v>643</v>
      </c>
      <c r="H1015">
        <v>64</v>
      </c>
      <c r="I1015" t="s">
        <v>647</v>
      </c>
      <c r="J1015">
        <v>2400</v>
      </c>
      <c r="K1015" s="1">
        <v>44594</v>
      </c>
      <c r="L1015">
        <v>2022</v>
      </c>
      <c r="M1015" t="str">
        <f>UPPER(TEXT(_2020_2022[[#This Row],[Data da Venda]],"mmm"))</f>
        <v>FEV</v>
      </c>
    </row>
    <row r="1016" spans="1:13" x14ac:dyDescent="0.25">
      <c r="A1016" t="s">
        <v>11</v>
      </c>
      <c r="B1016">
        <v>4500</v>
      </c>
      <c r="C1016">
        <v>2</v>
      </c>
      <c r="D1016" t="s">
        <v>41</v>
      </c>
      <c r="E1016" t="s">
        <v>681</v>
      </c>
      <c r="F1016" t="s">
        <v>1218</v>
      </c>
      <c r="G1016" t="s">
        <v>650</v>
      </c>
      <c r="H1016">
        <v>44</v>
      </c>
      <c r="I1016" t="s">
        <v>644</v>
      </c>
      <c r="J1016">
        <v>9000</v>
      </c>
      <c r="K1016" s="1">
        <v>44737</v>
      </c>
      <c r="L1016">
        <v>2022</v>
      </c>
      <c r="M1016" t="str">
        <f>UPPER(TEXT(_2020_2022[[#This Row],[Data da Venda]],"mmm"))</f>
        <v>JUN</v>
      </c>
    </row>
    <row r="1017" spans="1:13" x14ac:dyDescent="0.25">
      <c r="A1017" t="s">
        <v>11</v>
      </c>
      <c r="B1017">
        <v>4500</v>
      </c>
      <c r="C1017">
        <v>5</v>
      </c>
      <c r="D1017" t="s">
        <v>30</v>
      </c>
      <c r="E1017" t="s">
        <v>645</v>
      </c>
      <c r="F1017" t="s">
        <v>1117</v>
      </c>
      <c r="G1017" t="s">
        <v>650</v>
      </c>
      <c r="H1017">
        <v>54</v>
      </c>
      <c r="I1017" t="s">
        <v>647</v>
      </c>
      <c r="J1017">
        <v>22500</v>
      </c>
      <c r="K1017" s="1">
        <v>44851</v>
      </c>
      <c r="L1017">
        <v>2022</v>
      </c>
      <c r="M1017" t="str">
        <f>UPPER(TEXT(_2020_2022[[#This Row],[Data da Venda]],"mmm"))</f>
        <v>OUT</v>
      </c>
    </row>
    <row r="1018" spans="1:13" x14ac:dyDescent="0.25">
      <c r="A1018" t="s">
        <v>13</v>
      </c>
      <c r="B1018">
        <v>2300</v>
      </c>
      <c r="C1018">
        <v>5</v>
      </c>
      <c r="D1018" t="s">
        <v>30</v>
      </c>
      <c r="E1018" t="s">
        <v>645</v>
      </c>
      <c r="F1018" t="s">
        <v>1219</v>
      </c>
      <c r="G1018" t="s">
        <v>643</v>
      </c>
      <c r="H1018">
        <v>69</v>
      </c>
      <c r="I1018" t="s">
        <v>647</v>
      </c>
      <c r="J1018">
        <v>11500</v>
      </c>
      <c r="K1018" s="1">
        <v>44687</v>
      </c>
      <c r="L1018">
        <v>2022</v>
      </c>
      <c r="M1018" t="str">
        <f>UPPER(TEXT(_2020_2022[[#This Row],[Data da Venda]],"mmm"))</f>
        <v>MAI</v>
      </c>
    </row>
    <row r="1019" spans="1:13" x14ac:dyDescent="0.25">
      <c r="A1019" t="s">
        <v>1440</v>
      </c>
      <c r="B1019">
        <v>700</v>
      </c>
      <c r="C1019">
        <v>2</v>
      </c>
      <c r="D1019" t="s">
        <v>32</v>
      </c>
      <c r="E1019" t="s">
        <v>652</v>
      </c>
      <c r="F1019" t="s">
        <v>1024</v>
      </c>
      <c r="G1019" t="s">
        <v>643</v>
      </c>
      <c r="H1019">
        <v>76</v>
      </c>
      <c r="I1019" t="s">
        <v>647</v>
      </c>
      <c r="J1019">
        <v>1400</v>
      </c>
      <c r="K1019" s="1">
        <v>44564</v>
      </c>
      <c r="L1019">
        <v>2022</v>
      </c>
      <c r="M1019" t="str">
        <f>UPPER(TEXT(_2020_2022[[#This Row],[Data da Venda]],"mmm"))</f>
        <v>JAN</v>
      </c>
    </row>
    <row r="1020" spans="1:13" x14ac:dyDescent="0.25">
      <c r="A1020" t="s">
        <v>1443</v>
      </c>
      <c r="B1020">
        <v>1550</v>
      </c>
      <c r="C1020">
        <v>3</v>
      </c>
      <c r="D1020" t="s">
        <v>33</v>
      </c>
      <c r="E1020" t="s">
        <v>641</v>
      </c>
      <c r="F1020" t="s">
        <v>642</v>
      </c>
      <c r="G1020" t="s">
        <v>643</v>
      </c>
      <c r="H1020">
        <v>41</v>
      </c>
      <c r="I1020" t="s">
        <v>644</v>
      </c>
      <c r="J1020">
        <v>4650</v>
      </c>
      <c r="K1020" s="1">
        <v>44628</v>
      </c>
      <c r="L1020">
        <v>2022</v>
      </c>
      <c r="M1020" t="str">
        <f>UPPER(TEXT(_2020_2022[[#This Row],[Data da Venda]],"mmm"))</f>
        <v>MAR</v>
      </c>
    </row>
    <row r="1021" spans="1:13" x14ac:dyDescent="0.25">
      <c r="A1021" t="s">
        <v>12</v>
      </c>
      <c r="B1021">
        <v>6500</v>
      </c>
      <c r="C1021">
        <v>3</v>
      </c>
      <c r="D1021" t="s">
        <v>29</v>
      </c>
      <c r="E1021" t="s">
        <v>641</v>
      </c>
      <c r="F1021" t="s">
        <v>983</v>
      </c>
      <c r="G1021" t="s">
        <v>643</v>
      </c>
      <c r="H1021">
        <v>34</v>
      </c>
      <c r="I1021" t="s">
        <v>644</v>
      </c>
      <c r="J1021">
        <v>19500</v>
      </c>
      <c r="K1021" s="1">
        <v>44708</v>
      </c>
      <c r="L1021">
        <v>2022</v>
      </c>
      <c r="M1021" t="str">
        <f>UPPER(TEXT(_2020_2022[[#This Row],[Data da Venda]],"mmm"))</f>
        <v>MAI</v>
      </c>
    </row>
    <row r="1022" spans="1:13" x14ac:dyDescent="0.25">
      <c r="A1022" t="s">
        <v>13</v>
      </c>
      <c r="B1022">
        <v>2300</v>
      </c>
      <c r="C1022">
        <v>4</v>
      </c>
      <c r="D1022" t="s">
        <v>41</v>
      </c>
      <c r="E1022" t="s">
        <v>681</v>
      </c>
      <c r="F1022" t="s">
        <v>839</v>
      </c>
      <c r="G1022" t="s">
        <v>643</v>
      </c>
      <c r="H1022">
        <v>66</v>
      </c>
      <c r="I1022" t="s">
        <v>647</v>
      </c>
      <c r="J1022">
        <v>9200</v>
      </c>
      <c r="K1022" s="1">
        <v>44760</v>
      </c>
      <c r="L1022">
        <v>2022</v>
      </c>
      <c r="M1022" t="str">
        <f>UPPER(TEXT(_2020_2022[[#This Row],[Data da Venda]],"mmm"))</f>
        <v>JUL</v>
      </c>
    </row>
    <row r="1023" spans="1:13" x14ac:dyDescent="0.25">
      <c r="A1023" t="s">
        <v>7</v>
      </c>
      <c r="B1023">
        <v>750</v>
      </c>
      <c r="C1023">
        <v>5</v>
      </c>
      <c r="D1023" t="s">
        <v>31</v>
      </c>
      <c r="E1023" t="s">
        <v>645</v>
      </c>
      <c r="F1023" t="s">
        <v>1026</v>
      </c>
      <c r="G1023" t="s">
        <v>643</v>
      </c>
      <c r="H1023">
        <v>53</v>
      </c>
      <c r="I1023" t="s">
        <v>647</v>
      </c>
      <c r="J1023">
        <v>3750</v>
      </c>
      <c r="K1023" s="1">
        <v>44761</v>
      </c>
      <c r="L1023">
        <v>2022</v>
      </c>
      <c r="M1023" t="str">
        <f>UPPER(TEXT(_2020_2022[[#This Row],[Data da Venda]],"mmm"))</f>
        <v>JUL</v>
      </c>
    </row>
    <row r="1024" spans="1:13" x14ac:dyDescent="0.25">
      <c r="A1024" t="s">
        <v>8</v>
      </c>
      <c r="B1024">
        <v>5500</v>
      </c>
      <c r="C1024">
        <v>4</v>
      </c>
      <c r="D1024" t="s">
        <v>36</v>
      </c>
      <c r="E1024" t="s">
        <v>677</v>
      </c>
      <c r="F1024" t="s">
        <v>937</v>
      </c>
      <c r="G1024" t="s">
        <v>650</v>
      </c>
      <c r="H1024">
        <v>39</v>
      </c>
      <c r="I1024" t="s">
        <v>644</v>
      </c>
      <c r="J1024">
        <v>22000</v>
      </c>
      <c r="K1024" s="1">
        <v>44913</v>
      </c>
      <c r="L1024">
        <v>2022</v>
      </c>
      <c r="M1024" t="str">
        <f>UPPER(TEXT(_2020_2022[[#This Row],[Data da Venda]],"mmm"))</f>
        <v>DEZ</v>
      </c>
    </row>
    <row r="1025" spans="1:13" x14ac:dyDescent="0.25">
      <c r="A1025" t="s">
        <v>16</v>
      </c>
      <c r="B1025">
        <v>1400</v>
      </c>
      <c r="C1025">
        <v>4</v>
      </c>
      <c r="D1025" t="s">
        <v>31</v>
      </c>
      <c r="E1025" t="s">
        <v>645</v>
      </c>
      <c r="F1025" t="s">
        <v>1220</v>
      </c>
      <c r="G1025" t="s">
        <v>650</v>
      </c>
      <c r="H1025">
        <v>30</v>
      </c>
      <c r="I1025" t="s">
        <v>644</v>
      </c>
      <c r="J1025">
        <v>5600</v>
      </c>
      <c r="K1025" s="1">
        <v>44706</v>
      </c>
      <c r="L1025">
        <v>2022</v>
      </c>
      <c r="M1025" t="str">
        <f>UPPER(TEXT(_2020_2022[[#This Row],[Data da Venda]],"mmm"))</f>
        <v>MAI</v>
      </c>
    </row>
    <row r="1026" spans="1:13" x14ac:dyDescent="0.25">
      <c r="A1026" t="s">
        <v>1440</v>
      </c>
      <c r="B1026">
        <v>700</v>
      </c>
      <c r="C1026">
        <v>2</v>
      </c>
      <c r="D1026" t="s">
        <v>38</v>
      </c>
      <c r="E1026" t="s">
        <v>648</v>
      </c>
      <c r="F1026" t="s">
        <v>717</v>
      </c>
      <c r="G1026" t="s">
        <v>643</v>
      </c>
      <c r="H1026">
        <v>64</v>
      </c>
      <c r="I1026" t="s">
        <v>647</v>
      </c>
      <c r="J1026">
        <v>1400</v>
      </c>
      <c r="K1026" s="1">
        <v>44607</v>
      </c>
      <c r="L1026">
        <v>2022</v>
      </c>
      <c r="M1026" t="str">
        <f>UPPER(TEXT(_2020_2022[[#This Row],[Data da Venda]],"mmm"))</f>
        <v>FEV</v>
      </c>
    </row>
    <row r="1027" spans="1:13" x14ac:dyDescent="0.25">
      <c r="A1027" t="s">
        <v>1441</v>
      </c>
      <c r="B1027">
        <v>1450</v>
      </c>
      <c r="C1027">
        <v>1</v>
      </c>
      <c r="D1027" t="s">
        <v>29</v>
      </c>
      <c r="E1027" t="s">
        <v>641</v>
      </c>
      <c r="F1027" t="s">
        <v>989</v>
      </c>
      <c r="G1027" t="s">
        <v>643</v>
      </c>
      <c r="H1027">
        <v>33</v>
      </c>
      <c r="I1027" t="s">
        <v>644</v>
      </c>
      <c r="J1027">
        <v>1450</v>
      </c>
      <c r="K1027" s="1">
        <v>44656</v>
      </c>
      <c r="L1027">
        <v>2022</v>
      </c>
      <c r="M1027" t="str">
        <f>UPPER(TEXT(_2020_2022[[#This Row],[Data da Venda]],"mmm"))</f>
        <v>ABR</v>
      </c>
    </row>
    <row r="1028" spans="1:13" x14ac:dyDescent="0.25">
      <c r="A1028" t="s">
        <v>20</v>
      </c>
      <c r="B1028">
        <v>2600</v>
      </c>
      <c r="C1028">
        <v>3</v>
      </c>
      <c r="D1028" t="s">
        <v>37</v>
      </c>
      <c r="E1028" t="s">
        <v>645</v>
      </c>
      <c r="F1028" t="s">
        <v>1221</v>
      </c>
      <c r="G1028" t="s">
        <v>650</v>
      </c>
      <c r="H1028">
        <v>48</v>
      </c>
      <c r="I1028" t="s">
        <v>644</v>
      </c>
      <c r="J1028">
        <v>7800</v>
      </c>
      <c r="K1028" s="1">
        <v>44820</v>
      </c>
      <c r="L1028">
        <v>2022</v>
      </c>
      <c r="M1028" t="str">
        <f>UPPER(TEXT(_2020_2022[[#This Row],[Data da Venda]],"mmm"))</f>
        <v>SET</v>
      </c>
    </row>
    <row r="1029" spans="1:13" x14ac:dyDescent="0.25">
      <c r="A1029" t="s">
        <v>14</v>
      </c>
      <c r="B1029">
        <v>2000</v>
      </c>
      <c r="C1029">
        <v>4</v>
      </c>
      <c r="D1029" t="s">
        <v>40</v>
      </c>
      <c r="E1029" t="s">
        <v>657</v>
      </c>
      <c r="F1029" t="s">
        <v>1222</v>
      </c>
      <c r="G1029" t="s">
        <v>643</v>
      </c>
      <c r="H1029">
        <v>52</v>
      </c>
      <c r="I1029" t="s">
        <v>647</v>
      </c>
      <c r="J1029">
        <v>8000</v>
      </c>
      <c r="K1029" s="1">
        <v>44905</v>
      </c>
      <c r="L1029">
        <v>2022</v>
      </c>
      <c r="M1029" t="str">
        <f>UPPER(TEXT(_2020_2022[[#This Row],[Data da Venda]],"mmm"))</f>
        <v>DEZ</v>
      </c>
    </row>
    <row r="1030" spans="1:13" x14ac:dyDescent="0.25">
      <c r="A1030" t="s">
        <v>1442</v>
      </c>
      <c r="B1030">
        <v>1200</v>
      </c>
      <c r="C1030">
        <v>5</v>
      </c>
      <c r="D1030" t="s">
        <v>35</v>
      </c>
      <c r="E1030" t="s">
        <v>666</v>
      </c>
      <c r="F1030" t="s">
        <v>1124</v>
      </c>
      <c r="G1030" t="s">
        <v>643</v>
      </c>
      <c r="H1030">
        <v>34</v>
      </c>
      <c r="I1030" t="s">
        <v>644</v>
      </c>
      <c r="J1030">
        <v>6000</v>
      </c>
      <c r="K1030" s="1">
        <v>44794</v>
      </c>
      <c r="L1030">
        <v>2022</v>
      </c>
      <c r="M1030" t="str">
        <f>UPPER(TEXT(_2020_2022[[#This Row],[Data da Venda]],"mmm"))</f>
        <v>AGO</v>
      </c>
    </row>
    <row r="1031" spans="1:13" x14ac:dyDescent="0.25">
      <c r="A1031" t="s">
        <v>15</v>
      </c>
      <c r="B1031">
        <v>1900</v>
      </c>
      <c r="C1031">
        <v>4</v>
      </c>
      <c r="D1031" t="s">
        <v>38</v>
      </c>
      <c r="E1031" t="s">
        <v>648</v>
      </c>
      <c r="F1031" t="s">
        <v>1223</v>
      </c>
      <c r="G1031" t="s">
        <v>643</v>
      </c>
      <c r="H1031">
        <v>50</v>
      </c>
      <c r="I1031" t="s">
        <v>644</v>
      </c>
      <c r="J1031">
        <v>7600</v>
      </c>
      <c r="K1031" s="1">
        <v>44895</v>
      </c>
      <c r="L1031">
        <v>2022</v>
      </c>
      <c r="M1031" t="str">
        <f>UPPER(TEXT(_2020_2022[[#This Row],[Data da Venda]],"mmm"))</f>
        <v>NOV</v>
      </c>
    </row>
    <row r="1032" spans="1:13" x14ac:dyDescent="0.25">
      <c r="A1032" t="s">
        <v>7</v>
      </c>
      <c r="B1032">
        <v>750</v>
      </c>
      <c r="C1032">
        <v>4</v>
      </c>
      <c r="D1032" t="s">
        <v>41</v>
      </c>
      <c r="E1032" t="s">
        <v>681</v>
      </c>
      <c r="F1032" t="s">
        <v>1149</v>
      </c>
      <c r="G1032" t="s">
        <v>643</v>
      </c>
      <c r="H1032">
        <v>53</v>
      </c>
      <c r="I1032" t="s">
        <v>647</v>
      </c>
      <c r="J1032">
        <v>3000</v>
      </c>
      <c r="K1032" s="1">
        <v>44766</v>
      </c>
      <c r="L1032">
        <v>2022</v>
      </c>
      <c r="M1032" t="str">
        <f>UPPER(TEXT(_2020_2022[[#This Row],[Data da Venda]],"mmm"))</f>
        <v>JUL</v>
      </c>
    </row>
    <row r="1033" spans="1:13" x14ac:dyDescent="0.25">
      <c r="A1033" t="s">
        <v>22</v>
      </c>
      <c r="B1033">
        <v>5200</v>
      </c>
      <c r="C1033">
        <v>2</v>
      </c>
      <c r="D1033" t="s">
        <v>32</v>
      </c>
      <c r="E1033" t="s">
        <v>652</v>
      </c>
      <c r="F1033" t="s">
        <v>1031</v>
      </c>
      <c r="G1033" t="s">
        <v>643</v>
      </c>
      <c r="H1033">
        <v>44</v>
      </c>
      <c r="I1033" t="s">
        <v>644</v>
      </c>
      <c r="J1033">
        <v>10400</v>
      </c>
      <c r="K1033" s="1">
        <v>44672</v>
      </c>
      <c r="L1033">
        <v>2022</v>
      </c>
      <c r="M1033" t="str">
        <f>UPPER(TEXT(_2020_2022[[#This Row],[Data da Venda]],"mmm"))</f>
        <v>ABR</v>
      </c>
    </row>
    <row r="1034" spans="1:13" x14ac:dyDescent="0.25">
      <c r="A1034" t="s">
        <v>7</v>
      </c>
      <c r="B1034">
        <v>750</v>
      </c>
      <c r="C1034">
        <v>1</v>
      </c>
      <c r="D1034" t="s">
        <v>39</v>
      </c>
      <c r="E1034" t="s">
        <v>641</v>
      </c>
      <c r="F1034" t="s">
        <v>1224</v>
      </c>
      <c r="G1034" t="s">
        <v>650</v>
      </c>
      <c r="H1034">
        <v>34</v>
      </c>
      <c r="I1034" t="s">
        <v>644</v>
      </c>
      <c r="J1034">
        <v>750</v>
      </c>
      <c r="K1034" s="1">
        <v>44673</v>
      </c>
      <c r="L1034">
        <v>2022</v>
      </c>
      <c r="M1034" t="str">
        <f>UPPER(TEXT(_2020_2022[[#This Row],[Data da Venda]],"mmm"))</f>
        <v>ABR</v>
      </c>
    </row>
    <row r="1035" spans="1:13" x14ac:dyDescent="0.25">
      <c r="A1035" t="s">
        <v>1444</v>
      </c>
      <c r="B1035">
        <v>1500</v>
      </c>
      <c r="C1035">
        <v>4</v>
      </c>
      <c r="D1035" t="s">
        <v>39</v>
      </c>
      <c r="E1035" t="s">
        <v>641</v>
      </c>
      <c r="F1035" t="s">
        <v>1225</v>
      </c>
      <c r="G1035" t="s">
        <v>650</v>
      </c>
      <c r="H1035">
        <v>45</v>
      </c>
      <c r="I1035" t="s">
        <v>644</v>
      </c>
      <c r="J1035">
        <v>6000</v>
      </c>
      <c r="K1035" s="1">
        <v>44646</v>
      </c>
      <c r="L1035">
        <v>2022</v>
      </c>
      <c r="M1035" t="str">
        <f>UPPER(TEXT(_2020_2022[[#This Row],[Data da Venda]],"mmm"))</f>
        <v>MAR</v>
      </c>
    </row>
    <row r="1036" spans="1:13" x14ac:dyDescent="0.25">
      <c r="A1036" t="s">
        <v>1441</v>
      </c>
      <c r="B1036">
        <v>1450</v>
      </c>
      <c r="C1036">
        <v>1</v>
      </c>
      <c r="D1036" t="s">
        <v>37</v>
      </c>
      <c r="E1036" t="s">
        <v>645</v>
      </c>
      <c r="F1036" t="s">
        <v>1226</v>
      </c>
      <c r="G1036" t="s">
        <v>643</v>
      </c>
      <c r="H1036">
        <v>56</v>
      </c>
      <c r="I1036" t="s">
        <v>647</v>
      </c>
      <c r="J1036">
        <v>1450</v>
      </c>
      <c r="K1036" s="1">
        <v>44607</v>
      </c>
      <c r="L1036">
        <v>2022</v>
      </c>
      <c r="M1036" t="str">
        <f>UPPER(TEXT(_2020_2022[[#This Row],[Data da Venda]],"mmm"))</f>
        <v>FEV</v>
      </c>
    </row>
    <row r="1037" spans="1:13" x14ac:dyDescent="0.25">
      <c r="A1037" t="s">
        <v>1440</v>
      </c>
      <c r="B1037">
        <v>700</v>
      </c>
      <c r="C1037">
        <v>2</v>
      </c>
      <c r="D1037" t="s">
        <v>29</v>
      </c>
      <c r="E1037" t="s">
        <v>641</v>
      </c>
      <c r="F1037" t="s">
        <v>916</v>
      </c>
      <c r="G1037" t="s">
        <v>643</v>
      </c>
      <c r="H1037">
        <v>57</v>
      </c>
      <c r="I1037" t="s">
        <v>647</v>
      </c>
      <c r="J1037">
        <v>1400</v>
      </c>
      <c r="K1037" s="1">
        <v>44719</v>
      </c>
      <c r="L1037">
        <v>2022</v>
      </c>
      <c r="M1037" t="str">
        <f>UPPER(TEXT(_2020_2022[[#This Row],[Data da Venda]],"mmm"))</f>
        <v>JUN</v>
      </c>
    </row>
    <row r="1038" spans="1:13" x14ac:dyDescent="0.25">
      <c r="A1038" t="s">
        <v>8</v>
      </c>
      <c r="B1038">
        <v>5500</v>
      </c>
      <c r="C1038">
        <v>5</v>
      </c>
      <c r="D1038" t="s">
        <v>34</v>
      </c>
      <c r="E1038" t="s">
        <v>679</v>
      </c>
      <c r="F1038" t="s">
        <v>1227</v>
      </c>
      <c r="G1038" t="s">
        <v>650</v>
      </c>
      <c r="H1038">
        <v>39</v>
      </c>
      <c r="I1038" t="s">
        <v>644</v>
      </c>
      <c r="J1038">
        <v>27500</v>
      </c>
      <c r="K1038" s="1">
        <v>44876</v>
      </c>
      <c r="L1038">
        <v>2022</v>
      </c>
      <c r="M1038" t="str">
        <f>UPPER(TEXT(_2020_2022[[#This Row],[Data da Venda]],"mmm"))</f>
        <v>NOV</v>
      </c>
    </row>
    <row r="1039" spans="1:13" x14ac:dyDescent="0.25">
      <c r="A1039" t="s">
        <v>21</v>
      </c>
      <c r="B1039">
        <v>2400</v>
      </c>
      <c r="C1039">
        <v>4</v>
      </c>
      <c r="D1039" t="s">
        <v>41</v>
      </c>
      <c r="E1039" t="s">
        <v>681</v>
      </c>
      <c r="F1039" t="s">
        <v>1057</v>
      </c>
      <c r="G1039" t="s">
        <v>650</v>
      </c>
      <c r="H1039">
        <v>61</v>
      </c>
      <c r="I1039" t="s">
        <v>647</v>
      </c>
      <c r="J1039">
        <v>9600</v>
      </c>
      <c r="K1039" s="1">
        <v>44776</v>
      </c>
      <c r="L1039">
        <v>2022</v>
      </c>
      <c r="M1039" t="str">
        <f>UPPER(TEXT(_2020_2022[[#This Row],[Data da Venda]],"mmm"))</f>
        <v>AGO</v>
      </c>
    </row>
    <row r="1040" spans="1:13" x14ac:dyDescent="0.25">
      <c r="A1040" t="s">
        <v>22</v>
      </c>
      <c r="B1040">
        <v>5200</v>
      </c>
      <c r="C1040">
        <v>3</v>
      </c>
      <c r="D1040" t="s">
        <v>37</v>
      </c>
      <c r="E1040" t="s">
        <v>645</v>
      </c>
      <c r="F1040" t="s">
        <v>1086</v>
      </c>
      <c r="G1040" t="s">
        <v>643</v>
      </c>
      <c r="H1040">
        <v>70</v>
      </c>
      <c r="I1040" t="s">
        <v>647</v>
      </c>
      <c r="J1040">
        <v>15600</v>
      </c>
      <c r="K1040" s="1">
        <v>44903</v>
      </c>
      <c r="L1040">
        <v>2022</v>
      </c>
      <c r="M1040" t="str">
        <f>UPPER(TEXT(_2020_2022[[#This Row],[Data da Venda]],"mmm"))</f>
        <v>DEZ</v>
      </c>
    </row>
    <row r="1041" spans="1:13" x14ac:dyDescent="0.25">
      <c r="A1041" t="s">
        <v>1443</v>
      </c>
      <c r="B1041">
        <v>1550</v>
      </c>
      <c r="C1041">
        <v>3</v>
      </c>
      <c r="D1041" t="s">
        <v>30</v>
      </c>
      <c r="E1041" t="s">
        <v>645</v>
      </c>
      <c r="F1041" t="s">
        <v>915</v>
      </c>
      <c r="G1041" t="s">
        <v>643</v>
      </c>
      <c r="H1041">
        <v>54</v>
      </c>
      <c r="I1041" t="s">
        <v>647</v>
      </c>
      <c r="J1041">
        <v>4650</v>
      </c>
      <c r="K1041" s="1">
        <v>44655</v>
      </c>
      <c r="L1041">
        <v>2022</v>
      </c>
      <c r="M1041" t="str">
        <f>UPPER(TEXT(_2020_2022[[#This Row],[Data da Venda]],"mmm"))</f>
        <v>ABR</v>
      </c>
    </row>
    <row r="1042" spans="1:13" x14ac:dyDescent="0.25">
      <c r="A1042" t="s">
        <v>15</v>
      </c>
      <c r="B1042">
        <v>1900</v>
      </c>
      <c r="C1042">
        <v>2</v>
      </c>
      <c r="D1042" t="s">
        <v>36</v>
      </c>
      <c r="E1042" t="s">
        <v>677</v>
      </c>
      <c r="F1042" t="s">
        <v>821</v>
      </c>
      <c r="G1042" t="s">
        <v>643</v>
      </c>
      <c r="H1042">
        <v>56</v>
      </c>
      <c r="I1042" t="s">
        <v>647</v>
      </c>
      <c r="J1042">
        <v>3800</v>
      </c>
      <c r="K1042" s="1">
        <v>44832</v>
      </c>
      <c r="L1042">
        <v>2022</v>
      </c>
      <c r="M1042" t="str">
        <f>UPPER(TEXT(_2020_2022[[#This Row],[Data da Venda]],"mmm"))</f>
        <v>SET</v>
      </c>
    </row>
    <row r="1043" spans="1:13" x14ac:dyDescent="0.25">
      <c r="A1043" t="s">
        <v>11</v>
      </c>
      <c r="B1043">
        <v>4500</v>
      </c>
      <c r="C1043">
        <v>3</v>
      </c>
      <c r="D1043" t="s">
        <v>35</v>
      </c>
      <c r="E1043" t="s">
        <v>666</v>
      </c>
      <c r="F1043" t="s">
        <v>1046</v>
      </c>
      <c r="G1043" t="s">
        <v>643</v>
      </c>
      <c r="H1043">
        <v>41</v>
      </c>
      <c r="I1043" t="s">
        <v>644</v>
      </c>
      <c r="J1043">
        <v>13500</v>
      </c>
      <c r="K1043" s="1">
        <v>44582</v>
      </c>
      <c r="L1043">
        <v>2022</v>
      </c>
      <c r="M1043" t="str">
        <f>UPPER(TEXT(_2020_2022[[#This Row],[Data da Venda]],"mmm"))</f>
        <v>JAN</v>
      </c>
    </row>
    <row r="1044" spans="1:13" x14ac:dyDescent="0.25">
      <c r="A1044" t="s">
        <v>1441</v>
      </c>
      <c r="B1044">
        <v>1450</v>
      </c>
      <c r="C1044">
        <v>4</v>
      </c>
      <c r="D1044" t="s">
        <v>30</v>
      </c>
      <c r="E1044" t="s">
        <v>645</v>
      </c>
      <c r="F1044" t="s">
        <v>955</v>
      </c>
      <c r="G1044" t="s">
        <v>643</v>
      </c>
      <c r="H1044">
        <v>75</v>
      </c>
      <c r="I1044" t="s">
        <v>647</v>
      </c>
      <c r="J1044">
        <v>5800</v>
      </c>
      <c r="K1044" s="1">
        <v>44663</v>
      </c>
      <c r="L1044">
        <v>2022</v>
      </c>
      <c r="M1044" t="str">
        <f>UPPER(TEXT(_2020_2022[[#This Row],[Data da Venda]],"mmm"))</f>
        <v>ABR</v>
      </c>
    </row>
    <row r="1045" spans="1:13" x14ac:dyDescent="0.25">
      <c r="A1045" t="s">
        <v>24</v>
      </c>
      <c r="B1045">
        <v>2000</v>
      </c>
      <c r="C1045">
        <v>2</v>
      </c>
      <c r="D1045" t="s">
        <v>34</v>
      </c>
      <c r="E1045" t="s">
        <v>679</v>
      </c>
      <c r="F1045" t="s">
        <v>1055</v>
      </c>
      <c r="G1045" t="s">
        <v>650</v>
      </c>
      <c r="H1045">
        <v>67</v>
      </c>
      <c r="I1045" t="s">
        <v>647</v>
      </c>
      <c r="J1045">
        <v>4000</v>
      </c>
      <c r="K1045" s="1">
        <v>44873</v>
      </c>
      <c r="L1045">
        <v>2022</v>
      </c>
      <c r="M1045" t="str">
        <f>UPPER(TEXT(_2020_2022[[#This Row],[Data da Venda]],"mmm"))</f>
        <v>NOV</v>
      </c>
    </row>
    <row r="1046" spans="1:13" x14ac:dyDescent="0.25">
      <c r="A1046" t="s">
        <v>25</v>
      </c>
      <c r="B1046">
        <v>2500</v>
      </c>
      <c r="C1046">
        <v>3</v>
      </c>
      <c r="D1046" t="s">
        <v>29</v>
      </c>
      <c r="E1046" t="s">
        <v>641</v>
      </c>
      <c r="F1046" t="s">
        <v>1228</v>
      </c>
      <c r="G1046" t="s">
        <v>643</v>
      </c>
      <c r="H1046">
        <v>31</v>
      </c>
      <c r="I1046" t="s">
        <v>644</v>
      </c>
      <c r="J1046">
        <v>7500</v>
      </c>
      <c r="K1046" s="1">
        <v>44846</v>
      </c>
      <c r="L1046">
        <v>2022</v>
      </c>
      <c r="M1046" t="str">
        <f>UPPER(TEXT(_2020_2022[[#This Row],[Data da Venda]],"mmm"))</f>
        <v>OUT</v>
      </c>
    </row>
    <row r="1047" spans="1:13" x14ac:dyDescent="0.25">
      <c r="A1047" t="s">
        <v>1444</v>
      </c>
      <c r="B1047">
        <v>1500</v>
      </c>
      <c r="C1047">
        <v>1</v>
      </c>
      <c r="D1047" t="s">
        <v>30</v>
      </c>
      <c r="E1047" t="s">
        <v>645</v>
      </c>
      <c r="F1047" t="s">
        <v>850</v>
      </c>
      <c r="G1047" t="s">
        <v>650</v>
      </c>
      <c r="H1047">
        <v>33</v>
      </c>
      <c r="I1047" t="s">
        <v>644</v>
      </c>
      <c r="J1047">
        <v>1500</v>
      </c>
      <c r="K1047" s="1">
        <v>44746</v>
      </c>
      <c r="L1047">
        <v>2022</v>
      </c>
      <c r="M1047" t="str">
        <f>UPPER(TEXT(_2020_2022[[#This Row],[Data da Venda]],"mmm"))</f>
        <v>JUL</v>
      </c>
    </row>
    <row r="1048" spans="1:13" x14ac:dyDescent="0.25">
      <c r="A1048" t="s">
        <v>1440</v>
      </c>
      <c r="B1048">
        <v>700</v>
      </c>
      <c r="C1048">
        <v>3</v>
      </c>
      <c r="D1048" t="s">
        <v>40</v>
      </c>
      <c r="E1048" t="s">
        <v>657</v>
      </c>
      <c r="F1048" t="s">
        <v>771</v>
      </c>
      <c r="G1048" t="s">
        <v>643</v>
      </c>
      <c r="H1048">
        <v>33</v>
      </c>
      <c r="I1048" t="s">
        <v>644</v>
      </c>
      <c r="J1048">
        <v>2100</v>
      </c>
      <c r="K1048" s="1">
        <v>44684</v>
      </c>
      <c r="L1048">
        <v>2022</v>
      </c>
      <c r="M1048" t="str">
        <f>UPPER(TEXT(_2020_2022[[#This Row],[Data da Venda]],"mmm"))</f>
        <v>MAI</v>
      </c>
    </row>
    <row r="1049" spans="1:13" x14ac:dyDescent="0.25">
      <c r="A1049" t="s">
        <v>1443</v>
      </c>
      <c r="B1049">
        <v>1550</v>
      </c>
      <c r="C1049">
        <v>5</v>
      </c>
      <c r="D1049" t="s">
        <v>38</v>
      </c>
      <c r="E1049" t="s">
        <v>648</v>
      </c>
      <c r="F1049" t="s">
        <v>847</v>
      </c>
      <c r="G1049" t="s">
        <v>643</v>
      </c>
      <c r="H1049">
        <v>37</v>
      </c>
      <c r="I1049" t="s">
        <v>644</v>
      </c>
      <c r="J1049">
        <v>7750</v>
      </c>
      <c r="K1049" s="1">
        <v>44733</v>
      </c>
      <c r="L1049">
        <v>2022</v>
      </c>
      <c r="M1049" t="str">
        <f>UPPER(TEXT(_2020_2022[[#This Row],[Data da Venda]],"mmm"))</f>
        <v>JUN</v>
      </c>
    </row>
    <row r="1050" spans="1:13" x14ac:dyDescent="0.25">
      <c r="A1050" t="s">
        <v>1440</v>
      </c>
      <c r="B1050">
        <v>700</v>
      </c>
      <c r="C1050">
        <v>5</v>
      </c>
      <c r="D1050" t="s">
        <v>34</v>
      </c>
      <c r="E1050" t="s">
        <v>679</v>
      </c>
      <c r="F1050" t="s">
        <v>774</v>
      </c>
      <c r="G1050" t="s">
        <v>643</v>
      </c>
      <c r="H1050">
        <v>45</v>
      </c>
      <c r="I1050" t="s">
        <v>644</v>
      </c>
      <c r="J1050">
        <v>3500</v>
      </c>
      <c r="K1050" s="1">
        <v>44659</v>
      </c>
      <c r="L1050">
        <v>2022</v>
      </c>
      <c r="M1050" t="str">
        <f>UPPER(TEXT(_2020_2022[[#This Row],[Data da Venda]],"mmm"))</f>
        <v>ABR</v>
      </c>
    </row>
    <row r="1051" spans="1:13" x14ac:dyDescent="0.25">
      <c r="A1051" t="s">
        <v>18</v>
      </c>
      <c r="B1051">
        <v>3000</v>
      </c>
      <c r="C1051">
        <v>2</v>
      </c>
      <c r="D1051" t="s">
        <v>39</v>
      </c>
      <c r="E1051" t="s">
        <v>641</v>
      </c>
      <c r="F1051" t="s">
        <v>760</v>
      </c>
      <c r="G1051" t="s">
        <v>643</v>
      </c>
      <c r="H1051">
        <v>28</v>
      </c>
      <c r="I1051" t="s">
        <v>651</v>
      </c>
      <c r="J1051">
        <v>6000</v>
      </c>
      <c r="K1051" s="1">
        <v>44753</v>
      </c>
      <c r="L1051">
        <v>2022</v>
      </c>
      <c r="M1051" t="str">
        <f>UPPER(TEXT(_2020_2022[[#This Row],[Data da Venda]],"mmm"))</f>
        <v>JUL</v>
      </c>
    </row>
    <row r="1052" spans="1:13" x14ac:dyDescent="0.25">
      <c r="A1052" t="s">
        <v>26</v>
      </c>
      <c r="B1052">
        <v>1100</v>
      </c>
      <c r="C1052">
        <v>4</v>
      </c>
      <c r="D1052" t="s">
        <v>41</v>
      </c>
      <c r="E1052" t="s">
        <v>681</v>
      </c>
      <c r="F1052" t="s">
        <v>1229</v>
      </c>
      <c r="G1052" t="s">
        <v>643</v>
      </c>
      <c r="H1052">
        <v>59</v>
      </c>
      <c r="I1052" t="s">
        <v>647</v>
      </c>
      <c r="J1052">
        <v>4400</v>
      </c>
      <c r="K1052" s="1">
        <v>44909</v>
      </c>
      <c r="L1052">
        <v>2022</v>
      </c>
      <c r="M1052" t="str">
        <f>UPPER(TEXT(_2020_2022[[#This Row],[Data da Venda]],"mmm"))</f>
        <v>DEZ</v>
      </c>
    </row>
    <row r="1053" spans="1:13" x14ac:dyDescent="0.25">
      <c r="A1053" t="s">
        <v>28</v>
      </c>
      <c r="B1053">
        <v>1400</v>
      </c>
      <c r="C1053">
        <v>3</v>
      </c>
      <c r="D1053" t="s">
        <v>30</v>
      </c>
      <c r="E1053" t="s">
        <v>645</v>
      </c>
      <c r="F1053" t="s">
        <v>1133</v>
      </c>
      <c r="G1053" t="s">
        <v>643</v>
      </c>
      <c r="H1053">
        <v>50</v>
      </c>
      <c r="I1053" t="s">
        <v>644</v>
      </c>
      <c r="J1053">
        <v>4200</v>
      </c>
      <c r="K1053" s="1">
        <v>44691</v>
      </c>
      <c r="L1053">
        <v>2022</v>
      </c>
      <c r="M1053" t="str">
        <f>UPPER(TEXT(_2020_2022[[#This Row],[Data da Venda]],"mmm"))</f>
        <v>MAI</v>
      </c>
    </row>
    <row r="1054" spans="1:13" x14ac:dyDescent="0.25">
      <c r="A1054" t="s">
        <v>28</v>
      </c>
      <c r="B1054">
        <v>1400</v>
      </c>
      <c r="C1054">
        <v>3</v>
      </c>
      <c r="D1054" t="s">
        <v>30</v>
      </c>
      <c r="E1054" t="s">
        <v>645</v>
      </c>
      <c r="F1054" t="s">
        <v>1146</v>
      </c>
      <c r="G1054" t="s">
        <v>650</v>
      </c>
      <c r="H1054">
        <v>47</v>
      </c>
      <c r="I1054" t="s">
        <v>644</v>
      </c>
      <c r="J1054">
        <v>4200</v>
      </c>
      <c r="K1054" s="1">
        <v>44917</v>
      </c>
      <c r="L1054">
        <v>2022</v>
      </c>
      <c r="M1054" t="str">
        <f>UPPER(TEXT(_2020_2022[[#This Row],[Data da Venda]],"mmm"))</f>
        <v>DEZ</v>
      </c>
    </row>
    <row r="1055" spans="1:13" x14ac:dyDescent="0.25">
      <c r="A1055" t="s">
        <v>1442</v>
      </c>
      <c r="B1055">
        <v>1200</v>
      </c>
      <c r="C1055">
        <v>2</v>
      </c>
      <c r="D1055" t="s">
        <v>40</v>
      </c>
      <c r="E1055" t="s">
        <v>657</v>
      </c>
      <c r="F1055" t="s">
        <v>1230</v>
      </c>
      <c r="G1055" t="s">
        <v>643</v>
      </c>
      <c r="H1055">
        <v>37</v>
      </c>
      <c r="I1055" t="s">
        <v>644</v>
      </c>
      <c r="J1055">
        <v>2400</v>
      </c>
      <c r="K1055" s="1">
        <v>44839</v>
      </c>
      <c r="L1055">
        <v>2022</v>
      </c>
      <c r="M1055" t="str">
        <f>UPPER(TEXT(_2020_2022[[#This Row],[Data da Venda]],"mmm"))</f>
        <v>OUT</v>
      </c>
    </row>
    <row r="1056" spans="1:13" x14ac:dyDescent="0.25">
      <c r="A1056" t="s">
        <v>14</v>
      </c>
      <c r="B1056">
        <v>2000</v>
      </c>
      <c r="C1056">
        <v>3</v>
      </c>
      <c r="D1056" t="s">
        <v>38</v>
      </c>
      <c r="E1056" t="s">
        <v>648</v>
      </c>
      <c r="F1056" t="s">
        <v>1142</v>
      </c>
      <c r="G1056" t="s">
        <v>643</v>
      </c>
      <c r="H1056">
        <v>55</v>
      </c>
      <c r="I1056" t="s">
        <v>647</v>
      </c>
      <c r="J1056">
        <v>6000</v>
      </c>
      <c r="K1056" s="1">
        <v>44921</v>
      </c>
      <c r="L1056">
        <v>2022</v>
      </c>
      <c r="M1056" t="str">
        <f>UPPER(TEXT(_2020_2022[[#This Row],[Data da Venda]],"mmm"))</f>
        <v>DEZ</v>
      </c>
    </row>
    <row r="1057" spans="1:13" x14ac:dyDescent="0.25">
      <c r="A1057" t="s">
        <v>1444</v>
      </c>
      <c r="B1057">
        <v>1500</v>
      </c>
      <c r="C1057">
        <v>1</v>
      </c>
      <c r="D1057" t="s">
        <v>40</v>
      </c>
      <c r="E1057" t="s">
        <v>657</v>
      </c>
      <c r="F1057" t="s">
        <v>910</v>
      </c>
      <c r="G1057" t="s">
        <v>650</v>
      </c>
      <c r="H1057">
        <v>76</v>
      </c>
      <c r="I1057" t="s">
        <v>647</v>
      </c>
      <c r="J1057">
        <v>1500</v>
      </c>
      <c r="K1057" s="1">
        <v>44697</v>
      </c>
      <c r="L1057">
        <v>2022</v>
      </c>
      <c r="M1057" t="str">
        <f>UPPER(TEXT(_2020_2022[[#This Row],[Data da Venda]],"mmm"))</f>
        <v>MAI</v>
      </c>
    </row>
    <row r="1058" spans="1:13" x14ac:dyDescent="0.25">
      <c r="A1058" t="s">
        <v>13</v>
      </c>
      <c r="B1058">
        <v>2300</v>
      </c>
      <c r="C1058">
        <v>2</v>
      </c>
      <c r="D1058" t="s">
        <v>36</v>
      </c>
      <c r="E1058" t="s">
        <v>677</v>
      </c>
      <c r="F1058" t="s">
        <v>821</v>
      </c>
      <c r="G1058" t="s">
        <v>643</v>
      </c>
      <c r="H1058">
        <v>56</v>
      </c>
      <c r="I1058" t="s">
        <v>647</v>
      </c>
      <c r="J1058">
        <v>4600</v>
      </c>
      <c r="K1058" s="1">
        <v>44781</v>
      </c>
      <c r="L1058">
        <v>2022</v>
      </c>
      <c r="M1058" t="str">
        <f>UPPER(TEXT(_2020_2022[[#This Row],[Data da Venda]],"mmm"))</f>
        <v>AGO</v>
      </c>
    </row>
    <row r="1059" spans="1:13" x14ac:dyDescent="0.25">
      <c r="A1059" t="s">
        <v>26</v>
      </c>
      <c r="B1059">
        <v>1100</v>
      </c>
      <c r="C1059">
        <v>2</v>
      </c>
      <c r="D1059" t="s">
        <v>37</v>
      </c>
      <c r="E1059" t="s">
        <v>645</v>
      </c>
      <c r="F1059" t="s">
        <v>1214</v>
      </c>
      <c r="G1059" t="s">
        <v>643</v>
      </c>
      <c r="H1059">
        <v>64</v>
      </c>
      <c r="I1059" t="s">
        <v>647</v>
      </c>
      <c r="J1059">
        <v>2200</v>
      </c>
      <c r="K1059" s="1">
        <v>44743</v>
      </c>
      <c r="L1059">
        <v>2022</v>
      </c>
      <c r="M1059" t="str">
        <f>UPPER(TEXT(_2020_2022[[#This Row],[Data da Venda]],"mmm"))</f>
        <v>JUL</v>
      </c>
    </row>
    <row r="1060" spans="1:13" x14ac:dyDescent="0.25">
      <c r="A1060" t="s">
        <v>18</v>
      </c>
      <c r="B1060">
        <v>3000</v>
      </c>
      <c r="C1060">
        <v>1</v>
      </c>
      <c r="D1060" t="s">
        <v>30</v>
      </c>
      <c r="E1060" t="s">
        <v>645</v>
      </c>
      <c r="F1060" t="s">
        <v>1185</v>
      </c>
      <c r="G1060" t="s">
        <v>650</v>
      </c>
      <c r="H1060">
        <v>42</v>
      </c>
      <c r="I1060" t="s">
        <v>644</v>
      </c>
      <c r="J1060">
        <v>3000</v>
      </c>
      <c r="K1060" s="1">
        <v>44702</v>
      </c>
      <c r="L1060">
        <v>2022</v>
      </c>
      <c r="M1060" t="str">
        <f>UPPER(TEXT(_2020_2022[[#This Row],[Data da Venda]],"mmm"))</f>
        <v>MAI</v>
      </c>
    </row>
    <row r="1061" spans="1:13" x14ac:dyDescent="0.25">
      <c r="A1061" t="s">
        <v>24</v>
      </c>
      <c r="B1061">
        <v>2000</v>
      </c>
      <c r="C1061">
        <v>1</v>
      </c>
      <c r="D1061" t="s">
        <v>40</v>
      </c>
      <c r="E1061" t="s">
        <v>657</v>
      </c>
      <c r="F1061" t="s">
        <v>876</v>
      </c>
      <c r="G1061" t="s">
        <v>650</v>
      </c>
      <c r="H1061">
        <v>28</v>
      </c>
      <c r="I1061" t="s">
        <v>651</v>
      </c>
      <c r="J1061">
        <v>2000</v>
      </c>
      <c r="K1061" s="1">
        <v>44670</v>
      </c>
      <c r="L1061">
        <v>2022</v>
      </c>
      <c r="M1061" t="str">
        <f>UPPER(TEXT(_2020_2022[[#This Row],[Data da Venda]],"mmm"))</f>
        <v>ABR</v>
      </c>
    </row>
    <row r="1062" spans="1:13" x14ac:dyDescent="0.25">
      <c r="A1062" t="s">
        <v>5</v>
      </c>
      <c r="B1062">
        <v>1750</v>
      </c>
      <c r="C1062">
        <v>2</v>
      </c>
      <c r="D1062" t="s">
        <v>31</v>
      </c>
      <c r="E1062" t="s">
        <v>645</v>
      </c>
      <c r="F1062" t="s">
        <v>967</v>
      </c>
      <c r="G1062" t="s">
        <v>643</v>
      </c>
      <c r="H1062">
        <v>38</v>
      </c>
      <c r="I1062" t="s">
        <v>644</v>
      </c>
      <c r="J1062">
        <v>3500</v>
      </c>
      <c r="K1062" s="1">
        <v>44815</v>
      </c>
      <c r="L1062">
        <v>2022</v>
      </c>
      <c r="M1062" t="str">
        <f>UPPER(TEXT(_2020_2022[[#This Row],[Data da Venda]],"mmm"))</f>
        <v>SET</v>
      </c>
    </row>
    <row r="1063" spans="1:13" x14ac:dyDescent="0.25">
      <c r="A1063" t="s">
        <v>12</v>
      </c>
      <c r="B1063">
        <v>6500</v>
      </c>
      <c r="C1063">
        <v>3</v>
      </c>
      <c r="D1063" t="s">
        <v>39</v>
      </c>
      <c r="E1063" t="s">
        <v>641</v>
      </c>
      <c r="F1063" t="s">
        <v>1231</v>
      </c>
      <c r="G1063" t="s">
        <v>643</v>
      </c>
      <c r="H1063">
        <v>41</v>
      </c>
      <c r="I1063" t="s">
        <v>644</v>
      </c>
      <c r="J1063">
        <v>19500</v>
      </c>
      <c r="K1063" s="1">
        <v>44564</v>
      </c>
      <c r="L1063">
        <v>2022</v>
      </c>
      <c r="M1063" t="str">
        <f>UPPER(TEXT(_2020_2022[[#This Row],[Data da Venda]],"mmm"))</f>
        <v>JAN</v>
      </c>
    </row>
    <row r="1064" spans="1:13" x14ac:dyDescent="0.25">
      <c r="A1064" t="s">
        <v>9</v>
      </c>
      <c r="B1064">
        <v>1500</v>
      </c>
      <c r="C1064">
        <v>3</v>
      </c>
      <c r="D1064" t="s">
        <v>41</v>
      </c>
      <c r="E1064" t="s">
        <v>681</v>
      </c>
      <c r="F1064" t="s">
        <v>948</v>
      </c>
      <c r="G1064" t="s">
        <v>643</v>
      </c>
      <c r="H1064">
        <v>28</v>
      </c>
      <c r="I1064" t="s">
        <v>651</v>
      </c>
      <c r="J1064">
        <v>4500</v>
      </c>
      <c r="K1064" s="1">
        <v>44819</v>
      </c>
      <c r="L1064">
        <v>2022</v>
      </c>
      <c r="M1064" t="str">
        <f>UPPER(TEXT(_2020_2022[[#This Row],[Data da Venda]],"mmm"))</f>
        <v>SET</v>
      </c>
    </row>
    <row r="1065" spans="1:13" x14ac:dyDescent="0.25">
      <c r="A1065" t="s">
        <v>1445</v>
      </c>
      <c r="B1065">
        <v>1500</v>
      </c>
      <c r="C1065">
        <v>2</v>
      </c>
      <c r="D1065" t="s">
        <v>29</v>
      </c>
      <c r="E1065" t="s">
        <v>641</v>
      </c>
      <c r="F1065" t="s">
        <v>1155</v>
      </c>
      <c r="G1065" t="s">
        <v>650</v>
      </c>
      <c r="H1065">
        <v>29</v>
      </c>
      <c r="I1065" t="s">
        <v>651</v>
      </c>
      <c r="J1065">
        <v>3000</v>
      </c>
      <c r="K1065" s="1">
        <v>44885</v>
      </c>
      <c r="L1065">
        <v>2022</v>
      </c>
      <c r="M1065" t="str">
        <f>UPPER(TEXT(_2020_2022[[#This Row],[Data da Venda]],"mmm"))</f>
        <v>NOV</v>
      </c>
    </row>
    <row r="1066" spans="1:13" x14ac:dyDescent="0.25">
      <c r="A1066" t="s">
        <v>22</v>
      </c>
      <c r="B1066">
        <v>5200</v>
      </c>
      <c r="C1066">
        <v>1</v>
      </c>
      <c r="D1066" t="s">
        <v>39</v>
      </c>
      <c r="E1066" t="s">
        <v>641</v>
      </c>
      <c r="F1066" t="s">
        <v>809</v>
      </c>
      <c r="G1066" t="s">
        <v>643</v>
      </c>
      <c r="H1066">
        <v>47</v>
      </c>
      <c r="I1066" t="s">
        <v>644</v>
      </c>
      <c r="J1066">
        <v>5200</v>
      </c>
      <c r="K1066" s="1">
        <v>44630</v>
      </c>
      <c r="L1066">
        <v>2022</v>
      </c>
      <c r="M1066" t="str">
        <f>UPPER(TEXT(_2020_2022[[#This Row],[Data da Venda]],"mmm"))</f>
        <v>MAR</v>
      </c>
    </row>
    <row r="1067" spans="1:13" x14ac:dyDescent="0.25">
      <c r="A1067" t="s">
        <v>1444</v>
      </c>
      <c r="B1067">
        <v>1500</v>
      </c>
      <c r="C1067">
        <v>5</v>
      </c>
      <c r="D1067" t="s">
        <v>29</v>
      </c>
      <c r="E1067" t="s">
        <v>641</v>
      </c>
      <c r="F1067" t="s">
        <v>1232</v>
      </c>
      <c r="G1067" t="s">
        <v>643</v>
      </c>
      <c r="H1067">
        <v>64</v>
      </c>
      <c r="I1067" t="s">
        <v>647</v>
      </c>
      <c r="J1067">
        <v>7500</v>
      </c>
      <c r="K1067" s="1">
        <v>44750</v>
      </c>
      <c r="L1067">
        <v>2022</v>
      </c>
      <c r="M1067" t="str">
        <f>UPPER(TEXT(_2020_2022[[#This Row],[Data da Venda]],"mmm"))</f>
        <v>JUL</v>
      </c>
    </row>
    <row r="1068" spans="1:13" x14ac:dyDescent="0.25">
      <c r="A1068" t="s">
        <v>22</v>
      </c>
      <c r="B1068">
        <v>5200</v>
      </c>
      <c r="C1068">
        <v>3</v>
      </c>
      <c r="D1068" t="s">
        <v>33</v>
      </c>
      <c r="E1068" t="s">
        <v>641</v>
      </c>
      <c r="F1068" t="s">
        <v>723</v>
      </c>
      <c r="G1068" t="s">
        <v>643</v>
      </c>
      <c r="H1068">
        <v>41</v>
      </c>
      <c r="I1068" t="s">
        <v>644</v>
      </c>
      <c r="J1068">
        <v>15600</v>
      </c>
      <c r="K1068" s="1">
        <v>44691</v>
      </c>
      <c r="L1068">
        <v>2022</v>
      </c>
      <c r="M1068" t="str">
        <f>UPPER(TEXT(_2020_2022[[#This Row],[Data da Venda]],"mmm"))</f>
        <v>MAI</v>
      </c>
    </row>
    <row r="1069" spans="1:13" x14ac:dyDescent="0.25">
      <c r="A1069" t="s">
        <v>1444</v>
      </c>
      <c r="B1069">
        <v>1500</v>
      </c>
      <c r="C1069">
        <v>3</v>
      </c>
      <c r="D1069" t="s">
        <v>34</v>
      </c>
      <c r="E1069" t="s">
        <v>679</v>
      </c>
      <c r="F1069" t="s">
        <v>774</v>
      </c>
      <c r="G1069" t="s">
        <v>643</v>
      </c>
      <c r="H1069">
        <v>45</v>
      </c>
      <c r="I1069" t="s">
        <v>644</v>
      </c>
      <c r="J1069">
        <v>4500</v>
      </c>
      <c r="K1069" s="1">
        <v>44728</v>
      </c>
      <c r="L1069">
        <v>2022</v>
      </c>
      <c r="M1069" t="str">
        <f>UPPER(TEXT(_2020_2022[[#This Row],[Data da Venda]],"mmm"))</f>
        <v>JUN</v>
      </c>
    </row>
    <row r="1070" spans="1:13" x14ac:dyDescent="0.25">
      <c r="A1070" t="s">
        <v>21</v>
      </c>
      <c r="B1070">
        <v>2400</v>
      </c>
      <c r="C1070">
        <v>4</v>
      </c>
      <c r="D1070" t="s">
        <v>41</v>
      </c>
      <c r="E1070" t="s">
        <v>681</v>
      </c>
      <c r="F1070" t="s">
        <v>743</v>
      </c>
      <c r="G1070" t="s">
        <v>643</v>
      </c>
      <c r="H1070">
        <v>41</v>
      </c>
      <c r="I1070" t="s">
        <v>644</v>
      </c>
      <c r="J1070">
        <v>9600</v>
      </c>
      <c r="K1070" s="1">
        <v>44851</v>
      </c>
      <c r="L1070">
        <v>2022</v>
      </c>
      <c r="M1070" t="str">
        <f>UPPER(TEXT(_2020_2022[[#This Row],[Data da Venda]],"mmm"))</f>
        <v>OUT</v>
      </c>
    </row>
    <row r="1071" spans="1:13" x14ac:dyDescent="0.25">
      <c r="A1071" t="s">
        <v>24</v>
      </c>
      <c r="B1071">
        <v>2000</v>
      </c>
      <c r="C1071">
        <v>1</v>
      </c>
      <c r="D1071" t="s">
        <v>33</v>
      </c>
      <c r="E1071" t="s">
        <v>641</v>
      </c>
      <c r="F1071" t="s">
        <v>1079</v>
      </c>
      <c r="G1071" t="s">
        <v>643</v>
      </c>
      <c r="H1071">
        <v>42</v>
      </c>
      <c r="I1071" t="s">
        <v>644</v>
      </c>
      <c r="J1071">
        <v>2000</v>
      </c>
      <c r="K1071" s="1">
        <v>44650</v>
      </c>
      <c r="L1071">
        <v>2022</v>
      </c>
      <c r="M1071" t="str">
        <f>UPPER(TEXT(_2020_2022[[#This Row],[Data da Venda]],"mmm"))</f>
        <v>MAR</v>
      </c>
    </row>
    <row r="1072" spans="1:13" x14ac:dyDescent="0.25">
      <c r="A1072" t="s">
        <v>1444</v>
      </c>
      <c r="B1072">
        <v>1500</v>
      </c>
      <c r="C1072">
        <v>3</v>
      </c>
      <c r="D1072" t="s">
        <v>39</v>
      </c>
      <c r="E1072" t="s">
        <v>641</v>
      </c>
      <c r="F1072" t="s">
        <v>1233</v>
      </c>
      <c r="G1072" t="s">
        <v>643</v>
      </c>
      <c r="H1072">
        <v>68</v>
      </c>
      <c r="I1072" t="s">
        <v>647</v>
      </c>
      <c r="J1072">
        <v>4500</v>
      </c>
      <c r="K1072" s="1">
        <v>44866</v>
      </c>
      <c r="L1072">
        <v>2022</v>
      </c>
      <c r="M1072" t="str">
        <f>UPPER(TEXT(_2020_2022[[#This Row],[Data da Venda]],"mmm"))</f>
        <v>NOV</v>
      </c>
    </row>
    <row r="1073" spans="1:13" x14ac:dyDescent="0.25">
      <c r="A1073" t="s">
        <v>1440</v>
      </c>
      <c r="B1073">
        <v>700</v>
      </c>
      <c r="C1073">
        <v>1</v>
      </c>
      <c r="D1073" t="s">
        <v>31</v>
      </c>
      <c r="E1073" t="s">
        <v>645</v>
      </c>
      <c r="F1073" t="s">
        <v>885</v>
      </c>
      <c r="G1073" t="s">
        <v>643</v>
      </c>
      <c r="H1073">
        <v>46</v>
      </c>
      <c r="I1073" t="s">
        <v>644</v>
      </c>
      <c r="J1073">
        <v>700</v>
      </c>
      <c r="K1073" s="1">
        <v>44594</v>
      </c>
      <c r="L1073">
        <v>2022</v>
      </c>
      <c r="M1073" t="str">
        <f>UPPER(TEXT(_2020_2022[[#This Row],[Data da Venda]],"mmm"))</f>
        <v>FEV</v>
      </c>
    </row>
    <row r="1074" spans="1:13" x14ac:dyDescent="0.25">
      <c r="A1074" t="s">
        <v>21</v>
      </c>
      <c r="B1074">
        <v>2400</v>
      </c>
      <c r="C1074">
        <v>1</v>
      </c>
      <c r="D1074" t="s">
        <v>34</v>
      </c>
      <c r="E1074" t="s">
        <v>679</v>
      </c>
      <c r="F1074" t="s">
        <v>687</v>
      </c>
      <c r="G1074" t="s">
        <v>643</v>
      </c>
      <c r="H1074">
        <v>36</v>
      </c>
      <c r="I1074" t="s">
        <v>644</v>
      </c>
      <c r="J1074">
        <v>2400</v>
      </c>
      <c r="K1074" s="1">
        <v>44657</v>
      </c>
      <c r="L1074">
        <v>2022</v>
      </c>
      <c r="M1074" t="str">
        <f>UPPER(TEXT(_2020_2022[[#This Row],[Data da Venda]],"mmm"))</f>
        <v>ABR</v>
      </c>
    </row>
    <row r="1075" spans="1:13" x14ac:dyDescent="0.25">
      <c r="A1075" t="s">
        <v>14</v>
      </c>
      <c r="B1075">
        <v>2000</v>
      </c>
      <c r="C1075">
        <v>3</v>
      </c>
      <c r="D1075" t="s">
        <v>35</v>
      </c>
      <c r="E1075" t="s">
        <v>666</v>
      </c>
      <c r="F1075" t="s">
        <v>836</v>
      </c>
      <c r="G1075" t="s">
        <v>650</v>
      </c>
      <c r="H1075">
        <v>58</v>
      </c>
      <c r="I1075" t="s">
        <v>647</v>
      </c>
      <c r="J1075">
        <v>6000</v>
      </c>
      <c r="K1075" s="1">
        <v>44654</v>
      </c>
      <c r="L1075">
        <v>2022</v>
      </c>
      <c r="M1075" t="str">
        <f>UPPER(TEXT(_2020_2022[[#This Row],[Data da Venda]],"mmm"))</f>
        <v>ABR</v>
      </c>
    </row>
    <row r="1076" spans="1:13" x14ac:dyDescent="0.25">
      <c r="A1076" t="s">
        <v>25</v>
      </c>
      <c r="B1076">
        <v>2500</v>
      </c>
      <c r="C1076">
        <v>1</v>
      </c>
      <c r="D1076" t="s">
        <v>38</v>
      </c>
      <c r="E1076" t="s">
        <v>648</v>
      </c>
      <c r="F1076" t="s">
        <v>837</v>
      </c>
      <c r="G1076" t="s">
        <v>650</v>
      </c>
      <c r="H1076">
        <v>63</v>
      </c>
      <c r="I1076" t="s">
        <v>647</v>
      </c>
      <c r="J1076">
        <v>2500</v>
      </c>
      <c r="K1076" s="1">
        <v>44820</v>
      </c>
      <c r="L1076">
        <v>2022</v>
      </c>
      <c r="M1076" t="str">
        <f>UPPER(TEXT(_2020_2022[[#This Row],[Data da Venda]],"mmm"))</f>
        <v>SET</v>
      </c>
    </row>
    <row r="1077" spans="1:13" x14ac:dyDescent="0.25">
      <c r="A1077" t="s">
        <v>13</v>
      </c>
      <c r="B1077">
        <v>2300</v>
      </c>
      <c r="C1077">
        <v>4</v>
      </c>
      <c r="D1077" t="s">
        <v>30</v>
      </c>
      <c r="E1077" t="s">
        <v>645</v>
      </c>
      <c r="F1077" t="s">
        <v>655</v>
      </c>
      <c r="G1077" t="s">
        <v>643</v>
      </c>
      <c r="H1077">
        <v>75</v>
      </c>
      <c r="I1077" t="s">
        <v>647</v>
      </c>
      <c r="J1077">
        <v>9200</v>
      </c>
      <c r="K1077" s="1">
        <v>44702</v>
      </c>
      <c r="L1077">
        <v>2022</v>
      </c>
      <c r="M1077" t="str">
        <f>UPPER(TEXT(_2020_2022[[#This Row],[Data da Venda]],"mmm"))</f>
        <v>MAI</v>
      </c>
    </row>
    <row r="1078" spans="1:13" x14ac:dyDescent="0.25">
      <c r="A1078" t="s">
        <v>20</v>
      </c>
      <c r="B1078">
        <v>2600</v>
      </c>
      <c r="C1078">
        <v>1</v>
      </c>
      <c r="D1078" t="s">
        <v>29</v>
      </c>
      <c r="E1078" t="s">
        <v>641</v>
      </c>
      <c r="F1078" t="s">
        <v>1035</v>
      </c>
      <c r="G1078" t="s">
        <v>643</v>
      </c>
      <c r="H1078">
        <v>57</v>
      </c>
      <c r="I1078" t="s">
        <v>647</v>
      </c>
      <c r="J1078">
        <v>2600</v>
      </c>
      <c r="K1078" s="1">
        <v>44794</v>
      </c>
      <c r="L1078">
        <v>2022</v>
      </c>
      <c r="M1078" t="str">
        <f>UPPER(TEXT(_2020_2022[[#This Row],[Data da Venda]],"mmm"))</f>
        <v>AGO</v>
      </c>
    </row>
    <row r="1079" spans="1:13" x14ac:dyDescent="0.25">
      <c r="A1079" t="s">
        <v>1445</v>
      </c>
      <c r="B1079">
        <v>1500</v>
      </c>
      <c r="C1079">
        <v>4</v>
      </c>
      <c r="D1079" t="s">
        <v>33</v>
      </c>
      <c r="E1079" t="s">
        <v>641</v>
      </c>
      <c r="F1079" t="s">
        <v>1123</v>
      </c>
      <c r="G1079" t="s">
        <v>650</v>
      </c>
      <c r="H1079">
        <v>41</v>
      </c>
      <c r="I1079" t="s">
        <v>644</v>
      </c>
      <c r="J1079">
        <v>6000</v>
      </c>
      <c r="K1079" s="1">
        <v>44690</v>
      </c>
      <c r="L1079">
        <v>2022</v>
      </c>
      <c r="M1079" t="str">
        <f>UPPER(TEXT(_2020_2022[[#This Row],[Data da Venda]],"mmm"))</f>
        <v>MAI</v>
      </c>
    </row>
    <row r="1080" spans="1:13" x14ac:dyDescent="0.25">
      <c r="A1080" t="s">
        <v>16</v>
      </c>
      <c r="B1080">
        <v>1400</v>
      </c>
      <c r="C1080">
        <v>3</v>
      </c>
      <c r="D1080" t="s">
        <v>41</v>
      </c>
      <c r="E1080" t="s">
        <v>681</v>
      </c>
      <c r="F1080" t="s">
        <v>1039</v>
      </c>
      <c r="G1080" t="s">
        <v>643</v>
      </c>
      <c r="H1080">
        <v>70</v>
      </c>
      <c r="I1080" t="s">
        <v>647</v>
      </c>
      <c r="J1080">
        <v>4200</v>
      </c>
      <c r="K1080" s="1">
        <v>44710</v>
      </c>
      <c r="L1080">
        <v>2022</v>
      </c>
      <c r="M1080" t="str">
        <f>UPPER(TEXT(_2020_2022[[#This Row],[Data da Venda]],"mmm"))</f>
        <v>MAI</v>
      </c>
    </row>
    <row r="1081" spans="1:13" x14ac:dyDescent="0.25">
      <c r="A1081" t="s">
        <v>8</v>
      </c>
      <c r="B1081">
        <v>5500</v>
      </c>
      <c r="C1081">
        <v>5</v>
      </c>
      <c r="D1081" t="s">
        <v>40</v>
      </c>
      <c r="E1081" t="s">
        <v>657</v>
      </c>
      <c r="F1081" t="s">
        <v>1013</v>
      </c>
      <c r="G1081" t="s">
        <v>643</v>
      </c>
      <c r="H1081">
        <v>38</v>
      </c>
      <c r="I1081" t="s">
        <v>644</v>
      </c>
      <c r="J1081">
        <v>27500</v>
      </c>
      <c r="K1081" s="1">
        <v>44597</v>
      </c>
      <c r="L1081">
        <v>2022</v>
      </c>
      <c r="M1081" t="str">
        <f>UPPER(TEXT(_2020_2022[[#This Row],[Data da Venda]],"mmm"))</f>
        <v>FEV</v>
      </c>
    </row>
    <row r="1082" spans="1:13" x14ac:dyDescent="0.25">
      <c r="A1082" t="s">
        <v>13</v>
      </c>
      <c r="B1082">
        <v>2300</v>
      </c>
      <c r="C1082">
        <v>3</v>
      </c>
      <c r="D1082" t="s">
        <v>29</v>
      </c>
      <c r="E1082" t="s">
        <v>641</v>
      </c>
      <c r="F1082" t="s">
        <v>983</v>
      </c>
      <c r="G1082" t="s">
        <v>643</v>
      </c>
      <c r="H1082">
        <v>34</v>
      </c>
      <c r="I1082" t="s">
        <v>644</v>
      </c>
      <c r="J1082">
        <v>6900</v>
      </c>
      <c r="K1082" s="1">
        <v>44721</v>
      </c>
      <c r="L1082">
        <v>2022</v>
      </c>
      <c r="M1082" t="str">
        <f>UPPER(TEXT(_2020_2022[[#This Row],[Data da Venda]],"mmm"))</f>
        <v>JUN</v>
      </c>
    </row>
    <row r="1083" spans="1:13" x14ac:dyDescent="0.25">
      <c r="A1083" t="s">
        <v>8</v>
      </c>
      <c r="B1083">
        <v>5500</v>
      </c>
      <c r="C1083">
        <v>3</v>
      </c>
      <c r="D1083" t="s">
        <v>31</v>
      </c>
      <c r="E1083" t="s">
        <v>645</v>
      </c>
      <c r="F1083" t="s">
        <v>1184</v>
      </c>
      <c r="G1083" t="s">
        <v>643</v>
      </c>
      <c r="H1083">
        <v>66</v>
      </c>
      <c r="I1083" t="s">
        <v>647</v>
      </c>
      <c r="J1083">
        <v>16500</v>
      </c>
      <c r="K1083" s="1">
        <v>44718</v>
      </c>
      <c r="L1083">
        <v>2022</v>
      </c>
      <c r="M1083" t="str">
        <f>UPPER(TEXT(_2020_2022[[#This Row],[Data da Venda]],"mmm"))</f>
        <v>JUN</v>
      </c>
    </row>
    <row r="1084" spans="1:13" x14ac:dyDescent="0.25">
      <c r="A1084" t="s">
        <v>21</v>
      </c>
      <c r="B1084">
        <v>2400</v>
      </c>
      <c r="C1084">
        <v>2</v>
      </c>
      <c r="D1084" t="s">
        <v>30</v>
      </c>
      <c r="E1084" t="s">
        <v>645</v>
      </c>
      <c r="F1084" t="s">
        <v>1234</v>
      </c>
      <c r="G1084" t="s">
        <v>650</v>
      </c>
      <c r="H1084">
        <v>68</v>
      </c>
      <c r="I1084" t="s">
        <v>647</v>
      </c>
      <c r="J1084">
        <v>4800</v>
      </c>
      <c r="K1084" s="1">
        <v>44612</v>
      </c>
      <c r="L1084">
        <v>2022</v>
      </c>
      <c r="M1084" t="str">
        <f>UPPER(TEXT(_2020_2022[[#This Row],[Data da Venda]],"mmm"))</f>
        <v>FEV</v>
      </c>
    </row>
    <row r="1085" spans="1:13" x14ac:dyDescent="0.25">
      <c r="A1085" t="s">
        <v>20</v>
      </c>
      <c r="B1085">
        <v>2600</v>
      </c>
      <c r="C1085">
        <v>2</v>
      </c>
      <c r="D1085" t="s">
        <v>33</v>
      </c>
      <c r="E1085" t="s">
        <v>641</v>
      </c>
      <c r="F1085" t="s">
        <v>802</v>
      </c>
      <c r="G1085" t="s">
        <v>650</v>
      </c>
      <c r="H1085">
        <v>31</v>
      </c>
      <c r="I1085" t="s">
        <v>644</v>
      </c>
      <c r="J1085">
        <v>5200</v>
      </c>
      <c r="K1085" s="1">
        <v>44653</v>
      </c>
      <c r="L1085">
        <v>2022</v>
      </c>
      <c r="M1085" t="str">
        <f>UPPER(TEXT(_2020_2022[[#This Row],[Data da Venda]],"mmm"))</f>
        <v>ABR</v>
      </c>
    </row>
    <row r="1086" spans="1:13" x14ac:dyDescent="0.25">
      <c r="A1086" t="s">
        <v>1441</v>
      </c>
      <c r="B1086">
        <v>1450</v>
      </c>
      <c r="C1086">
        <v>3</v>
      </c>
      <c r="D1086" t="s">
        <v>29</v>
      </c>
      <c r="E1086" t="s">
        <v>641</v>
      </c>
      <c r="F1086" t="s">
        <v>699</v>
      </c>
      <c r="G1086" t="s">
        <v>650</v>
      </c>
      <c r="H1086">
        <v>29</v>
      </c>
      <c r="I1086" t="s">
        <v>651</v>
      </c>
      <c r="J1086">
        <v>4350</v>
      </c>
      <c r="K1086" s="1">
        <v>44882</v>
      </c>
      <c r="L1086">
        <v>2022</v>
      </c>
      <c r="M1086" t="str">
        <f>UPPER(TEXT(_2020_2022[[#This Row],[Data da Venda]],"mmm"))</f>
        <v>NOV</v>
      </c>
    </row>
    <row r="1087" spans="1:13" x14ac:dyDescent="0.25">
      <c r="A1087" t="s">
        <v>18</v>
      </c>
      <c r="B1087">
        <v>3000</v>
      </c>
      <c r="C1087">
        <v>4</v>
      </c>
      <c r="D1087" t="s">
        <v>34</v>
      </c>
      <c r="E1087" t="s">
        <v>679</v>
      </c>
      <c r="F1087" t="s">
        <v>896</v>
      </c>
      <c r="G1087" t="s">
        <v>643</v>
      </c>
      <c r="H1087">
        <v>71</v>
      </c>
      <c r="I1087" t="s">
        <v>647</v>
      </c>
      <c r="J1087">
        <v>12000</v>
      </c>
      <c r="K1087" s="1">
        <v>44821</v>
      </c>
      <c r="L1087">
        <v>2022</v>
      </c>
      <c r="M1087" t="str">
        <f>UPPER(TEXT(_2020_2022[[#This Row],[Data da Venda]],"mmm"))</f>
        <v>SET</v>
      </c>
    </row>
    <row r="1088" spans="1:13" x14ac:dyDescent="0.25">
      <c r="A1088" t="s">
        <v>15</v>
      </c>
      <c r="B1088">
        <v>1900</v>
      </c>
      <c r="C1088">
        <v>4</v>
      </c>
      <c r="D1088" t="s">
        <v>34</v>
      </c>
      <c r="E1088" t="s">
        <v>679</v>
      </c>
      <c r="F1088" t="s">
        <v>1002</v>
      </c>
      <c r="G1088" t="s">
        <v>650</v>
      </c>
      <c r="H1088">
        <v>43</v>
      </c>
      <c r="I1088" t="s">
        <v>644</v>
      </c>
      <c r="J1088">
        <v>7600</v>
      </c>
      <c r="K1088" s="1">
        <v>44734</v>
      </c>
      <c r="L1088">
        <v>2022</v>
      </c>
      <c r="M1088" t="str">
        <f>UPPER(TEXT(_2020_2022[[#This Row],[Data da Venda]],"mmm"))</f>
        <v>JUN</v>
      </c>
    </row>
    <row r="1089" spans="1:13" x14ac:dyDescent="0.25">
      <c r="A1089" t="s">
        <v>8</v>
      </c>
      <c r="B1089">
        <v>5500</v>
      </c>
      <c r="C1089">
        <v>2</v>
      </c>
      <c r="D1089" t="s">
        <v>37</v>
      </c>
      <c r="E1089" t="s">
        <v>645</v>
      </c>
      <c r="F1089" t="s">
        <v>739</v>
      </c>
      <c r="G1089" t="s">
        <v>650</v>
      </c>
      <c r="H1089">
        <v>63</v>
      </c>
      <c r="I1089" t="s">
        <v>647</v>
      </c>
      <c r="J1089">
        <v>11000</v>
      </c>
      <c r="K1089" s="1">
        <v>44570</v>
      </c>
      <c r="L1089">
        <v>2022</v>
      </c>
      <c r="M1089" t="str">
        <f>UPPER(TEXT(_2020_2022[[#This Row],[Data da Venda]],"mmm"))</f>
        <v>JAN</v>
      </c>
    </row>
    <row r="1090" spans="1:13" x14ac:dyDescent="0.25">
      <c r="A1090" t="s">
        <v>8</v>
      </c>
      <c r="B1090">
        <v>5500</v>
      </c>
      <c r="C1090">
        <v>5</v>
      </c>
      <c r="D1090" t="s">
        <v>29</v>
      </c>
      <c r="E1090" t="s">
        <v>641</v>
      </c>
      <c r="F1090" t="s">
        <v>990</v>
      </c>
      <c r="G1090" t="s">
        <v>650</v>
      </c>
      <c r="H1090">
        <v>58</v>
      </c>
      <c r="I1090" t="s">
        <v>647</v>
      </c>
      <c r="J1090">
        <v>27500</v>
      </c>
      <c r="K1090" s="1">
        <v>44805</v>
      </c>
      <c r="L1090">
        <v>2022</v>
      </c>
      <c r="M1090" t="str">
        <f>UPPER(TEXT(_2020_2022[[#This Row],[Data da Venda]],"mmm"))</f>
        <v>SET</v>
      </c>
    </row>
    <row r="1091" spans="1:13" x14ac:dyDescent="0.25">
      <c r="A1091" t="s">
        <v>7</v>
      </c>
      <c r="B1091">
        <v>750</v>
      </c>
      <c r="C1091">
        <v>5</v>
      </c>
      <c r="D1091" t="s">
        <v>34</v>
      </c>
      <c r="E1091" t="s">
        <v>679</v>
      </c>
      <c r="F1091" t="s">
        <v>1235</v>
      </c>
      <c r="G1091" t="s">
        <v>643</v>
      </c>
      <c r="H1091">
        <v>67</v>
      </c>
      <c r="I1091" t="s">
        <v>647</v>
      </c>
      <c r="J1091">
        <v>3750</v>
      </c>
      <c r="K1091" s="1">
        <v>44820</v>
      </c>
      <c r="L1091">
        <v>2022</v>
      </c>
      <c r="M1091" t="str">
        <f>UPPER(TEXT(_2020_2022[[#This Row],[Data da Venda]],"mmm"))</f>
        <v>SET</v>
      </c>
    </row>
    <row r="1092" spans="1:13" x14ac:dyDescent="0.25">
      <c r="A1092" t="s">
        <v>1440</v>
      </c>
      <c r="B1092">
        <v>700</v>
      </c>
      <c r="C1092">
        <v>2</v>
      </c>
      <c r="D1092" t="s">
        <v>33</v>
      </c>
      <c r="E1092" t="s">
        <v>641</v>
      </c>
      <c r="F1092" t="s">
        <v>917</v>
      </c>
      <c r="G1092" t="s">
        <v>643</v>
      </c>
      <c r="H1092">
        <v>45</v>
      </c>
      <c r="I1092" t="s">
        <v>644</v>
      </c>
      <c r="J1092">
        <v>1400</v>
      </c>
      <c r="K1092" s="1">
        <v>44916</v>
      </c>
      <c r="L1092">
        <v>2022</v>
      </c>
      <c r="M1092" t="str">
        <f>UPPER(TEXT(_2020_2022[[#This Row],[Data da Venda]],"mmm"))</f>
        <v>DEZ</v>
      </c>
    </row>
    <row r="1093" spans="1:13" x14ac:dyDescent="0.25">
      <c r="A1093" t="s">
        <v>25</v>
      </c>
      <c r="B1093">
        <v>2500</v>
      </c>
      <c r="C1093">
        <v>1</v>
      </c>
      <c r="D1093" t="s">
        <v>40</v>
      </c>
      <c r="E1093" t="s">
        <v>657</v>
      </c>
      <c r="F1093" t="s">
        <v>1010</v>
      </c>
      <c r="G1093" t="s">
        <v>643</v>
      </c>
      <c r="H1093">
        <v>45</v>
      </c>
      <c r="I1093" t="s">
        <v>644</v>
      </c>
      <c r="J1093">
        <v>2500</v>
      </c>
      <c r="K1093" s="1">
        <v>44818</v>
      </c>
      <c r="L1093">
        <v>2022</v>
      </c>
      <c r="M1093" t="str">
        <f>UPPER(TEXT(_2020_2022[[#This Row],[Data da Venda]],"mmm"))</f>
        <v>SET</v>
      </c>
    </row>
    <row r="1094" spans="1:13" x14ac:dyDescent="0.25">
      <c r="A1094" t="s">
        <v>18</v>
      </c>
      <c r="B1094">
        <v>3000</v>
      </c>
      <c r="C1094">
        <v>3</v>
      </c>
      <c r="D1094" t="s">
        <v>35</v>
      </c>
      <c r="E1094" t="s">
        <v>666</v>
      </c>
      <c r="F1094" t="s">
        <v>1132</v>
      </c>
      <c r="G1094" t="s">
        <v>643</v>
      </c>
      <c r="H1094">
        <v>59</v>
      </c>
      <c r="I1094" t="s">
        <v>647</v>
      </c>
      <c r="J1094">
        <v>9000</v>
      </c>
      <c r="K1094" s="1">
        <v>44650</v>
      </c>
      <c r="L1094">
        <v>2022</v>
      </c>
      <c r="M1094" t="str">
        <f>UPPER(TEXT(_2020_2022[[#This Row],[Data da Venda]],"mmm"))</f>
        <v>MAR</v>
      </c>
    </row>
    <row r="1095" spans="1:13" x14ac:dyDescent="0.25">
      <c r="A1095" t="s">
        <v>12</v>
      </c>
      <c r="B1095">
        <v>6500</v>
      </c>
      <c r="C1095">
        <v>1</v>
      </c>
      <c r="D1095" t="s">
        <v>34</v>
      </c>
      <c r="E1095" t="s">
        <v>679</v>
      </c>
      <c r="F1095" t="s">
        <v>833</v>
      </c>
      <c r="G1095" t="s">
        <v>643</v>
      </c>
      <c r="H1095">
        <v>71</v>
      </c>
      <c r="I1095" t="s">
        <v>647</v>
      </c>
      <c r="J1095">
        <v>6500</v>
      </c>
      <c r="K1095" s="1">
        <v>44896</v>
      </c>
      <c r="L1095">
        <v>2022</v>
      </c>
      <c r="M1095" t="str">
        <f>UPPER(TEXT(_2020_2022[[#This Row],[Data da Venda]],"mmm"))</f>
        <v>DEZ</v>
      </c>
    </row>
    <row r="1096" spans="1:13" x14ac:dyDescent="0.25">
      <c r="A1096" t="s">
        <v>20</v>
      </c>
      <c r="B1096">
        <v>2600</v>
      </c>
      <c r="C1096">
        <v>4</v>
      </c>
      <c r="D1096" t="s">
        <v>32</v>
      </c>
      <c r="E1096" t="s">
        <v>652</v>
      </c>
      <c r="F1096" t="s">
        <v>786</v>
      </c>
      <c r="G1096" t="s">
        <v>643</v>
      </c>
      <c r="H1096">
        <v>36</v>
      </c>
      <c r="I1096" t="s">
        <v>644</v>
      </c>
      <c r="J1096">
        <v>10400</v>
      </c>
      <c r="K1096" s="1">
        <v>44880</v>
      </c>
      <c r="L1096">
        <v>2022</v>
      </c>
      <c r="M1096" t="str">
        <f>UPPER(TEXT(_2020_2022[[#This Row],[Data da Venda]],"mmm"))</f>
        <v>NOV</v>
      </c>
    </row>
    <row r="1097" spans="1:13" x14ac:dyDescent="0.25">
      <c r="A1097" t="s">
        <v>26</v>
      </c>
      <c r="B1097">
        <v>1100</v>
      </c>
      <c r="C1097">
        <v>1</v>
      </c>
      <c r="D1097" t="s">
        <v>40</v>
      </c>
      <c r="E1097" t="s">
        <v>657</v>
      </c>
      <c r="F1097" t="s">
        <v>1028</v>
      </c>
      <c r="G1097" t="s">
        <v>650</v>
      </c>
      <c r="H1097">
        <v>55</v>
      </c>
      <c r="I1097" t="s">
        <v>647</v>
      </c>
      <c r="J1097">
        <v>1100</v>
      </c>
      <c r="K1097" s="1">
        <v>44742</v>
      </c>
      <c r="L1097">
        <v>2022</v>
      </c>
      <c r="M1097" t="str">
        <f>UPPER(TEXT(_2020_2022[[#This Row],[Data da Venda]],"mmm"))</f>
        <v>JUN</v>
      </c>
    </row>
    <row r="1098" spans="1:13" x14ac:dyDescent="0.25">
      <c r="A1098" t="s">
        <v>18</v>
      </c>
      <c r="B1098">
        <v>3000</v>
      </c>
      <c r="C1098">
        <v>5</v>
      </c>
      <c r="D1098" t="s">
        <v>30</v>
      </c>
      <c r="E1098" t="s">
        <v>645</v>
      </c>
      <c r="F1098" t="s">
        <v>896</v>
      </c>
      <c r="G1098" t="s">
        <v>643</v>
      </c>
      <c r="H1098">
        <v>47</v>
      </c>
      <c r="I1098" t="s">
        <v>644</v>
      </c>
      <c r="J1098">
        <v>15000</v>
      </c>
      <c r="K1098" s="1">
        <v>44750</v>
      </c>
      <c r="L1098">
        <v>2022</v>
      </c>
      <c r="M1098" t="str">
        <f>UPPER(TEXT(_2020_2022[[#This Row],[Data da Venda]],"mmm"))</f>
        <v>JUL</v>
      </c>
    </row>
    <row r="1099" spans="1:13" x14ac:dyDescent="0.25">
      <c r="A1099" t="s">
        <v>1445</v>
      </c>
      <c r="B1099">
        <v>1500</v>
      </c>
      <c r="C1099">
        <v>5</v>
      </c>
      <c r="D1099" t="s">
        <v>33</v>
      </c>
      <c r="E1099" t="s">
        <v>641</v>
      </c>
      <c r="F1099" t="s">
        <v>783</v>
      </c>
      <c r="G1099" t="s">
        <v>650</v>
      </c>
      <c r="H1099">
        <v>66</v>
      </c>
      <c r="I1099" t="s">
        <v>647</v>
      </c>
      <c r="J1099">
        <v>7500</v>
      </c>
      <c r="K1099" s="1">
        <v>44815</v>
      </c>
      <c r="L1099">
        <v>2022</v>
      </c>
      <c r="M1099" t="str">
        <f>UPPER(TEXT(_2020_2022[[#This Row],[Data da Venda]],"mmm"))</f>
        <v>SET</v>
      </c>
    </row>
    <row r="1100" spans="1:13" x14ac:dyDescent="0.25">
      <c r="A1100" t="s">
        <v>28</v>
      </c>
      <c r="B1100">
        <v>1400</v>
      </c>
      <c r="C1100">
        <v>2</v>
      </c>
      <c r="D1100" t="s">
        <v>38</v>
      </c>
      <c r="E1100" t="s">
        <v>648</v>
      </c>
      <c r="F1100" t="s">
        <v>1131</v>
      </c>
      <c r="G1100" t="s">
        <v>650</v>
      </c>
      <c r="H1100">
        <v>75</v>
      </c>
      <c r="I1100" t="s">
        <v>647</v>
      </c>
      <c r="J1100">
        <v>2800</v>
      </c>
      <c r="K1100" s="1">
        <v>44848</v>
      </c>
      <c r="L1100">
        <v>2022</v>
      </c>
      <c r="M1100" t="str">
        <f>UPPER(TEXT(_2020_2022[[#This Row],[Data da Venda]],"mmm"))</f>
        <v>OUT</v>
      </c>
    </row>
    <row r="1101" spans="1:13" x14ac:dyDescent="0.25">
      <c r="A1101" t="s">
        <v>16</v>
      </c>
      <c r="B1101">
        <v>1400</v>
      </c>
      <c r="C1101">
        <v>2</v>
      </c>
      <c r="D1101" t="s">
        <v>37</v>
      </c>
      <c r="E1101" t="s">
        <v>645</v>
      </c>
      <c r="F1101" t="s">
        <v>828</v>
      </c>
      <c r="G1101" t="s">
        <v>650</v>
      </c>
      <c r="H1101">
        <v>63</v>
      </c>
      <c r="I1101" t="s">
        <v>647</v>
      </c>
      <c r="J1101">
        <v>2800</v>
      </c>
      <c r="K1101" s="1">
        <v>44857</v>
      </c>
      <c r="L1101">
        <v>2022</v>
      </c>
      <c r="M1101" t="str">
        <f>UPPER(TEXT(_2020_2022[[#This Row],[Data da Venda]],"mmm"))</f>
        <v>OUT</v>
      </c>
    </row>
    <row r="1102" spans="1:13" x14ac:dyDescent="0.25">
      <c r="A1102" t="s">
        <v>12</v>
      </c>
      <c r="B1102">
        <v>6500</v>
      </c>
      <c r="C1102">
        <v>4</v>
      </c>
      <c r="D1102" t="s">
        <v>38</v>
      </c>
      <c r="E1102" t="s">
        <v>648</v>
      </c>
      <c r="F1102" t="s">
        <v>1236</v>
      </c>
      <c r="G1102" t="s">
        <v>643</v>
      </c>
      <c r="H1102">
        <v>69</v>
      </c>
      <c r="I1102" t="s">
        <v>647</v>
      </c>
      <c r="J1102">
        <v>26000</v>
      </c>
      <c r="K1102" s="1">
        <v>44808</v>
      </c>
      <c r="L1102">
        <v>2022</v>
      </c>
      <c r="M1102" t="str">
        <f>UPPER(TEXT(_2020_2022[[#This Row],[Data da Venda]],"mmm"))</f>
        <v>SET</v>
      </c>
    </row>
    <row r="1103" spans="1:13" x14ac:dyDescent="0.25">
      <c r="A1103" t="s">
        <v>1445</v>
      </c>
      <c r="B1103">
        <v>1500</v>
      </c>
      <c r="C1103">
        <v>2</v>
      </c>
      <c r="D1103" t="s">
        <v>34</v>
      </c>
      <c r="E1103" t="s">
        <v>679</v>
      </c>
      <c r="F1103" t="s">
        <v>930</v>
      </c>
      <c r="G1103" t="s">
        <v>643</v>
      </c>
      <c r="H1103">
        <v>71</v>
      </c>
      <c r="I1103" t="s">
        <v>647</v>
      </c>
      <c r="J1103">
        <v>3000</v>
      </c>
      <c r="K1103" s="1">
        <v>44879</v>
      </c>
      <c r="L1103">
        <v>2022</v>
      </c>
      <c r="M1103" t="str">
        <f>UPPER(TEXT(_2020_2022[[#This Row],[Data da Venda]],"mmm"))</f>
        <v>NOV</v>
      </c>
    </row>
    <row r="1104" spans="1:13" x14ac:dyDescent="0.25">
      <c r="A1104" t="s">
        <v>8</v>
      </c>
      <c r="B1104">
        <v>5500</v>
      </c>
      <c r="C1104">
        <v>4</v>
      </c>
      <c r="D1104" t="s">
        <v>29</v>
      </c>
      <c r="E1104" t="s">
        <v>641</v>
      </c>
      <c r="F1104" t="s">
        <v>989</v>
      </c>
      <c r="G1104" t="s">
        <v>643</v>
      </c>
      <c r="H1104">
        <v>33</v>
      </c>
      <c r="I1104" t="s">
        <v>644</v>
      </c>
      <c r="J1104">
        <v>22000</v>
      </c>
      <c r="K1104" s="1">
        <v>44662</v>
      </c>
      <c r="L1104">
        <v>2022</v>
      </c>
      <c r="M1104" t="str">
        <f>UPPER(TEXT(_2020_2022[[#This Row],[Data da Venda]],"mmm"))</f>
        <v>ABR</v>
      </c>
    </row>
    <row r="1105" spans="1:13" x14ac:dyDescent="0.25">
      <c r="A1105" t="s">
        <v>8</v>
      </c>
      <c r="B1105">
        <v>5500</v>
      </c>
      <c r="C1105">
        <v>3</v>
      </c>
      <c r="D1105" t="s">
        <v>37</v>
      </c>
      <c r="E1105" t="s">
        <v>645</v>
      </c>
      <c r="F1105" t="s">
        <v>1136</v>
      </c>
      <c r="G1105" t="s">
        <v>643</v>
      </c>
      <c r="H1105">
        <v>59</v>
      </c>
      <c r="I1105" t="s">
        <v>647</v>
      </c>
      <c r="J1105">
        <v>16500</v>
      </c>
      <c r="K1105" s="1">
        <v>44911</v>
      </c>
      <c r="L1105">
        <v>2022</v>
      </c>
      <c r="M1105" t="str">
        <f>UPPER(TEXT(_2020_2022[[#This Row],[Data da Venda]],"mmm"))</f>
        <v>DEZ</v>
      </c>
    </row>
    <row r="1106" spans="1:13" x14ac:dyDescent="0.25">
      <c r="A1106" t="s">
        <v>20</v>
      </c>
      <c r="B1106">
        <v>2600</v>
      </c>
      <c r="C1106">
        <v>2</v>
      </c>
      <c r="D1106" t="s">
        <v>31</v>
      </c>
      <c r="E1106" t="s">
        <v>645</v>
      </c>
      <c r="F1106" t="s">
        <v>885</v>
      </c>
      <c r="G1106" t="s">
        <v>643</v>
      </c>
      <c r="H1106">
        <v>46</v>
      </c>
      <c r="I1106" t="s">
        <v>644</v>
      </c>
      <c r="J1106">
        <v>5200</v>
      </c>
      <c r="K1106" s="1">
        <v>44733</v>
      </c>
      <c r="L1106">
        <v>2022</v>
      </c>
      <c r="M1106" t="str">
        <f>UPPER(TEXT(_2020_2022[[#This Row],[Data da Venda]],"mmm"))</f>
        <v>JUN</v>
      </c>
    </row>
    <row r="1107" spans="1:13" x14ac:dyDescent="0.25">
      <c r="A1107" t="s">
        <v>20</v>
      </c>
      <c r="B1107">
        <v>2600</v>
      </c>
      <c r="C1107">
        <v>3</v>
      </c>
      <c r="D1107" t="s">
        <v>29</v>
      </c>
      <c r="E1107" t="s">
        <v>641</v>
      </c>
      <c r="F1107" t="s">
        <v>1114</v>
      </c>
      <c r="G1107" t="s">
        <v>643</v>
      </c>
      <c r="H1107">
        <v>63</v>
      </c>
      <c r="I1107" t="s">
        <v>647</v>
      </c>
      <c r="J1107">
        <v>7800</v>
      </c>
      <c r="K1107" s="1">
        <v>44707</v>
      </c>
      <c r="L1107">
        <v>2022</v>
      </c>
      <c r="M1107" t="str">
        <f>UPPER(TEXT(_2020_2022[[#This Row],[Data da Venda]],"mmm"))</f>
        <v>MAI</v>
      </c>
    </row>
    <row r="1108" spans="1:13" x14ac:dyDescent="0.25">
      <c r="A1108" t="s">
        <v>26</v>
      </c>
      <c r="B1108">
        <v>1100</v>
      </c>
      <c r="C1108">
        <v>1</v>
      </c>
      <c r="D1108" t="s">
        <v>37</v>
      </c>
      <c r="E1108" t="s">
        <v>645</v>
      </c>
      <c r="F1108" t="s">
        <v>949</v>
      </c>
      <c r="G1108" t="s">
        <v>650</v>
      </c>
      <c r="H1108">
        <v>34</v>
      </c>
      <c r="I1108" t="s">
        <v>644</v>
      </c>
      <c r="J1108">
        <v>1100</v>
      </c>
      <c r="K1108" s="1">
        <v>44775</v>
      </c>
      <c r="L1108">
        <v>2022</v>
      </c>
      <c r="M1108" t="str">
        <f>UPPER(TEXT(_2020_2022[[#This Row],[Data da Venda]],"mmm"))</f>
        <v>AGO</v>
      </c>
    </row>
    <row r="1109" spans="1:13" x14ac:dyDescent="0.25">
      <c r="A1109" t="s">
        <v>1443</v>
      </c>
      <c r="B1109">
        <v>1550</v>
      </c>
      <c r="C1109">
        <v>5</v>
      </c>
      <c r="D1109" t="s">
        <v>34</v>
      </c>
      <c r="E1109" t="s">
        <v>679</v>
      </c>
      <c r="F1109" t="s">
        <v>1237</v>
      </c>
      <c r="G1109" t="s">
        <v>650</v>
      </c>
      <c r="H1109">
        <v>39</v>
      </c>
      <c r="I1109" t="s">
        <v>644</v>
      </c>
      <c r="J1109">
        <v>7750</v>
      </c>
      <c r="K1109" s="1">
        <v>44796</v>
      </c>
      <c r="L1109">
        <v>2022</v>
      </c>
      <c r="M1109" t="str">
        <f>UPPER(TEXT(_2020_2022[[#This Row],[Data da Venda]],"mmm"))</f>
        <v>AGO</v>
      </c>
    </row>
    <row r="1110" spans="1:13" x14ac:dyDescent="0.25">
      <c r="A1110" t="s">
        <v>11</v>
      </c>
      <c r="B1110">
        <v>4500</v>
      </c>
      <c r="C1110">
        <v>1</v>
      </c>
      <c r="D1110" t="s">
        <v>39</v>
      </c>
      <c r="E1110" t="s">
        <v>641</v>
      </c>
      <c r="F1110" t="s">
        <v>1238</v>
      </c>
      <c r="G1110" t="s">
        <v>643</v>
      </c>
      <c r="H1110">
        <v>65</v>
      </c>
      <c r="I1110" t="s">
        <v>647</v>
      </c>
      <c r="J1110">
        <v>4500</v>
      </c>
      <c r="K1110" s="1">
        <v>44839</v>
      </c>
      <c r="L1110">
        <v>2022</v>
      </c>
      <c r="M1110" t="str">
        <f>UPPER(TEXT(_2020_2022[[#This Row],[Data da Venda]],"mmm"))</f>
        <v>OUT</v>
      </c>
    </row>
    <row r="1111" spans="1:13" x14ac:dyDescent="0.25">
      <c r="A1111" t="s">
        <v>9</v>
      </c>
      <c r="B1111">
        <v>1500</v>
      </c>
      <c r="C1111">
        <v>2</v>
      </c>
      <c r="D1111" t="s">
        <v>36</v>
      </c>
      <c r="E1111" t="s">
        <v>677</v>
      </c>
      <c r="F1111" t="s">
        <v>937</v>
      </c>
      <c r="G1111" t="s">
        <v>650</v>
      </c>
      <c r="H1111">
        <v>39</v>
      </c>
      <c r="I1111" t="s">
        <v>644</v>
      </c>
      <c r="J1111">
        <v>3000</v>
      </c>
      <c r="K1111" s="1">
        <v>44586</v>
      </c>
      <c r="L1111">
        <v>2022</v>
      </c>
      <c r="M1111" t="str">
        <f>UPPER(TEXT(_2020_2022[[#This Row],[Data da Venda]],"mmm"))</f>
        <v>JAN</v>
      </c>
    </row>
    <row r="1112" spans="1:13" x14ac:dyDescent="0.25">
      <c r="A1112" t="s">
        <v>20</v>
      </c>
      <c r="B1112">
        <v>2600</v>
      </c>
      <c r="C1112">
        <v>5</v>
      </c>
      <c r="D1112" t="s">
        <v>29</v>
      </c>
      <c r="E1112" t="s">
        <v>641</v>
      </c>
      <c r="F1112" t="s">
        <v>984</v>
      </c>
      <c r="G1112" t="s">
        <v>650</v>
      </c>
      <c r="H1112">
        <v>37</v>
      </c>
      <c r="I1112" t="s">
        <v>644</v>
      </c>
      <c r="J1112">
        <v>13000</v>
      </c>
      <c r="K1112" s="1">
        <v>44879</v>
      </c>
      <c r="L1112">
        <v>2022</v>
      </c>
      <c r="M1112" t="str">
        <f>UPPER(TEXT(_2020_2022[[#This Row],[Data da Venda]],"mmm"))</f>
        <v>NOV</v>
      </c>
    </row>
    <row r="1113" spans="1:13" x14ac:dyDescent="0.25">
      <c r="A1113" t="s">
        <v>14</v>
      </c>
      <c r="B1113">
        <v>2000</v>
      </c>
      <c r="C1113">
        <v>2</v>
      </c>
      <c r="D1113" t="s">
        <v>33</v>
      </c>
      <c r="E1113" t="s">
        <v>641</v>
      </c>
      <c r="F1113" t="s">
        <v>1079</v>
      </c>
      <c r="G1113" t="s">
        <v>643</v>
      </c>
      <c r="H1113">
        <v>42</v>
      </c>
      <c r="I1113" t="s">
        <v>644</v>
      </c>
      <c r="J1113">
        <v>4000</v>
      </c>
      <c r="K1113" s="1">
        <v>44842</v>
      </c>
      <c r="L1113">
        <v>2022</v>
      </c>
      <c r="M1113" t="str">
        <f>UPPER(TEXT(_2020_2022[[#This Row],[Data da Venda]],"mmm"))</f>
        <v>OUT</v>
      </c>
    </row>
    <row r="1114" spans="1:13" x14ac:dyDescent="0.25">
      <c r="A1114" t="s">
        <v>1443</v>
      </c>
      <c r="B1114">
        <v>1550</v>
      </c>
      <c r="C1114">
        <v>4</v>
      </c>
      <c r="D1114" t="s">
        <v>39</v>
      </c>
      <c r="E1114" t="s">
        <v>641</v>
      </c>
      <c r="F1114" t="s">
        <v>1216</v>
      </c>
      <c r="G1114" t="s">
        <v>643</v>
      </c>
      <c r="H1114">
        <v>45</v>
      </c>
      <c r="I1114" t="s">
        <v>644</v>
      </c>
      <c r="J1114">
        <v>6200</v>
      </c>
      <c r="K1114" s="1">
        <v>44859</v>
      </c>
      <c r="L1114">
        <v>2022</v>
      </c>
      <c r="M1114" t="str">
        <f>UPPER(TEXT(_2020_2022[[#This Row],[Data da Venda]],"mmm"))</f>
        <v>OUT</v>
      </c>
    </row>
    <row r="1115" spans="1:13" x14ac:dyDescent="0.25">
      <c r="A1115" t="s">
        <v>1445</v>
      </c>
      <c r="B1115">
        <v>1500</v>
      </c>
      <c r="C1115">
        <v>1</v>
      </c>
      <c r="D1115" t="s">
        <v>29</v>
      </c>
      <c r="E1115" t="s">
        <v>641</v>
      </c>
      <c r="F1115" t="s">
        <v>978</v>
      </c>
      <c r="G1115" t="s">
        <v>650</v>
      </c>
      <c r="H1115">
        <v>51</v>
      </c>
      <c r="I1115" t="s">
        <v>647</v>
      </c>
      <c r="J1115">
        <v>1500</v>
      </c>
      <c r="K1115" s="1">
        <v>44846</v>
      </c>
      <c r="L1115">
        <v>2022</v>
      </c>
      <c r="M1115" t="str">
        <f>UPPER(TEXT(_2020_2022[[#This Row],[Data da Venda]],"mmm"))</f>
        <v>OUT</v>
      </c>
    </row>
    <row r="1116" spans="1:13" x14ac:dyDescent="0.25">
      <c r="A1116" t="s">
        <v>18</v>
      </c>
      <c r="B1116">
        <v>3000</v>
      </c>
      <c r="C1116">
        <v>1</v>
      </c>
      <c r="D1116" t="s">
        <v>37</v>
      </c>
      <c r="E1116" t="s">
        <v>645</v>
      </c>
      <c r="F1116" t="s">
        <v>1239</v>
      </c>
      <c r="G1116" t="s">
        <v>643</v>
      </c>
      <c r="H1116">
        <v>75</v>
      </c>
      <c r="I1116" t="s">
        <v>647</v>
      </c>
      <c r="J1116">
        <v>3000</v>
      </c>
      <c r="K1116" s="1">
        <v>44836</v>
      </c>
      <c r="L1116">
        <v>2022</v>
      </c>
      <c r="M1116" t="str">
        <f>UPPER(TEXT(_2020_2022[[#This Row],[Data da Venda]],"mmm"))</f>
        <v>OUT</v>
      </c>
    </row>
    <row r="1117" spans="1:13" x14ac:dyDescent="0.25">
      <c r="A1117" t="s">
        <v>28</v>
      </c>
      <c r="B1117">
        <v>1400</v>
      </c>
      <c r="C1117">
        <v>3</v>
      </c>
      <c r="D1117" t="s">
        <v>29</v>
      </c>
      <c r="E1117" t="s">
        <v>641</v>
      </c>
      <c r="F1117" t="s">
        <v>1240</v>
      </c>
      <c r="G1117" t="s">
        <v>643</v>
      </c>
      <c r="H1117">
        <v>48</v>
      </c>
      <c r="I1117" t="s">
        <v>644</v>
      </c>
      <c r="J1117">
        <v>4200</v>
      </c>
      <c r="K1117" s="1">
        <v>44738</v>
      </c>
      <c r="L1117">
        <v>2022</v>
      </c>
      <c r="M1117" t="str">
        <f>UPPER(TEXT(_2020_2022[[#This Row],[Data da Venda]],"mmm"))</f>
        <v>JUN</v>
      </c>
    </row>
    <row r="1118" spans="1:13" x14ac:dyDescent="0.25">
      <c r="A1118" t="s">
        <v>5</v>
      </c>
      <c r="B1118">
        <v>1750</v>
      </c>
      <c r="C1118">
        <v>1</v>
      </c>
      <c r="D1118" t="s">
        <v>34</v>
      </c>
      <c r="E1118" t="s">
        <v>679</v>
      </c>
      <c r="F1118" t="s">
        <v>873</v>
      </c>
      <c r="G1118" t="s">
        <v>643</v>
      </c>
      <c r="H1118">
        <v>62</v>
      </c>
      <c r="I1118" t="s">
        <v>647</v>
      </c>
      <c r="J1118">
        <v>1750</v>
      </c>
      <c r="K1118" s="1">
        <v>44584</v>
      </c>
      <c r="L1118">
        <v>2022</v>
      </c>
      <c r="M1118" t="str">
        <f>UPPER(TEXT(_2020_2022[[#This Row],[Data da Venda]],"mmm"))</f>
        <v>JAN</v>
      </c>
    </row>
    <row r="1119" spans="1:13" x14ac:dyDescent="0.25">
      <c r="A1119" t="s">
        <v>14</v>
      </c>
      <c r="B1119">
        <v>2000</v>
      </c>
      <c r="C1119">
        <v>2</v>
      </c>
      <c r="D1119" t="s">
        <v>38</v>
      </c>
      <c r="E1119" t="s">
        <v>648</v>
      </c>
      <c r="F1119" t="s">
        <v>693</v>
      </c>
      <c r="G1119" t="s">
        <v>643</v>
      </c>
      <c r="H1119">
        <v>62</v>
      </c>
      <c r="I1119" t="s">
        <v>647</v>
      </c>
      <c r="J1119">
        <v>4000</v>
      </c>
      <c r="K1119" s="1">
        <v>44875</v>
      </c>
      <c r="L1119">
        <v>2022</v>
      </c>
      <c r="M1119" t="str">
        <f>UPPER(TEXT(_2020_2022[[#This Row],[Data da Venda]],"mmm"))</f>
        <v>NOV</v>
      </c>
    </row>
    <row r="1120" spans="1:13" x14ac:dyDescent="0.25">
      <c r="A1120" t="s">
        <v>7</v>
      </c>
      <c r="B1120">
        <v>750</v>
      </c>
      <c r="C1120">
        <v>3</v>
      </c>
      <c r="D1120" t="s">
        <v>40</v>
      </c>
      <c r="E1120" t="s">
        <v>657</v>
      </c>
      <c r="F1120" t="s">
        <v>1023</v>
      </c>
      <c r="G1120" t="s">
        <v>650</v>
      </c>
      <c r="H1120">
        <v>43</v>
      </c>
      <c r="I1120" t="s">
        <v>644</v>
      </c>
      <c r="J1120">
        <v>2250</v>
      </c>
      <c r="K1120" s="1">
        <v>44688</v>
      </c>
      <c r="L1120">
        <v>2022</v>
      </c>
      <c r="M1120" t="str">
        <f>UPPER(TEXT(_2020_2022[[#This Row],[Data da Venda]],"mmm"))</f>
        <v>MAI</v>
      </c>
    </row>
    <row r="1121" spans="1:13" x14ac:dyDescent="0.25">
      <c r="A1121" t="s">
        <v>15</v>
      </c>
      <c r="B1121">
        <v>1900</v>
      </c>
      <c r="C1121">
        <v>2</v>
      </c>
      <c r="D1121" t="s">
        <v>33</v>
      </c>
      <c r="E1121" t="s">
        <v>641</v>
      </c>
      <c r="F1121" t="s">
        <v>1241</v>
      </c>
      <c r="G1121" t="s">
        <v>650</v>
      </c>
      <c r="H1121">
        <v>59</v>
      </c>
      <c r="I1121" t="s">
        <v>647</v>
      </c>
      <c r="J1121">
        <v>3800</v>
      </c>
      <c r="K1121" s="1">
        <v>44626</v>
      </c>
      <c r="L1121">
        <v>2022</v>
      </c>
      <c r="M1121" t="str">
        <f>UPPER(TEXT(_2020_2022[[#This Row],[Data da Venda]],"mmm"))</f>
        <v>MAR</v>
      </c>
    </row>
    <row r="1122" spans="1:13" x14ac:dyDescent="0.25">
      <c r="A1122" t="s">
        <v>8</v>
      </c>
      <c r="B1122">
        <v>5500</v>
      </c>
      <c r="C1122">
        <v>1</v>
      </c>
      <c r="D1122" t="s">
        <v>29</v>
      </c>
      <c r="E1122" t="s">
        <v>641</v>
      </c>
      <c r="F1122" t="s">
        <v>1033</v>
      </c>
      <c r="G1122" t="s">
        <v>650</v>
      </c>
      <c r="H1122">
        <v>44</v>
      </c>
      <c r="I1122" t="s">
        <v>644</v>
      </c>
      <c r="J1122">
        <v>5500</v>
      </c>
      <c r="K1122" s="1">
        <v>44603</v>
      </c>
      <c r="L1122">
        <v>2022</v>
      </c>
      <c r="M1122" t="str">
        <f>UPPER(TEXT(_2020_2022[[#This Row],[Data da Venda]],"mmm"))</f>
        <v>FEV</v>
      </c>
    </row>
    <row r="1123" spans="1:13" x14ac:dyDescent="0.25">
      <c r="A1123" t="s">
        <v>1440</v>
      </c>
      <c r="B1123">
        <v>700</v>
      </c>
      <c r="C1123">
        <v>1</v>
      </c>
      <c r="D1123" t="s">
        <v>29</v>
      </c>
      <c r="E1123" t="s">
        <v>641</v>
      </c>
      <c r="F1123" t="s">
        <v>1242</v>
      </c>
      <c r="G1123" t="s">
        <v>643</v>
      </c>
      <c r="H1123">
        <v>52</v>
      </c>
      <c r="I1123" t="s">
        <v>647</v>
      </c>
      <c r="J1123">
        <v>700</v>
      </c>
      <c r="K1123" s="1">
        <v>44856</v>
      </c>
      <c r="L1123">
        <v>2022</v>
      </c>
      <c r="M1123" t="str">
        <f>UPPER(TEXT(_2020_2022[[#This Row],[Data da Venda]],"mmm"))</f>
        <v>OUT</v>
      </c>
    </row>
    <row r="1124" spans="1:13" x14ac:dyDescent="0.25">
      <c r="A1124" t="s">
        <v>1441</v>
      </c>
      <c r="B1124">
        <v>1450</v>
      </c>
      <c r="C1124">
        <v>5</v>
      </c>
      <c r="D1124" t="s">
        <v>35</v>
      </c>
      <c r="E1124" t="s">
        <v>666</v>
      </c>
      <c r="F1124" t="s">
        <v>1243</v>
      </c>
      <c r="G1124" t="s">
        <v>650</v>
      </c>
      <c r="H1124">
        <v>53</v>
      </c>
      <c r="I1124" t="s">
        <v>647</v>
      </c>
      <c r="J1124">
        <v>7250</v>
      </c>
      <c r="K1124" s="1">
        <v>44861</v>
      </c>
      <c r="L1124">
        <v>2022</v>
      </c>
      <c r="M1124" t="str">
        <f>UPPER(TEXT(_2020_2022[[#This Row],[Data da Venda]],"mmm"))</f>
        <v>OUT</v>
      </c>
    </row>
    <row r="1125" spans="1:13" x14ac:dyDescent="0.25">
      <c r="A1125" t="s">
        <v>26</v>
      </c>
      <c r="B1125">
        <v>1100</v>
      </c>
      <c r="C1125">
        <v>2</v>
      </c>
      <c r="D1125" t="s">
        <v>40</v>
      </c>
      <c r="E1125" t="s">
        <v>657</v>
      </c>
      <c r="F1125" t="s">
        <v>771</v>
      </c>
      <c r="G1125" t="s">
        <v>643</v>
      </c>
      <c r="H1125">
        <v>33</v>
      </c>
      <c r="I1125" t="s">
        <v>644</v>
      </c>
      <c r="J1125">
        <v>2200</v>
      </c>
      <c r="K1125" s="1">
        <v>44691</v>
      </c>
      <c r="L1125">
        <v>2022</v>
      </c>
      <c r="M1125" t="str">
        <f>UPPER(TEXT(_2020_2022[[#This Row],[Data da Venda]],"mmm"))</f>
        <v>MAI</v>
      </c>
    </row>
    <row r="1126" spans="1:13" x14ac:dyDescent="0.25">
      <c r="A1126" t="s">
        <v>20</v>
      </c>
      <c r="B1126">
        <v>2600</v>
      </c>
      <c r="C1126">
        <v>3</v>
      </c>
      <c r="D1126" t="s">
        <v>36</v>
      </c>
      <c r="E1126" t="s">
        <v>677</v>
      </c>
      <c r="F1126" t="s">
        <v>856</v>
      </c>
      <c r="G1126" t="s">
        <v>643</v>
      </c>
      <c r="H1126">
        <v>76</v>
      </c>
      <c r="I1126" t="s">
        <v>647</v>
      </c>
      <c r="J1126">
        <v>7800</v>
      </c>
      <c r="K1126" s="1">
        <v>44847</v>
      </c>
      <c r="L1126">
        <v>2022</v>
      </c>
      <c r="M1126" t="str">
        <f>UPPER(TEXT(_2020_2022[[#This Row],[Data da Venda]],"mmm"))</f>
        <v>OUT</v>
      </c>
    </row>
    <row r="1127" spans="1:13" x14ac:dyDescent="0.25">
      <c r="A1127" t="s">
        <v>28</v>
      </c>
      <c r="B1127">
        <v>1400</v>
      </c>
      <c r="C1127">
        <v>4</v>
      </c>
      <c r="D1127" t="s">
        <v>36</v>
      </c>
      <c r="E1127" t="s">
        <v>677</v>
      </c>
      <c r="F1127" t="s">
        <v>976</v>
      </c>
      <c r="G1127" t="s">
        <v>643</v>
      </c>
      <c r="H1127">
        <v>34</v>
      </c>
      <c r="I1127" t="s">
        <v>644</v>
      </c>
      <c r="J1127">
        <v>5600</v>
      </c>
      <c r="K1127" s="1">
        <v>44592</v>
      </c>
      <c r="L1127">
        <v>2022</v>
      </c>
      <c r="M1127" t="str">
        <f>UPPER(TEXT(_2020_2022[[#This Row],[Data da Venda]],"mmm"))</f>
        <v>JAN</v>
      </c>
    </row>
    <row r="1128" spans="1:13" x14ac:dyDescent="0.25">
      <c r="A1128" t="s">
        <v>1440</v>
      </c>
      <c r="B1128">
        <v>700</v>
      </c>
      <c r="C1128">
        <v>1</v>
      </c>
      <c r="D1128" t="s">
        <v>32</v>
      </c>
      <c r="E1128" t="s">
        <v>652</v>
      </c>
      <c r="F1128" t="s">
        <v>1024</v>
      </c>
      <c r="G1128" t="s">
        <v>643</v>
      </c>
      <c r="H1128">
        <v>76</v>
      </c>
      <c r="I1128" t="s">
        <v>647</v>
      </c>
      <c r="J1128">
        <v>700</v>
      </c>
      <c r="K1128" s="1">
        <v>44825</v>
      </c>
      <c r="L1128">
        <v>2022</v>
      </c>
      <c r="M1128" t="str">
        <f>UPPER(TEXT(_2020_2022[[#This Row],[Data da Venda]],"mmm"))</f>
        <v>SET</v>
      </c>
    </row>
    <row r="1129" spans="1:13" x14ac:dyDescent="0.25">
      <c r="A1129" t="s">
        <v>1443</v>
      </c>
      <c r="B1129">
        <v>1550</v>
      </c>
      <c r="C1129">
        <v>5</v>
      </c>
      <c r="D1129" t="s">
        <v>34</v>
      </c>
      <c r="E1129" t="s">
        <v>679</v>
      </c>
      <c r="F1129" t="s">
        <v>1244</v>
      </c>
      <c r="G1129" t="s">
        <v>643</v>
      </c>
      <c r="H1129">
        <v>48</v>
      </c>
      <c r="I1129" t="s">
        <v>644</v>
      </c>
      <c r="J1129">
        <v>7750</v>
      </c>
      <c r="K1129" s="1">
        <v>44895</v>
      </c>
      <c r="L1129">
        <v>2022</v>
      </c>
      <c r="M1129" t="str">
        <f>UPPER(TEXT(_2020_2022[[#This Row],[Data da Venda]],"mmm"))</f>
        <v>NOV</v>
      </c>
    </row>
    <row r="1130" spans="1:13" x14ac:dyDescent="0.25">
      <c r="A1130" t="s">
        <v>11</v>
      </c>
      <c r="B1130">
        <v>4500</v>
      </c>
      <c r="C1130">
        <v>3</v>
      </c>
      <c r="D1130" t="s">
        <v>33</v>
      </c>
      <c r="E1130" t="s">
        <v>641</v>
      </c>
      <c r="F1130" t="s">
        <v>729</v>
      </c>
      <c r="G1130" t="s">
        <v>650</v>
      </c>
      <c r="H1130">
        <v>42</v>
      </c>
      <c r="I1130" t="s">
        <v>644</v>
      </c>
      <c r="J1130">
        <v>13500</v>
      </c>
      <c r="K1130" s="1">
        <v>44570</v>
      </c>
      <c r="L1130">
        <v>2022</v>
      </c>
      <c r="M1130" t="str">
        <f>UPPER(TEXT(_2020_2022[[#This Row],[Data da Venda]],"mmm"))</f>
        <v>JAN</v>
      </c>
    </row>
    <row r="1131" spans="1:13" x14ac:dyDescent="0.25">
      <c r="A1131" t="s">
        <v>13</v>
      </c>
      <c r="B1131">
        <v>2300</v>
      </c>
      <c r="C1131">
        <v>2</v>
      </c>
      <c r="D1131" t="s">
        <v>29</v>
      </c>
      <c r="E1131" t="s">
        <v>641</v>
      </c>
      <c r="F1131" t="s">
        <v>1169</v>
      </c>
      <c r="G1131" t="s">
        <v>650</v>
      </c>
      <c r="H1131">
        <v>54</v>
      </c>
      <c r="I1131" t="s">
        <v>647</v>
      </c>
      <c r="J1131">
        <v>4600</v>
      </c>
      <c r="K1131" s="1">
        <v>44572</v>
      </c>
      <c r="L1131">
        <v>2022</v>
      </c>
      <c r="M1131" t="str">
        <f>UPPER(TEXT(_2020_2022[[#This Row],[Data da Venda]],"mmm"))</f>
        <v>JAN</v>
      </c>
    </row>
    <row r="1132" spans="1:13" x14ac:dyDescent="0.25">
      <c r="A1132" t="s">
        <v>1444</v>
      </c>
      <c r="B1132">
        <v>1500</v>
      </c>
      <c r="C1132">
        <v>4</v>
      </c>
      <c r="D1132" t="s">
        <v>36</v>
      </c>
      <c r="E1132" t="s">
        <v>677</v>
      </c>
      <c r="F1132" t="s">
        <v>733</v>
      </c>
      <c r="G1132" t="s">
        <v>643</v>
      </c>
      <c r="H1132">
        <v>75</v>
      </c>
      <c r="I1132" t="s">
        <v>647</v>
      </c>
      <c r="J1132">
        <v>6000</v>
      </c>
      <c r="K1132" s="1">
        <v>44797</v>
      </c>
      <c r="L1132">
        <v>2022</v>
      </c>
      <c r="M1132" t="str">
        <f>UPPER(TEXT(_2020_2022[[#This Row],[Data da Venda]],"mmm"))</f>
        <v>AGO</v>
      </c>
    </row>
    <row r="1133" spans="1:13" x14ac:dyDescent="0.25">
      <c r="A1133" t="s">
        <v>20</v>
      </c>
      <c r="B1133">
        <v>2600</v>
      </c>
      <c r="C1133">
        <v>5</v>
      </c>
      <c r="D1133" t="s">
        <v>37</v>
      </c>
      <c r="E1133" t="s">
        <v>645</v>
      </c>
      <c r="F1133" t="s">
        <v>718</v>
      </c>
      <c r="G1133" t="s">
        <v>650</v>
      </c>
      <c r="H1133">
        <v>37</v>
      </c>
      <c r="I1133" t="s">
        <v>644</v>
      </c>
      <c r="J1133">
        <v>13000</v>
      </c>
      <c r="K1133" s="1">
        <v>44726</v>
      </c>
      <c r="L1133">
        <v>2022</v>
      </c>
      <c r="M1133" t="str">
        <f>UPPER(TEXT(_2020_2022[[#This Row],[Data da Venda]],"mmm"))</f>
        <v>JUN</v>
      </c>
    </row>
    <row r="1134" spans="1:13" x14ac:dyDescent="0.25">
      <c r="A1134" t="s">
        <v>16</v>
      </c>
      <c r="B1134">
        <v>1400</v>
      </c>
      <c r="C1134">
        <v>3</v>
      </c>
      <c r="D1134" t="s">
        <v>35</v>
      </c>
      <c r="E1134" t="s">
        <v>666</v>
      </c>
      <c r="F1134" t="s">
        <v>855</v>
      </c>
      <c r="G1134" t="s">
        <v>643</v>
      </c>
      <c r="H1134">
        <v>33</v>
      </c>
      <c r="I1134" t="s">
        <v>644</v>
      </c>
      <c r="J1134">
        <v>4200</v>
      </c>
      <c r="K1134" s="1">
        <v>44573</v>
      </c>
      <c r="L1134">
        <v>2022</v>
      </c>
      <c r="M1134" t="str">
        <f>UPPER(TEXT(_2020_2022[[#This Row],[Data da Venda]],"mmm"))</f>
        <v>JAN</v>
      </c>
    </row>
    <row r="1135" spans="1:13" x14ac:dyDescent="0.25">
      <c r="A1135" t="s">
        <v>15</v>
      </c>
      <c r="B1135">
        <v>1900</v>
      </c>
      <c r="C1135">
        <v>2</v>
      </c>
      <c r="D1135" t="s">
        <v>29</v>
      </c>
      <c r="E1135" t="s">
        <v>641</v>
      </c>
      <c r="F1135" t="s">
        <v>757</v>
      </c>
      <c r="G1135" t="s">
        <v>643</v>
      </c>
      <c r="H1135">
        <v>30</v>
      </c>
      <c r="I1135" t="s">
        <v>644</v>
      </c>
      <c r="J1135">
        <v>3800</v>
      </c>
      <c r="K1135" s="1">
        <v>44665</v>
      </c>
      <c r="L1135">
        <v>2022</v>
      </c>
      <c r="M1135" t="str">
        <f>UPPER(TEXT(_2020_2022[[#This Row],[Data da Venda]],"mmm"))</f>
        <v>ABR</v>
      </c>
    </row>
    <row r="1136" spans="1:13" x14ac:dyDescent="0.25">
      <c r="A1136" t="s">
        <v>25</v>
      </c>
      <c r="B1136">
        <v>2500</v>
      </c>
      <c r="C1136">
        <v>2</v>
      </c>
      <c r="D1136" t="s">
        <v>30</v>
      </c>
      <c r="E1136" t="s">
        <v>645</v>
      </c>
      <c r="F1136" t="s">
        <v>1000</v>
      </c>
      <c r="G1136" t="s">
        <v>650</v>
      </c>
      <c r="H1136">
        <v>42</v>
      </c>
      <c r="I1136" t="s">
        <v>644</v>
      </c>
      <c r="J1136">
        <v>5000</v>
      </c>
      <c r="K1136" s="1">
        <v>44898</v>
      </c>
      <c r="L1136">
        <v>2022</v>
      </c>
      <c r="M1136" t="str">
        <f>UPPER(TEXT(_2020_2022[[#This Row],[Data da Venda]],"mmm"))</f>
        <v>DEZ</v>
      </c>
    </row>
    <row r="1137" spans="1:13" x14ac:dyDescent="0.25">
      <c r="A1137" t="s">
        <v>16</v>
      </c>
      <c r="B1137">
        <v>1400</v>
      </c>
      <c r="C1137">
        <v>4</v>
      </c>
      <c r="D1137" t="s">
        <v>34</v>
      </c>
      <c r="E1137" t="s">
        <v>679</v>
      </c>
      <c r="F1137" t="s">
        <v>700</v>
      </c>
      <c r="G1137" t="s">
        <v>650</v>
      </c>
      <c r="H1137">
        <v>40</v>
      </c>
      <c r="I1137" t="s">
        <v>644</v>
      </c>
      <c r="J1137">
        <v>5600</v>
      </c>
      <c r="K1137" s="1">
        <v>44827</v>
      </c>
      <c r="L1137">
        <v>2022</v>
      </c>
      <c r="M1137" t="str">
        <f>UPPER(TEXT(_2020_2022[[#This Row],[Data da Venda]],"mmm"))</f>
        <v>SET</v>
      </c>
    </row>
    <row r="1138" spans="1:13" x14ac:dyDescent="0.25">
      <c r="A1138" t="s">
        <v>18</v>
      </c>
      <c r="B1138">
        <v>3000</v>
      </c>
      <c r="C1138">
        <v>1</v>
      </c>
      <c r="D1138" t="s">
        <v>33</v>
      </c>
      <c r="E1138" t="s">
        <v>641</v>
      </c>
      <c r="F1138" t="s">
        <v>1123</v>
      </c>
      <c r="G1138" t="s">
        <v>650</v>
      </c>
      <c r="H1138">
        <v>41</v>
      </c>
      <c r="I1138" t="s">
        <v>644</v>
      </c>
      <c r="J1138">
        <v>3000</v>
      </c>
      <c r="K1138" s="1">
        <v>44800</v>
      </c>
      <c r="L1138">
        <v>2022</v>
      </c>
      <c r="M1138" t="str">
        <f>UPPER(TEXT(_2020_2022[[#This Row],[Data da Venda]],"mmm"))</f>
        <v>AGO</v>
      </c>
    </row>
    <row r="1139" spans="1:13" x14ac:dyDescent="0.25">
      <c r="A1139" t="s">
        <v>1443</v>
      </c>
      <c r="B1139">
        <v>1550</v>
      </c>
      <c r="C1139">
        <v>1</v>
      </c>
      <c r="D1139" t="s">
        <v>30</v>
      </c>
      <c r="E1139" t="s">
        <v>645</v>
      </c>
      <c r="F1139" t="s">
        <v>1219</v>
      </c>
      <c r="G1139" t="s">
        <v>643</v>
      </c>
      <c r="H1139">
        <v>69</v>
      </c>
      <c r="I1139" t="s">
        <v>647</v>
      </c>
      <c r="J1139">
        <v>1550</v>
      </c>
      <c r="K1139" s="1">
        <v>44825</v>
      </c>
      <c r="L1139">
        <v>2022</v>
      </c>
      <c r="M1139" t="str">
        <f>UPPER(TEXT(_2020_2022[[#This Row],[Data da Venda]],"mmm"))</f>
        <v>SET</v>
      </c>
    </row>
    <row r="1140" spans="1:13" x14ac:dyDescent="0.25">
      <c r="A1140" t="s">
        <v>12</v>
      </c>
      <c r="B1140">
        <v>6500</v>
      </c>
      <c r="C1140">
        <v>5</v>
      </c>
      <c r="D1140" t="s">
        <v>29</v>
      </c>
      <c r="E1140" t="s">
        <v>641</v>
      </c>
      <c r="F1140" t="s">
        <v>1120</v>
      </c>
      <c r="G1140" t="s">
        <v>650</v>
      </c>
      <c r="H1140">
        <v>56</v>
      </c>
      <c r="I1140" t="s">
        <v>647</v>
      </c>
      <c r="J1140">
        <v>32500</v>
      </c>
      <c r="K1140" s="1">
        <v>44849</v>
      </c>
      <c r="L1140">
        <v>2022</v>
      </c>
      <c r="M1140" t="str">
        <f>UPPER(TEXT(_2020_2022[[#This Row],[Data da Venda]],"mmm"))</f>
        <v>OUT</v>
      </c>
    </row>
    <row r="1141" spans="1:13" x14ac:dyDescent="0.25">
      <c r="A1141" t="s">
        <v>13</v>
      </c>
      <c r="B1141">
        <v>2300</v>
      </c>
      <c r="C1141">
        <v>3</v>
      </c>
      <c r="D1141" t="s">
        <v>35</v>
      </c>
      <c r="E1141" t="s">
        <v>666</v>
      </c>
      <c r="F1141" t="s">
        <v>703</v>
      </c>
      <c r="G1141" t="s">
        <v>643</v>
      </c>
      <c r="H1141">
        <v>33</v>
      </c>
      <c r="I1141" t="s">
        <v>644</v>
      </c>
      <c r="J1141">
        <v>6900</v>
      </c>
      <c r="K1141" s="1">
        <v>44730</v>
      </c>
      <c r="L1141">
        <v>2022</v>
      </c>
      <c r="M1141" t="str">
        <f>UPPER(TEXT(_2020_2022[[#This Row],[Data da Venda]],"mmm"))</f>
        <v>JUN</v>
      </c>
    </row>
    <row r="1142" spans="1:13" x14ac:dyDescent="0.25">
      <c r="A1142" t="s">
        <v>16</v>
      </c>
      <c r="B1142">
        <v>1400</v>
      </c>
      <c r="C1142">
        <v>4</v>
      </c>
      <c r="D1142" t="s">
        <v>36</v>
      </c>
      <c r="E1142" t="s">
        <v>677</v>
      </c>
      <c r="F1142" t="s">
        <v>1245</v>
      </c>
      <c r="G1142" t="s">
        <v>643</v>
      </c>
      <c r="H1142">
        <v>69</v>
      </c>
      <c r="I1142" t="s">
        <v>647</v>
      </c>
      <c r="J1142">
        <v>5600</v>
      </c>
      <c r="K1142" s="1">
        <v>44575</v>
      </c>
      <c r="L1142">
        <v>2022</v>
      </c>
      <c r="M1142" t="str">
        <f>UPPER(TEXT(_2020_2022[[#This Row],[Data da Venda]],"mmm"))</f>
        <v>JAN</v>
      </c>
    </row>
    <row r="1143" spans="1:13" x14ac:dyDescent="0.25">
      <c r="A1143" t="s">
        <v>12</v>
      </c>
      <c r="B1143">
        <v>6500</v>
      </c>
      <c r="C1143">
        <v>3</v>
      </c>
      <c r="D1143" t="s">
        <v>29</v>
      </c>
      <c r="E1143" t="s">
        <v>641</v>
      </c>
      <c r="F1143" t="s">
        <v>978</v>
      </c>
      <c r="G1143" t="s">
        <v>650</v>
      </c>
      <c r="H1143">
        <v>51</v>
      </c>
      <c r="I1143" t="s">
        <v>647</v>
      </c>
      <c r="J1143">
        <v>19500</v>
      </c>
      <c r="K1143" s="1">
        <v>44897</v>
      </c>
      <c r="L1143">
        <v>2022</v>
      </c>
      <c r="M1143" t="str">
        <f>UPPER(TEXT(_2020_2022[[#This Row],[Data da Venda]],"mmm"))</f>
        <v>DEZ</v>
      </c>
    </row>
    <row r="1144" spans="1:13" x14ac:dyDescent="0.25">
      <c r="A1144" t="s">
        <v>15</v>
      </c>
      <c r="B1144">
        <v>1900</v>
      </c>
      <c r="C1144">
        <v>5</v>
      </c>
      <c r="D1144" t="s">
        <v>41</v>
      </c>
      <c r="E1144" t="s">
        <v>681</v>
      </c>
      <c r="F1144" t="s">
        <v>1130</v>
      </c>
      <c r="G1144" t="s">
        <v>643</v>
      </c>
      <c r="H1144">
        <v>44</v>
      </c>
      <c r="I1144" t="s">
        <v>644</v>
      </c>
      <c r="J1144">
        <v>9500</v>
      </c>
      <c r="K1144" s="1">
        <v>44563</v>
      </c>
      <c r="L1144">
        <v>2022</v>
      </c>
      <c r="M1144" t="str">
        <f>UPPER(TEXT(_2020_2022[[#This Row],[Data da Venda]],"mmm"))</f>
        <v>JAN</v>
      </c>
    </row>
    <row r="1145" spans="1:13" x14ac:dyDescent="0.25">
      <c r="A1145" t="s">
        <v>15</v>
      </c>
      <c r="B1145">
        <v>1900</v>
      </c>
      <c r="C1145">
        <v>2</v>
      </c>
      <c r="D1145" t="s">
        <v>39</v>
      </c>
      <c r="E1145" t="s">
        <v>641</v>
      </c>
      <c r="F1145" t="s">
        <v>1225</v>
      </c>
      <c r="G1145" t="s">
        <v>650</v>
      </c>
      <c r="H1145">
        <v>45</v>
      </c>
      <c r="I1145" t="s">
        <v>644</v>
      </c>
      <c r="J1145">
        <v>3800</v>
      </c>
      <c r="K1145" s="1">
        <v>44628</v>
      </c>
      <c r="L1145">
        <v>2022</v>
      </c>
      <c r="M1145" t="str">
        <f>UPPER(TEXT(_2020_2022[[#This Row],[Data da Venda]],"mmm"))</f>
        <v>MAR</v>
      </c>
    </row>
    <row r="1146" spans="1:13" x14ac:dyDescent="0.25">
      <c r="A1146" t="s">
        <v>7</v>
      </c>
      <c r="B1146">
        <v>750</v>
      </c>
      <c r="C1146">
        <v>3</v>
      </c>
      <c r="D1146" t="s">
        <v>32</v>
      </c>
      <c r="E1146" t="s">
        <v>652</v>
      </c>
      <c r="F1146" t="s">
        <v>1024</v>
      </c>
      <c r="G1146" t="s">
        <v>643</v>
      </c>
      <c r="H1146">
        <v>76</v>
      </c>
      <c r="I1146" t="s">
        <v>647</v>
      </c>
      <c r="J1146">
        <v>2250</v>
      </c>
      <c r="K1146" s="1">
        <v>44623</v>
      </c>
      <c r="L1146">
        <v>2022</v>
      </c>
      <c r="M1146" t="str">
        <f>UPPER(TEXT(_2020_2022[[#This Row],[Data da Venda]],"mmm"))</f>
        <v>MAR</v>
      </c>
    </row>
    <row r="1147" spans="1:13" x14ac:dyDescent="0.25">
      <c r="A1147" t="s">
        <v>18</v>
      </c>
      <c r="B1147">
        <v>3000</v>
      </c>
      <c r="C1147">
        <v>1</v>
      </c>
      <c r="D1147" t="s">
        <v>31</v>
      </c>
      <c r="E1147" t="s">
        <v>645</v>
      </c>
      <c r="F1147" t="s">
        <v>1206</v>
      </c>
      <c r="G1147" t="s">
        <v>643</v>
      </c>
      <c r="H1147">
        <v>41</v>
      </c>
      <c r="I1147" t="s">
        <v>644</v>
      </c>
      <c r="J1147">
        <v>3000</v>
      </c>
      <c r="K1147" s="1">
        <v>44686</v>
      </c>
      <c r="L1147">
        <v>2022</v>
      </c>
      <c r="M1147" t="str">
        <f>UPPER(TEXT(_2020_2022[[#This Row],[Data da Venda]],"mmm"))</f>
        <v>MAI</v>
      </c>
    </row>
    <row r="1148" spans="1:13" x14ac:dyDescent="0.25">
      <c r="A1148" t="s">
        <v>9</v>
      </c>
      <c r="B1148">
        <v>1500</v>
      </c>
      <c r="C1148">
        <v>5</v>
      </c>
      <c r="D1148" t="s">
        <v>38</v>
      </c>
      <c r="E1148" t="s">
        <v>648</v>
      </c>
      <c r="F1148" t="s">
        <v>931</v>
      </c>
      <c r="G1148" t="s">
        <v>650</v>
      </c>
      <c r="H1148">
        <v>54</v>
      </c>
      <c r="I1148" t="s">
        <v>647</v>
      </c>
      <c r="J1148">
        <v>7500</v>
      </c>
      <c r="K1148" s="1">
        <v>44597</v>
      </c>
      <c r="L1148">
        <v>2022</v>
      </c>
      <c r="M1148" t="str">
        <f>UPPER(TEXT(_2020_2022[[#This Row],[Data da Venda]],"mmm"))</f>
        <v>FEV</v>
      </c>
    </row>
    <row r="1149" spans="1:13" x14ac:dyDescent="0.25">
      <c r="A1149" t="s">
        <v>25</v>
      </c>
      <c r="B1149">
        <v>2500</v>
      </c>
      <c r="C1149">
        <v>2</v>
      </c>
      <c r="D1149" t="s">
        <v>37</v>
      </c>
      <c r="E1149" t="s">
        <v>645</v>
      </c>
      <c r="F1149" t="s">
        <v>739</v>
      </c>
      <c r="G1149" t="s">
        <v>650</v>
      </c>
      <c r="H1149">
        <v>63</v>
      </c>
      <c r="I1149" t="s">
        <v>647</v>
      </c>
      <c r="J1149">
        <v>5000</v>
      </c>
      <c r="K1149" s="1">
        <v>44785</v>
      </c>
      <c r="L1149">
        <v>2022</v>
      </c>
      <c r="M1149" t="str">
        <f>UPPER(TEXT(_2020_2022[[#This Row],[Data da Venda]],"mmm"))</f>
        <v>AGO</v>
      </c>
    </row>
    <row r="1150" spans="1:13" x14ac:dyDescent="0.25">
      <c r="A1150" t="s">
        <v>1440</v>
      </c>
      <c r="B1150">
        <v>700</v>
      </c>
      <c r="C1150">
        <v>1</v>
      </c>
      <c r="D1150" t="s">
        <v>33</v>
      </c>
      <c r="E1150" t="s">
        <v>641</v>
      </c>
      <c r="F1150" t="s">
        <v>793</v>
      </c>
      <c r="G1150" t="s">
        <v>643</v>
      </c>
      <c r="H1150">
        <v>25</v>
      </c>
      <c r="I1150" t="s">
        <v>651</v>
      </c>
      <c r="J1150">
        <v>700</v>
      </c>
      <c r="K1150" s="1">
        <v>44739</v>
      </c>
      <c r="L1150">
        <v>2022</v>
      </c>
      <c r="M1150" t="str">
        <f>UPPER(TEXT(_2020_2022[[#This Row],[Data da Venda]],"mmm"))</f>
        <v>JUN</v>
      </c>
    </row>
    <row r="1151" spans="1:13" x14ac:dyDescent="0.25">
      <c r="A1151" t="s">
        <v>18</v>
      </c>
      <c r="B1151">
        <v>3000</v>
      </c>
      <c r="C1151">
        <v>3</v>
      </c>
      <c r="D1151" t="s">
        <v>41</v>
      </c>
      <c r="E1151" t="s">
        <v>681</v>
      </c>
      <c r="F1151" t="s">
        <v>1246</v>
      </c>
      <c r="G1151" t="s">
        <v>650</v>
      </c>
      <c r="H1151">
        <v>42</v>
      </c>
      <c r="I1151" t="s">
        <v>644</v>
      </c>
      <c r="J1151">
        <v>9000</v>
      </c>
      <c r="K1151" s="1">
        <v>44640</v>
      </c>
      <c r="L1151">
        <v>2022</v>
      </c>
      <c r="M1151" t="str">
        <f>UPPER(TEXT(_2020_2022[[#This Row],[Data da Venda]],"mmm"))</f>
        <v>MAR</v>
      </c>
    </row>
    <row r="1152" spans="1:13" x14ac:dyDescent="0.25">
      <c r="A1152" t="s">
        <v>7</v>
      </c>
      <c r="B1152">
        <v>750</v>
      </c>
      <c r="C1152">
        <v>4</v>
      </c>
      <c r="D1152" t="s">
        <v>39</v>
      </c>
      <c r="E1152" t="s">
        <v>641</v>
      </c>
      <c r="F1152" t="s">
        <v>818</v>
      </c>
      <c r="G1152" t="s">
        <v>643</v>
      </c>
      <c r="H1152">
        <v>71</v>
      </c>
      <c r="I1152" t="s">
        <v>647</v>
      </c>
      <c r="J1152">
        <v>3000</v>
      </c>
      <c r="K1152" s="1">
        <v>44921</v>
      </c>
      <c r="L1152">
        <v>2022</v>
      </c>
      <c r="M1152" t="str">
        <f>UPPER(TEXT(_2020_2022[[#This Row],[Data da Venda]],"mmm"))</f>
        <v>DEZ</v>
      </c>
    </row>
    <row r="1153" spans="1:13" x14ac:dyDescent="0.25">
      <c r="A1153" t="s">
        <v>1445</v>
      </c>
      <c r="B1153">
        <v>1500</v>
      </c>
      <c r="C1153">
        <v>4</v>
      </c>
      <c r="D1153" t="s">
        <v>31</v>
      </c>
      <c r="E1153" t="s">
        <v>645</v>
      </c>
      <c r="F1153" t="s">
        <v>815</v>
      </c>
      <c r="G1153" t="s">
        <v>643</v>
      </c>
      <c r="H1153">
        <v>59</v>
      </c>
      <c r="I1153" t="s">
        <v>647</v>
      </c>
      <c r="J1153">
        <v>6000</v>
      </c>
      <c r="K1153" s="1">
        <v>44842</v>
      </c>
      <c r="L1153">
        <v>2022</v>
      </c>
      <c r="M1153" t="str">
        <f>UPPER(TEXT(_2020_2022[[#This Row],[Data da Venda]],"mmm"))</f>
        <v>OUT</v>
      </c>
    </row>
    <row r="1154" spans="1:13" x14ac:dyDescent="0.25">
      <c r="A1154" t="s">
        <v>8</v>
      </c>
      <c r="B1154">
        <v>5500</v>
      </c>
      <c r="C1154">
        <v>4</v>
      </c>
      <c r="D1154" t="s">
        <v>39</v>
      </c>
      <c r="E1154" t="s">
        <v>641</v>
      </c>
      <c r="F1154" t="s">
        <v>1247</v>
      </c>
      <c r="G1154" t="s">
        <v>643</v>
      </c>
      <c r="H1154">
        <v>43</v>
      </c>
      <c r="I1154" t="s">
        <v>644</v>
      </c>
      <c r="J1154">
        <v>22000</v>
      </c>
      <c r="K1154" s="1">
        <v>44691</v>
      </c>
      <c r="L1154">
        <v>2022</v>
      </c>
      <c r="M1154" t="str">
        <f>UPPER(TEXT(_2020_2022[[#This Row],[Data da Venda]],"mmm"))</f>
        <v>MAI</v>
      </c>
    </row>
    <row r="1155" spans="1:13" x14ac:dyDescent="0.25">
      <c r="A1155" t="s">
        <v>1440</v>
      </c>
      <c r="B1155">
        <v>700</v>
      </c>
      <c r="C1155">
        <v>2</v>
      </c>
      <c r="D1155" t="s">
        <v>39</v>
      </c>
      <c r="E1155" t="s">
        <v>641</v>
      </c>
      <c r="F1155" t="s">
        <v>959</v>
      </c>
      <c r="G1155" t="s">
        <v>650</v>
      </c>
      <c r="H1155">
        <v>66</v>
      </c>
      <c r="I1155" t="s">
        <v>647</v>
      </c>
      <c r="J1155">
        <v>1400</v>
      </c>
      <c r="K1155" s="1">
        <v>44857</v>
      </c>
      <c r="L1155">
        <v>2022</v>
      </c>
      <c r="M1155" t="str">
        <f>UPPER(TEXT(_2020_2022[[#This Row],[Data da Venda]],"mmm"))</f>
        <v>OUT</v>
      </c>
    </row>
    <row r="1156" spans="1:13" x14ac:dyDescent="0.25">
      <c r="A1156" t="s">
        <v>24</v>
      </c>
      <c r="B1156">
        <v>2000</v>
      </c>
      <c r="C1156">
        <v>5</v>
      </c>
      <c r="D1156" t="s">
        <v>29</v>
      </c>
      <c r="E1156" t="s">
        <v>641</v>
      </c>
      <c r="F1156" t="s">
        <v>1174</v>
      </c>
      <c r="G1156" t="s">
        <v>650</v>
      </c>
      <c r="H1156">
        <v>40</v>
      </c>
      <c r="I1156" t="s">
        <v>644</v>
      </c>
      <c r="J1156">
        <v>10000</v>
      </c>
      <c r="K1156" s="1">
        <v>44848</v>
      </c>
      <c r="L1156">
        <v>2022</v>
      </c>
      <c r="M1156" t="str">
        <f>UPPER(TEXT(_2020_2022[[#This Row],[Data da Venda]],"mmm"))</f>
        <v>OUT</v>
      </c>
    </row>
    <row r="1157" spans="1:13" x14ac:dyDescent="0.25">
      <c r="A1157" t="s">
        <v>1444</v>
      </c>
      <c r="B1157">
        <v>1500</v>
      </c>
      <c r="C1157">
        <v>5</v>
      </c>
      <c r="D1157" t="s">
        <v>36</v>
      </c>
      <c r="E1157" t="s">
        <v>677</v>
      </c>
      <c r="F1157" t="s">
        <v>1245</v>
      </c>
      <c r="G1157" t="s">
        <v>643</v>
      </c>
      <c r="H1157">
        <v>69</v>
      </c>
      <c r="I1157" t="s">
        <v>647</v>
      </c>
      <c r="J1157">
        <v>7500</v>
      </c>
      <c r="K1157" s="1">
        <v>44794</v>
      </c>
      <c r="L1157">
        <v>2022</v>
      </c>
      <c r="M1157" t="str">
        <f>UPPER(TEXT(_2020_2022[[#This Row],[Data da Venda]],"mmm"))</f>
        <v>AGO</v>
      </c>
    </row>
    <row r="1158" spans="1:13" x14ac:dyDescent="0.25">
      <c r="A1158" t="s">
        <v>1440</v>
      </c>
      <c r="B1158">
        <v>700</v>
      </c>
      <c r="C1158">
        <v>4</v>
      </c>
      <c r="D1158" t="s">
        <v>34</v>
      </c>
      <c r="E1158" t="s">
        <v>679</v>
      </c>
      <c r="F1158" t="s">
        <v>995</v>
      </c>
      <c r="G1158" t="s">
        <v>643</v>
      </c>
      <c r="H1158">
        <v>35</v>
      </c>
      <c r="I1158" t="s">
        <v>644</v>
      </c>
      <c r="J1158">
        <v>2800</v>
      </c>
      <c r="K1158" s="1">
        <v>44715</v>
      </c>
      <c r="L1158">
        <v>2022</v>
      </c>
      <c r="M1158" t="str">
        <f>UPPER(TEXT(_2020_2022[[#This Row],[Data da Venda]],"mmm"))</f>
        <v>JUN</v>
      </c>
    </row>
    <row r="1159" spans="1:13" x14ac:dyDescent="0.25">
      <c r="A1159" t="s">
        <v>15</v>
      </c>
      <c r="B1159">
        <v>1900</v>
      </c>
      <c r="C1159">
        <v>1</v>
      </c>
      <c r="D1159" t="s">
        <v>40</v>
      </c>
      <c r="E1159" t="s">
        <v>657</v>
      </c>
      <c r="F1159" t="s">
        <v>1037</v>
      </c>
      <c r="G1159" t="s">
        <v>650</v>
      </c>
      <c r="H1159">
        <v>36</v>
      </c>
      <c r="I1159" t="s">
        <v>644</v>
      </c>
      <c r="J1159">
        <v>1900</v>
      </c>
      <c r="K1159" s="1">
        <v>44834</v>
      </c>
      <c r="L1159">
        <v>2022</v>
      </c>
      <c r="M1159" t="str">
        <f>UPPER(TEXT(_2020_2022[[#This Row],[Data da Venda]],"mmm"))</f>
        <v>SET</v>
      </c>
    </row>
    <row r="1160" spans="1:13" x14ac:dyDescent="0.25">
      <c r="A1160" t="s">
        <v>1444</v>
      </c>
      <c r="B1160">
        <v>1500</v>
      </c>
      <c r="C1160">
        <v>1</v>
      </c>
      <c r="D1160" t="s">
        <v>37</v>
      </c>
      <c r="E1160" t="s">
        <v>645</v>
      </c>
      <c r="F1160" t="s">
        <v>968</v>
      </c>
      <c r="G1160" t="s">
        <v>650</v>
      </c>
      <c r="H1160">
        <v>25</v>
      </c>
      <c r="I1160" t="s">
        <v>651</v>
      </c>
      <c r="J1160">
        <v>1500</v>
      </c>
      <c r="K1160" s="1">
        <v>44665</v>
      </c>
      <c r="L1160">
        <v>2022</v>
      </c>
      <c r="M1160" t="str">
        <f>UPPER(TEXT(_2020_2022[[#This Row],[Data da Venda]],"mmm"))</f>
        <v>ABR</v>
      </c>
    </row>
    <row r="1161" spans="1:13" x14ac:dyDescent="0.25">
      <c r="A1161" t="s">
        <v>1443</v>
      </c>
      <c r="B1161">
        <v>1550</v>
      </c>
      <c r="C1161">
        <v>4</v>
      </c>
      <c r="D1161" t="s">
        <v>32</v>
      </c>
      <c r="E1161" t="s">
        <v>652</v>
      </c>
      <c r="F1161" t="s">
        <v>698</v>
      </c>
      <c r="G1161" t="s">
        <v>650</v>
      </c>
      <c r="H1161">
        <v>45</v>
      </c>
      <c r="I1161" t="s">
        <v>644</v>
      </c>
      <c r="J1161">
        <v>6200</v>
      </c>
      <c r="K1161" s="1">
        <v>44622</v>
      </c>
      <c r="L1161">
        <v>2022</v>
      </c>
      <c r="M1161" t="str">
        <f>UPPER(TEXT(_2020_2022[[#This Row],[Data da Venda]],"mmm"))</f>
        <v>MAR</v>
      </c>
    </row>
    <row r="1162" spans="1:13" x14ac:dyDescent="0.25">
      <c r="A1162" t="s">
        <v>8</v>
      </c>
      <c r="B1162">
        <v>5500</v>
      </c>
      <c r="C1162">
        <v>1</v>
      </c>
      <c r="D1162" t="s">
        <v>36</v>
      </c>
      <c r="E1162" t="s">
        <v>677</v>
      </c>
      <c r="F1162" t="s">
        <v>733</v>
      </c>
      <c r="G1162" t="s">
        <v>643</v>
      </c>
      <c r="H1162">
        <v>75</v>
      </c>
      <c r="I1162" t="s">
        <v>647</v>
      </c>
      <c r="J1162">
        <v>5500</v>
      </c>
      <c r="K1162" s="1">
        <v>44923</v>
      </c>
      <c r="L1162">
        <v>2022</v>
      </c>
      <c r="M1162" t="str">
        <f>UPPER(TEXT(_2020_2022[[#This Row],[Data da Venda]],"mmm"))</f>
        <v>DEZ</v>
      </c>
    </row>
    <row r="1163" spans="1:13" x14ac:dyDescent="0.25">
      <c r="A1163" t="s">
        <v>12</v>
      </c>
      <c r="B1163">
        <v>6500</v>
      </c>
      <c r="C1163">
        <v>3</v>
      </c>
      <c r="D1163" t="s">
        <v>40</v>
      </c>
      <c r="E1163" t="s">
        <v>657</v>
      </c>
      <c r="F1163" t="s">
        <v>1248</v>
      </c>
      <c r="G1163" t="s">
        <v>650</v>
      </c>
      <c r="H1163">
        <v>40</v>
      </c>
      <c r="I1163" t="s">
        <v>644</v>
      </c>
      <c r="J1163">
        <v>19500</v>
      </c>
      <c r="K1163" s="1">
        <v>44672</v>
      </c>
      <c r="L1163">
        <v>2022</v>
      </c>
      <c r="M1163" t="str">
        <f>UPPER(TEXT(_2020_2022[[#This Row],[Data da Venda]],"mmm"))</f>
        <v>ABR</v>
      </c>
    </row>
    <row r="1164" spans="1:13" x14ac:dyDescent="0.25">
      <c r="A1164" t="s">
        <v>18</v>
      </c>
      <c r="B1164">
        <v>3000</v>
      </c>
      <c r="C1164">
        <v>1</v>
      </c>
      <c r="D1164" t="s">
        <v>34</v>
      </c>
      <c r="E1164" t="s">
        <v>679</v>
      </c>
      <c r="F1164" t="s">
        <v>1244</v>
      </c>
      <c r="G1164" t="s">
        <v>643</v>
      </c>
      <c r="H1164">
        <v>48</v>
      </c>
      <c r="I1164" t="s">
        <v>644</v>
      </c>
      <c r="J1164">
        <v>3000</v>
      </c>
      <c r="K1164" s="1">
        <v>44670</v>
      </c>
      <c r="L1164">
        <v>2022</v>
      </c>
      <c r="M1164" t="str">
        <f>UPPER(TEXT(_2020_2022[[#This Row],[Data da Venda]],"mmm"))</f>
        <v>ABR</v>
      </c>
    </row>
    <row r="1165" spans="1:13" x14ac:dyDescent="0.25">
      <c r="A1165" t="s">
        <v>13</v>
      </c>
      <c r="B1165">
        <v>2300</v>
      </c>
      <c r="C1165">
        <v>2</v>
      </c>
      <c r="D1165" t="s">
        <v>31</v>
      </c>
      <c r="E1165" t="s">
        <v>645</v>
      </c>
      <c r="F1165" t="s">
        <v>1249</v>
      </c>
      <c r="G1165" t="s">
        <v>650</v>
      </c>
      <c r="H1165">
        <v>50</v>
      </c>
      <c r="I1165" t="s">
        <v>644</v>
      </c>
      <c r="J1165">
        <v>4600</v>
      </c>
      <c r="K1165" s="1">
        <v>44810</v>
      </c>
      <c r="L1165">
        <v>2022</v>
      </c>
      <c r="M1165" t="str">
        <f>UPPER(TEXT(_2020_2022[[#This Row],[Data da Venda]],"mmm"))</f>
        <v>SET</v>
      </c>
    </row>
    <row r="1166" spans="1:13" x14ac:dyDescent="0.25">
      <c r="A1166" t="s">
        <v>16</v>
      </c>
      <c r="B1166">
        <v>1400</v>
      </c>
      <c r="C1166">
        <v>4</v>
      </c>
      <c r="D1166" t="s">
        <v>29</v>
      </c>
      <c r="E1166" t="s">
        <v>641</v>
      </c>
      <c r="F1166" t="s">
        <v>957</v>
      </c>
      <c r="G1166" t="s">
        <v>643</v>
      </c>
      <c r="H1166">
        <v>38</v>
      </c>
      <c r="I1166" t="s">
        <v>644</v>
      </c>
      <c r="J1166">
        <v>5600</v>
      </c>
      <c r="K1166" s="1">
        <v>44778</v>
      </c>
      <c r="L1166">
        <v>2022</v>
      </c>
      <c r="M1166" t="str">
        <f>UPPER(TEXT(_2020_2022[[#This Row],[Data da Venda]],"mmm"))</f>
        <v>AGO</v>
      </c>
    </row>
    <row r="1167" spans="1:13" x14ac:dyDescent="0.25">
      <c r="A1167" t="s">
        <v>12</v>
      </c>
      <c r="B1167">
        <v>6500</v>
      </c>
      <c r="C1167">
        <v>2</v>
      </c>
      <c r="D1167" t="s">
        <v>33</v>
      </c>
      <c r="E1167" t="s">
        <v>641</v>
      </c>
      <c r="F1167" t="s">
        <v>723</v>
      </c>
      <c r="G1167" t="s">
        <v>643</v>
      </c>
      <c r="H1167">
        <v>41</v>
      </c>
      <c r="I1167" t="s">
        <v>644</v>
      </c>
      <c r="J1167">
        <v>13000</v>
      </c>
      <c r="K1167" s="1">
        <v>44892</v>
      </c>
      <c r="L1167">
        <v>2022</v>
      </c>
      <c r="M1167" t="str">
        <f>UPPER(TEXT(_2020_2022[[#This Row],[Data da Venda]],"mmm"))</f>
        <v>NOV</v>
      </c>
    </row>
    <row r="1168" spans="1:13" x14ac:dyDescent="0.25">
      <c r="A1168" t="s">
        <v>11</v>
      </c>
      <c r="B1168">
        <v>4500</v>
      </c>
      <c r="C1168">
        <v>1</v>
      </c>
      <c r="D1168" t="s">
        <v>29</v>
      </c>
      <c r="E1168" t="s">
        <v>641</v>
      </c>
      <c r="F1168" t="s">
        <v>843</v>
      </c>
      <c r="G1168" t="s">
        <v>650</v>
      </c>
      <c r="H1168">
        <v>73</v>
      </c>
      <c r="I1168" t="s">
        <v>647</v>
      </c>
      <c r="J1168">
        <v>4500</v>
      </c>
      <c r="K1168" s="1">
        <v>44607</v>
      </c>
      <c r="L1168">
        <v>2022</v>
      </c>
      <c r="M1168" t="str">
        <f>UPPER(TEXT(_2020_2022[[#This Row],[Data da Venda]],"mmm"))</f>
        <v>FEV</v>
      </c>
    </row>
    <row r="1169" spans="1:13" x14ac:dyDescent="0.25">
      <c r="A1169" t="s">
        <v>12</v>
      </c>
      <c r="B1169">
        <v>6500</v>
      </c>
      <c r="C1169">
        <v>3</v>
      </c>
      <c r="D1169" t="s">
        <v>33</v>
      </c>
      <c r="E1169" t="s">
        <v>641</v>
      </c>
      <c r="F1169" t="s">
        <v>1089</v>
      </c>
      <c r="G1169" t="s">
        <v>643</v>
      </c>
      <c r="H1169">
        <v>69</v>
      </c>
      <c r="I1169" t="s">
        <v>647</v>
      </c>
      <c r="J1169">
        <v>19500</v>
      </c>
      <c r="K1169" s="1">
        <v>44791</v>
      </c>
      <c r="L1169">
        <v>2022</v>
      </c>
      <c r="M1169" t="str">
        <f>UPPER(TEXT(_2020_2022[[#This Row],[Data da Venda]],"mmm"))</f>
        <v>AGO</v>
      </c>
    </row>
    <row r="1170" spans="1:13" x14ac:dyDescent="0.25">
      <c r="A1170" t="s">
        <v>7</v>
      </c>
      <c r="B1170">
        <v>750</v>
      </c>
      <c r="C1170">
        <v>1</v>
      </c>
      <c r="D1170" t="s">
        <v>31</v>
      </c>
      <c r="E1170" t="s">
        <v>645</v>
      </c>
      <c r="F1170" t="s">
        <v>1184</v>
      </c>
      <c r="G1170" t="s">
        <v>643</v>
      </c>
      <c r="H1170">
        <v>66</v>
      </c>
      <c r="I1170" t="s">
        <v>647</v>
      </c>
      <c r="J1170">
        <v>750</v>
      </c>
      <c r="K1170" s="1">
        <v>44740</v>
      </c>
      <c r="L1170">
        <v>2022</v>
      </c>
      <c r="M1170" t="str">
        <f>UPPER(TEXT(_2020_2022[[#This Row],[Data da Venda]],"mmm"))</f>
        <v>JUN</v>
      </c>
    </row>
    <row r="1171" spans="1:13" x14ac:dyDescent="0.25">
      <c r="A1171" t="s">
        <v>1445</v>
      </c>
      <c r="B1171">
        <v>1500</v>
      </c>
      <c r="C1171">
        <v>1</v>
      </c>
      <c r="D1171" t="s">
        <v>39</v>
      </c>
      <c r="E1171" t="s">
        <v>641</v>
      </c>
      <c r="F1171" t="s">
        <v>1050</v>
      </c>
      <c r="G1171" t="s">
        <v>643</v>
      </c>
      <c r="H1171">
        <v>40</v>
      </c>
      <c r="I1171" t="s">
        <v>644</v>
      </c>
      <c r="J1171">
        <v>1500</v>
      </c>
      <c r="K1171" s="1">
        <v>44674</v>
      </c>
      <c r="L1171">
        <v>2022</v>
      </c>
      <c r="M1171" t="str">
        <f>UPPER(TEXT(_2020_2022[[#This Row],[Data da Venda]],"mmm"))</f>
        <v>ABR</v>
      </c>
    </row>
    <row r="1172" spans="1:13" x14ac:dyDescent="0.25">
      <c r="A1172" t="s">
        <v>21</v>
      </c>
      <c r="B1172">
        <v>2400</v>
      </c>
      <c r="C1172">
        <v>3</v>
      </c>
      <c r="D1172" t="s">
        <v>29</v>
      </c>
      <c r="E1172" t="s">
        <v>641</v>
      </c>
      <c r="F1172" t="s">
        <v>711</v>
      </c>
      <c r="G1172" t="s">
        <v>650</v>
      </c>
      <c r="H1172">
        <v>55</v>
      </c>
      <c r="I1172" t="s">
        <v>647</v>
      </c>
      <c r="J1172">
        <v>7200</v>
      </c>
      <c r="K1172" s="1">
        <v>43951</v>
      </c>
      <c r="L1172">
        <v>2020</v>
      </c>
      <c r="M1172" t="str">
        <f>UPPER(TEXT(_2020_2022[[#This Row],[Data da Venda]],"mmm"))</f>
        <v>ABR</v>
      </c>
    </row>
    <row r="1173" spans="1:13" x14ac:dyDescent="0.25">
      <c r="A1173" t="s">
        <v>20</v>
      </c>
      <c r="B1173">
        <v>2600</v>
      </c>
      <c r="C1173">
        <v>4</v>
      </c>
      <c r="D1173" t="s">
        <v>31</v>
      </c>
      <c r="E1173" t="s">
        <v>645</v>
      </c>
      <c r="F1173" t="s">
        <v>1250</v>
      </c>
      <c r="G1173" t="s">
        <v>650</v>
      </c>
      <c r="H1173">
        <v>59</v>
      </c>
      <c r="I1173" t="s">
        <v>647</v>
      </c>
      <c r="J1173">
        <v>10400</v>
      </c>
      <c r="K1173" s="1">
        <v>43949</v>
      </c>
      <c r="L1173">
        <v>2020</v>
      </c>
      <c r="M1173" t="str">
        <f>UPPER(TEXT(_2020_2022[[#This Row],[Data da Venda]],"mmm"))</f>
        <v>ABR</v>
      </c>
    </row>
    <row r="1174" spans="1:13" x14ac:dyDescent="0.25">
      <c r="A1174" t="s">
        <v>13</v>
      </c>
      <c r="B1174">
        <v>2300</v>
      </c>
      <c r="C1174">
        <v>2</v>
      </c>
      <c r="D1174" t="s">
        <v>35</v>
      </c>
      <c r="E1174" t="s">
        <v>666</v>
      </c>
      <c r="F1174" t="s">
        <v>999</v>
      </c>
      <c r="G1174" t="s">
        <v>643</v>
      </c>
      <c r="H1174">
        <v>70</v>
      </c>
      <c r="I1174" t="s">
        <v>647</v>
      </c>
      <c r="J1174">
        <v>4600</v>
      </c>
      <c r="K1174" s="1">
        <v>44191</v>
      </c>
      <c r="L1174">
        <v>2020</v>
      </c>
      <c r="M1174" t="str">
        <f>UPPER(TEXT(_2020_2022[[#This Row],[Data da Venda]],"mmm"))</f>
        <v>DEZ</v>
      </c>
    </row>
    <row r="1175" spans="1:13" x14ac:dyDescent="0.25">
      <c r="A1175" t="s">
        <v>18</v>
      </c>
      <c r="B1175">
        <v>3000</v>
      </c>
      <c r="C1175">
        <v>5</v>
      </c>
      <c r="D1175" t="s">
        <v>40</v>
      </c>
      <c r="E1175" t="s">
        <v>657</v>
      </c>
      <c r="F1175" t="s">
        <v>1230</v>
      </c>
      <c r="G1175" t="s">
        <v>643</v>
      </c>
      <c r="H1175">
        <v>37</v>
      </c>
      <c r="I1175" t="s">
        <v>644</v>
      </c>
      <c r="J1175">
        <v>15000</v>
      </c>
      <c r="K1175" s="1">
        <v>44195</v>
      </c>
      <c r="L1175">
        <v>2020</v>
      </c>
      <c r="M1175" t="str">
        <f>UPPER(TEXT(_2020_2022[[#This Row],[Data da Venda]],"mmm"))</f>
        <v>DEZ</v>
      </c>
    </row>
    <row r="1176" spans="1:13" x14ac:dyDescent="0.25">
      <c r="A1176" t="s">
        <v>18</v>
      </c>
      <c r="B1176">
        <v>3000</v>
      </c>
      <c r="C1176">
        <v>4</v>
      </c>
      <c r="D1176" t="s">
        <v>30</v>
      </c>
      <c r="E1176" t="s">
        <v>645</v>
      </c>
      <c r="F1176" t="s">
        <v>1251</v>
      </c>
      <c r="G1176" t="s">
        <v>643</v>
      </c>
      <c r="H1176">
        <v>70</v>
      </c>
      <c r="I1176" t="s">
        <v>647</v>
      </c>
      <c r="J1176">
        <v>12000</v>
      </c>
      <c r="K1176" s="1">
        <v>43938</v>
      </c>
      <c r="L1176">
        <v>2020</v>
      </c>
      <c r="M1176" t="str">
        <f>UPPER(TEXT(_2020_2022[[#This Row],[Data da Venda]],"mmm"))</f>
        <v>ABR</v>
      </c>
    </row>
    <row r="1177" spans="1:13" x14ac:dyDescent="0.25">
      <c r="A1177" t="s">
        <v>13</v>
      </c>
      <c r="B1177">
        <v>2300</v>
      </c>
      <c r="C1177">
        <v>2</v>
      </c>
      <c r="D1177" t="s">
        <v>37</v>
      </c>
      <c r="E1177" t="s">
        <v>645</v>
      </c>
      <c r="F1177" t="s">
        <v>1043</v>
      </c>
      <c r="G1177" t="s">
        <v>650</v>
      </c>
      <c r="H1177">
        <v>43</v>
      </c>
      <c r="I1177" t="s">
        <v>644</v>
      </c>
      <c r="J1177">
        <v>4600</v>
      </c>
      <c r="K1177" s="1">
        <v>43882</v>
      </c>
      <c r="L1177">
        <v>2020</v>
      </c>
      <c r="M1177" t="str">
        <f>UPPER(TEXT(_2020_2022[[#This Row],[Data da Venda]],"mmm"))</f>
        <v>FEV</v>
      </c>
    </row>
    <row r="1178" spans="1:13" x14ac:dyDescent="0.25">
      <c r="A1178" t="s">
        <v>25</v>
      </c>
      <c r="B1178">
        <v>2500</v>
      </c>
      <c r="C1178">
        <v>1</v>
      </c>
      <c r="D1178" t="s">
        <v>31</v>
      </c>
      <c r="E1178" t="s">
        <v>645</v>
      </c>
      <c r="F1178" t="s">
        <v>1252</v>
      </c>
      <c r="G1178" t="s">
        <v>650</v>
      </c>
      <c r="H1178">
        <v>33</v>
      </c>
      <c r="I1178" t="s">
        <v>644</v>
      </c>
      <c r="J1178">
        <v>2500</v>
      </c>
      <c r="K1178" s="1">
        <v>43836</v>
      </c>
      <c r="L1178">
        <v>2020</v>
      </c>
      <c r="M1178" t="str">
        <f>UPPER(TEXT(_2020_2022[[#This Row],[Data da Venda]],"mmm"))</f>
        <v>JAN</v>
      </c>
    </row>
    <row r="1179" spans="1:13" x14ac:dyDescent="0.25">
      <c r="A1179" t="s">
        <v>25</v>
      </c>
      <c r="B1179">
        <v>2500</v>
      </c>
      <c r="C1179">
        <v>1</v>
      </c>
      <c r="D1179" t="s">
        <v>36</v>
      </c>
      <c r="E1179" t="s">
        <v>677</v>
      </c>
      <c r="F1179" t="s">
        <v>933</v>
      </c>
      <c r="G1179" t="s">
        <v>650</v>
      </c>
      <c r="H1179">
        <v>74</v>
      </c>
      <c r="I1179" t="s">
        <v>647</v>
      </c>
      <c r="J1179">
        <v>2500</v>
      </c>
      <c r="K1179" s="1">
        <v>44007</v>
      </c>
      <c r="L1179">
        <v>2020</v>
      </c>
      <c r="M1179" t="str">
        <f>UPPER(TEXT(_2020_2022[[#This Row],[Data da Venda]],"mmm"))</f>
        <v>JUN</v>
      </c>
    </row>
    <row r="1180" spans="1:13" x14ac:dyDescent="0.25">
      <c r="A1180" t="s">
        <v>1441</v>
      </c>
      <c r="B1180">
        <v>1450</v>
      </c>
      <c r="C1180">
        <v>3</v>
      </c>
      <c r="D1180" t="s">
        <v>29</v>
      </c>
      <c r="E1180" t="s">
        <v>641</v>
      </c>
      <c r="F1180" t="s">
        <v>663</v>
      </c>
      <c r="G1180" t="s">
        <v>650</v>
      </c>
      <c r="H1180">
        <v>60</v>
      </c>
      <c r="I1180" t="s">
        <v>647</v>
      </c>
      <c r="J1180">
        <v>4350</v>
      </c>
      <c r="K1180" s="1">
        <v>44096</v>
      </c>
      <c r="L1180">
        <v>2020</v>
      </c>
      <c r="M1180" t="str">
        <f>UPPER(TEXT(_2020_2022[[#This Row],[Data da Venda]],"mmm"))</f>
        <v>SET</v>
      </c>
    </row>
    <row r="1181" spans="1:13" x14ac:dyDescent="0.25">
      <c r="A1181" t="s">
        <v>5</v>
      </c>
      <c r="B1181">
        <v>1750</v>
      </c>
      <c r="C1181">
        <v>1</v>
      </c>
      <c r="D1181" t="s">
        <v>38</v>
      </c>
      <c r="E1181" t="s">
        <v>648</v>
      </c>
      <c r="F1181" t="s">
        <v>845</v>
      </c>
      <c r="G1181" t="s">
        <v>643</v>
      </c>
      <c r="H1181">
        <v>75</v>
      </c>
      <c r="I1181" t="s">
        <v>647</v>
      </c>
      <c r="J1181">
        <v>1750</v>
      </c>
      <c r="K1181" s="1">
        <v>44163</v>
      </c>
      <c r="L1181">
        <v>2020</v>
      </c>
      <c r="M1181" t="str">
        <f>UPPER(TEXT(_2020_2022[[#This Row],[Data da Venda]],"mmm"))</f>
        <v>NOV</v>
      </c>
    </row>
    <row r="1182" spans="1:13" x14ac:dyDescent="0.25">
      <c r="A1182" t="s">
        <v>21</v>
      </c>
      <c r="B1182">
        <v>2400</v>
      </c>
      <c r="C1182">
        <v>4</v>
      </c>
      <c r="D1182" t="s">
        <v>34</v>
      </c>
      <c r="E1182" t="s">
        <v>679</v>
      </c>
      <c r="F1182" t="s">
        <v>1096</v>
      </c>
      <c r="G1182" t="s">
        <v>643</v>
      </c>
      <c r="H1182">
        <v>26</v>
      </c>
      <c r="I1182" t="s">
        <v>651</v>
      </c>
      <c r="J1182">
        <v>9600</v>
      </c>
      <c r="K1182" s="1">
        <v>44169</v>
      </c>
      <c r="L1182">
        <v>2020</v>
      </c>
      <c r="M1182" t="str">
        <f>UPPER(TEXT(_2020_2022[[#This Row],[Data da Venda]],"mmm"))</f>
        <v>DEZ</v>
      </c>
    </row>
    <row r="1183" spans="1:13" x14ac:dyDescent="0.25">
      <c r="A1183" t="s">
        <v>28</v>
      </c>
      <c r="B1183">
        <v>1400</v>
      </c>
      <c r="C1183">
        <v>3</v>
      </c>
      <c r="D1183" t="s">
        <v>30</v>
      </c>
      <c r="E1183" t="s">
        <v>645</v>
      </c>
      <c r="F1183" t="s">
        <v>1082</v>
      </c>
      <c r="G1183" t="s">
        <v>650</v>
      </c>
      <c r="H1183">
        <v>53</v>
      </c>
      <c r="I1183" t="s">
        <v>647</v>
      </c>
      <c r="J1183">
        <v>4200</v>
      </c>
      <c r="K1183" s="1">
        <v>43878</v>
      </c>
      <c r="L1183">
        <v>2020</v>
      </c>
      <c r="M1183" t="str">
        <f>UPPER(TEXT(_2020_2022[[#This Row],[Data da Venda]],"mmm"))</f>
        <v>FEV</v>
      </c>
    </row>
    <row r="1184" spans="1:13" x14ac:dyDescent="0.25">
      <c r="A1184" t="s">
        <v>14</v>
      </c>
      <c r="B1184">
        <v>2000</v>
      </c>
      <c r="C1184">
        <v>5</v>
      </c>
      <c r="D1184" t="s">
        <v>33</v>
      </c>
      <c r="E1184" t="s">
        <v>641</v>
      </c>
      <c r="F1184" t="s">
        <v>793</v>
      </c>
      <c r="G1184" t="s">
        <v>643</v>
      </c>
      <c r="H1184">
        <v>25</v>
      </c>
      <c r="I1184" t="s">
        <v>651</v>
      </c>
      <c r="J1184">
        <v>10000</v>
      </c>
      <c r="K1184" s="1">
        <v>44162</v>
      </c>
      <c r="L1184">
        <v>2020</v>
      </c>
      <c r="M1184" t="str">
        <f>UPPER(TEXT(_2020_2022[[#This Row],[Data da Venda]],"mmm"))</f>
        <v>NOV</v>
      </c>
    </row>
    <row r="1185" spans="1:13" x14ac:dyDescent="0.25">
      <c r="A1185" t="s">
        <v>9</v>
      </c>
      <c r="B1185">
        <v>1500</v>
      </c>
      <c r="C1185">
        <v>5</v>
      </c>
      <c r="D1185" t="s">
        <v>33</v>
      </c>
      <c r="E1185" t="s">
        <v>641</v>
      </c>
      <c r="F1185" t="s">
        <v>783</v>
      </c>
      <c r="G1185" t="s">
        <v>650</v>
      </c>
      <c r="H1185">
        <v>66</v>
      </c>
      <c r="I1185" t="s">
        <v>647</v>
      </c>
      <c r="J1185">
        <v>7500</v>
      </c>
      <c r="K1185" s="1">
        <v>44002</v>
      </c>
      <c r="L1185">
        <v>2020</v>
      </c>
      <c r="M1185" t="str">
        <f>UPPER(TEXT(_2020_2022[[#This Row],[Data da Venda]],"mmm"))</f>
        <v>JUN</v>
      </c>
    </row>
    <row r="1186" spans="1:13" x14ac:dyDescent="0.25">
      <c r="A1186" t="s">
        <v>26</v>
      </c>
      <c r="B1186">
        <v>1100</v>
      </c>
      <c r="C1186">
        <v>2</v>
      </c>
      <c r="D1186" t="s">
        <v>36</v>
      </c>
      <c r="E1186" t="s">
        <v>677</v>
      </c>
      <c r="F1186" t="s">
        <v>1105</v>
      </c>
      <c r="G1186" t="s">
        <v>650</v>
      </c>
      <c r="H1186">
        <v>31</v>
      </c>
      <c r="I1186" t="s">
        <v>644</v>
      </c>
      <c r="J1186">
        <v>2200</v>
      </c>
      <c r="K1186" s="1">
        <v>44172</v>
      </c>
      <c r="L1186">
        <v>2020</v>
      </c>
      <c r="M1186" t="str">
        <f>UPPER(TEXT(_2020_2022[[#This Row],[Data da Venda]],"mmm"))</f>
        <v>DEZ</v>
      </c>
    </row>
    <row r="1187" spans="1:13" x14ac:dyDescent="0.25">
      <c r="A1187" t="s">
        <v>15</v>
      </c>
      <c r="B1187">
        <v>1900</v>
      </c>
      <c r="C1187">
        <v>5</v>
      </c>
      <c r="D1187" t="s">
        <v>36</v>
      </c>
      <c r="E1187" t="s">
        <v>677</v>
      </c>
      <c r="F1187" t="s">
        <v>1253</v>
      </c>
      <c r="G1187" t="s">
        <v>650</v>
      </c>
      <c r="H1187">
        <v>54</v>
      </c>
      <c r="I1187" t="s">
        <v>647</v>
      </c>
      <c r="J1187">
        <v>9500</v>
      </c>
      <c r="K1187" s="1">
        <v>43881</v>
      </c>
      <c r="L1187">
        <v>2020</v>
      </c>
      <c r="M1187" t="str">
        <f>UPPER(TEXT(_2020_2022[[#This Row],[Data da Venda]],"mmm"))</f>
        <v>FEV</v>
      </c>
    </row>
    <row r="1188" spans="1:13" x14ac:dyDescent="0.25">
      <c r="A1188" t="s">
        <v>26</v>
      </c>
      <c r="B1188">
        <v>1100</v>
      </c>
      <c r="C1188">
        <v>4</v>
      </c>
      <c r="D1188" t="s">
        <v>30</v>
      </c>
      <c r="E1188" t="s">
        <v>645</v>
      </c>
      <c r="F1188" t="s">
        <v>710</v>
      </c>
      <c r="G1188" t="s">
        <v>643</v>
      </c>
      <c r="H1188">
        <v>41</v>
      </c>
      <c r="I1188" t="s">
        <v>644</v>
      </c>
      <c r="J1188">
        <v>4400</v>
      </c>
      <c r="K1188" s="1">
        <v>44013</v>
      </c>
      <c r="L1188">
        <v>2020</v>
      </c>
      <c r="M1188" t="str">
        <f>UPPER(TEXT(_2020_2022[[#This Row],[Data da Venda]],"mmm"))</f>
        <v>JUL</v>
      </c>
    </row>
    <row r="1189" spans="1:13" x14ac:dyDescent="0.25">
      <c r="A1189" t="s">
        <v>26</v>
      </c>
      <c r="B1189">
        <v>1100</v>
      </c>
      <c r="C1189">
        <v>2</v>
      </c>
      <c r="D1189" t="s">
        <v>29</v>
      </c>
      <c r="E1189" t="s">
        <v>641</v>
      </c>
      <c r="F1189" t="s">
        <v>1215</v>
      </c>
      <c r="G1189" t="s">
        <v>643</v>
      </c>
      <c r="H1189">
        <v>60</v>
      </c>
      <c r="I1189" t="s">
        <v>647</v>
      </c>
      <c r="J1189">
        <v>2200</v>
      </c>
      <c r="K1189" s="1">
        <v>44020</v>
      </c>
      <c r="L1189">
        <v>2020</v>
      </c>
      <c r="M1189" t="str">
        <f>UPPER(TEXT(_2020_2022[[#This Row],[Data da Venda]],"mmm"))</f>
        <v>JUL</v>
      </c>
    </row>
    <row r="1190" spans="1:13" x14ac:dyDescent="0.25">
      <c r="A1190" t="s">
        <v>16</v>
      </c>
      <c r="B1190">
        <v>1400</v>
      </c>
      <c r="C1190">
        <v>3</v>
      </c>
      <c r="D1190" t="s">
        <v>38</v>
      </c>
      <c r="E1190" t="s">
        <v>648</v>
      </c>
      <c r="F1190" t="s">
        <v>1170</v>
      </c>
      <c r="G1190" t="s">
        <v>650</v>
      </c>
      <c r="H1190">
        <v>62</v>
      </c>
      <c r="I1190" t="s">
        <v>647</v>
      </c>
      <c r="J1190">
        <v>4200</v>
      </c>
      <c r="K1190" s="1">
        <v>43938</v>
      </c>
      <c r="L1190">
        <v>2020</v>
      </c>
      <c r="M1190" t="str">
        <f>UPPER(TEXT(_2020_2022[[#This Row],[Data da Venda]],"mmm"))</f>
        <v>ABR</v>
      </c>
    </row>
    <row r="1191" spans="1:13" x14ac:dyDescent="0.25">
      <c r="A1191" t="s">
        <v>5</v>
      </c>
      <c r="B1191">
        <v>1750</v>
      </c>
      <c r="C1191">
        <v>5</v>
      </c>
      <c r="D1191" t="s">
        <v>41</v>
      </c>
      <c r="E1191" t="s">
        <v>681</v>
      </c>
      <c r="F1191" t="s">
        <v>1254</v>
      </c>
      <c r="G1191" t="s">
        <v>643</v>
      </c>
      <c r="H1191">
        <v>38</v>
      </c>
      <c r="I1191" t="s">
        <v>644</v>
      </c>
      <c r="J1191">
        <v>8750</v>
      </c>
      <c r="K1191" s="1">
        <v>44042</v>
      </c>
      <c r="L1191">
        <v>2020</v>
      </c>
      <c r="M1191" t="str">
        <f>UPPER(TEXT(_2020_2022[[#This Row],[Data da Venda]],"mmm"))</f>
        <v>JUL</v>
      </c>
    </row>
    <row r="1192" spans="1:13" x14ac:dyDescent="0.25">
      <c r="A1192" t="s">
        <v>11</v>
      </c>
      <c r="B1192">
        <v>4500</v>
      </c>
      <c r="C1192">
        <v>2</v>
      </c>
      <c r="D1192" t="s">
        <v>40</v>
      </c>
      <c r="E1192" t="s">
        <v>657</v>
      </c>
      <c r="F1192" t="s">
        <v>784</v>
      </c>
      <c r="G1192" t="s">
        <v>650</v>
      </c>
      <c r="H1192">
        <v>41</v>
      </c>
      <c r="I1192" t="s">
        <v>644</v>
      </c>
      <c r="J1192">
        <v>9000</v>
      </c>
      <c r="K1192" s="1">
        <v>43958</v>
      </c>
      <c r="L1192">
        <v>2020</v>
      </c>
      <c r="M1192" t="str">
        <f>UPPER(TEXT(_2020_2022[[#This Row],[Data da Venda]],"mmm"))</f>
        <v>MAI</v>
      </c>
    </row>
    <row r="1193" spans="1:13" x14ac:dyDescent="0.25">
      <c r="A1193" t="s">
        <v>1440</v>
      </c>
      <c r="B1193">
        <v>700</v>
      </c>
      <c r="C1193">
        <v>4</v>
      </c>
      <c r="D1193" t="s">
        <v>32</v>
      </c>
      <c r="E1193" t="s">
        <v>652</v>
      </c>
      <c r="F1193" t="s">
        <v>698</v>
      </c>
      <c r="G1193" t="s">
        <v>650</v>
      </c>
      <c r="H1193">
        <v>45</v>
      </c>
      <c r="I1193" t="s">
        <v>644</v>
      </c>
      <c r="J1193">
        <v>2800</v>
      </c>
      <c r="K1193" s="1">
        <v>43866</v>
      </c>
      <c r="L1193">
        <v>2020</v>
      </c>
      <c r="M1193" t="str">
        <f>UPPER(TEXT(_2020_2022[[#This Row],[Data da Venda]],"mmm"))</f>
        <v>FEV</v>
      </c>
    </row>
    <row r="1194" spans="1:13" x14ac:dyDescent="0.25">
      <c r="A1194" t="s">
        <v>12</v>
      </c>
      <c r="B1194">
        <v>6500</v>
      </c>
      <c r="C1194">
        <v>3</v>
      </c>
      <c r="D1194" t="s">
        <v>30</v>
      </c>
      <c r="E1194" t="s">
        <v>645</v>
      </c>
      <c r="F1194" t="s">
        <v>1111</v>
      </c>
      <c r="G1194" t="s">
        <v>643</v>
      </c>
      <c r="H1194">
        <v>70</v>
      </c>
      <c r="I1194" t="s">
        <v>647</v>
      </c>
      <c r="J1194">
        <v>19500</v>
      </c>
      <c r="K1194" s="1">
        <v>43924</v>
      </c>
      <c r="L1194">
        <v>2020</v>
      </c>
      <c r="M1194" t="str">
        <f>UPPER(TEXT(_2020_2022[[#This Row],[Data da Venda]],"mmm"))</f>
        <v>ABR</v>
      </c>
    </row>
    <row r="1195" spans="1:13" x14ac:dyDescent="0.25">
      <c r="A1195" t="s">
        <v>7</v>
      </c>
      <c r="B1195">
        <v>750</v>
      </c>
      <c r="C1195">
        <v>1</v>
      </c>
      <c r="D1195" t="s">
        <v>41</v>
      </c>
      <c r="E1195" t="s">
        <v>681</v>
      </c>
      <c r="F1195" t="s">
        <v>839</v>
      </c>
      <c r="G1195" t="s">
        <v>643</v>
      </c>
      <c r="H1195">
        <v>66</v>
      </c>
      <c r="I1195" t="s">
        <v>647</v>
      </c>
      <c r="J1195">
        <v>750</v>
      </c>
      <c r="K1195" s="1">
        <v>43988</v>
      </c>
      <c r="L1195">
        <v>2020</v>
      </c>
      <c r="M1195" t="str">
        <f>UPPER(TEXT(_2020_2022[[#This Row],[Data da Venda]],"mmm"))</f>
        <v>JUN</v>
      </c>
    </row>
    <row r="1196" spans="1:13" x14ac:dyDescent="0.25">
      <c r="A1196" t="s">
        <v>11</v>
      </c>
      <c r="B1196">
        <v>4500</v>
      </c>
      <c r="C1196">
        <v>2</v>
      </c>
      <c r="D1196" t="s">
        <v>39</v>
      </c>
      <c r="E1196" t="s">
        <v>641</v>
      </c>
      <c r="F1196" t="s">
        <v>1255</v>
      </c>
      <c r="G1196" t="s">
        <v>650</v>
      </c>
      <c r="H1196">
        <v>28</v>
      </c>
      <c r="I1196" t="s">
        <v>651</v>
      </c>
      <c r="J1196">
        <v>9000</v>
      </c>
      <c r="K1196" s="1">
        <v>43971</v>
      </c>
      <c r="L1196">
        <v>2020</v>
      </c>
      <c r="M1196" t="str">
        <f>UPPER(TEXT(_2020_2022[[#This Row],[Data da Venda]],"mmm"))</f>
        <v>MAI</v>
      </c>
    </row>
    <row r="1197" spans="1:13" x14ac:dyDescent="0.25">
      <c r="A1197" t="s">
        <v>8</v>
      </c>
      <c r="B1197">
        <v>5500</v>
      </c>
      <c r="C1197">
        <v>3</v>
      </c>
      <c r="D1197" t="s">
        <v>31</v>
      </c>
      <c r="E1197" t="s">
        <v>645</v>
      </c>
      <c r="F1197" t="s">
        <v>980</v>
      </c>
      <c r="G1197" t="s">
        <v>643</v>
      </c>
      <c r="H1197">
        <v>47</v>
      </c>
      <c r="I1197" t="s">
        <v>644</v>
      </c>
      <c r="J1197">
        <v>16500</v>
      </c>
      <c r="K1197" s="1">
        <v>44063</v>
      </c>
      <c r="L1197">
        <v>2020</v>
      </c>
      <c r="M1197" t="str">
        <f>UPPER(TEXT(_2020_2022[[#This Row],[Data da Venda]],"mmm"))</f>
        <v>AGO</v>
      </c>
    </row>
    <row r="1198" spans="1:13" x14ac:dyDescent="0.25">
      <c r="A1198" t="s">
        <v>1445</v>
      </c>
      <c r="B1198">
        <v>1500</v>
      </c>
      <c r="C1198">
        <v>5</v>
      </c>
      <c r="D1198" t="s">
        <v>31</v>
      </c>
      <c r="E1198" t="s">
        <v>645</v>
      </c>
      <c r="F1198" t="s">
        <v>1011</v>
      </c>
      <c r="G1198" t="s">
        <v>650</v>
      </c>
      <c r="H1198">
        <v>30</v>
      </c>
      <c r="I1198" t="s">
        <v>644</v>
      </c>
      <c r="J1198">
        <v>7500</v>
      </c>
      <c r="K1198" s="1">
        <v>43997</v>
      </c>
      <c r="L1198">
        <v>2020</v>
      </c>
      <c r="M1198" t="str">
        <f>UPPER(TEXT(_2020_2022[[#This Row],[Data da Venda]],"mmm"))</f>
        <v>JUN</v>
      </c>
    </row>
    <row r="1199" spans="1:13" x14ac:dyDescent="0.25">
      <c r="A1199" t="s">
        <v>15</v>
      </c>
      <c r="B1199">
        <v>1900</v>
      </c>
      <c r="C1199">
        <v>1</v>
      </c>
      <c r="D1199" t="s">
        <v>38</v>
      </c>
      <c r="E1199" t="s">
        <v>648</v>
      </c>
      <c r="F1199" t="s">
        <v>659</v>
      </c>
      <c r="G1199" t="s">
        <v>643</v>
      </c>
      <c r="H1199">
        <v>50</v>
      </c>
      <c r="I1199" t="s">
        <v>644</v>
      </c>
      <c r="J1199">
        <v>1900</v>
      </c>
      <c r="K1199" s="1">
        <v>44011</v>
      </c>
      <c r="L1199">
        <v>2020</v>
      </c>
      <c r="M1199" t="str">
        <f>UPPER(TEXT(_2020_2022[[#This Row],[Data da Venda]],"mmm"))</f>
        <v>JUN</v>
      </c>
    </row>
    <row r="1200" spans="1:13" x14ac:dyDescent="0.25">
      <c r="A1200" t="s">
        <v>8</v>
      </c>
      <c r="B1200">
        <v>5500</v>
      </c>
      <c r="C1200">
        <v>3</v>
      </c>
      <c r="D1200" t="s">
        <v>31</v>
      </c>
      <c r="E1200" t="s">
        <v>645</v>
      </c>
      <c r="F1200" t="s">
        <v>1256</v>
      </c>
      <c r="G1200" t="s">
        <v>650</v>
      </c>
      <c r="H1200">
        <v>67</v>
      </c>
      <c r="I1200" t="s">
        <v>647</v>
      </c>
      <c r="J1200">
        <v>16500</v>
      </c>
      <c r="K1200" s="1">
        <v>44113</v>
      </c>
      <c r="L1200">
        <v>2020</v>
      </c>
      <c r="M1200" t="str">
        <f>UPPER(TEXT(_2020_2022[[#This Row],[Data da Venda]],"mmm"))</f>
        <v>OUT</v>
      </c>
    </row>
    <row r="1201" spans="1:13" x14ac:dyDescent="0.25">
      <c r="A1201" t="s">
        <v>11</v>
      </c>
      <c r="B1201">
        <v>4500</v>
      </c>
      <c r="C1201">
        <v>3</v>
      </c>
      <c r="D1201" t="s">
        <v>31</v>
      </c>
      <c r="E1201" t="s">
        <v>645</v>
      </c>
      <c r="F1201" t="s">
        <v>1257</v>
      </c>
      <c r="G1201" t="s">
        <v>650</v>
      </c>
      <c r="H1201">
        <v>33</v>
      </c>
      <c r="I1201" t="s">
        <v>644</v>
      </c>
      <c r="J1201">
        <v>13500</v>
      </c>
      <c r="K1201" s="1">
        <v>43988</v>
      </c>
      <c r="L1201">
        <v>2020</v>
      </c>
      <c r="M1201" t="str">
        <f>UPPER(TEXT(_2020_2022[[#This Row],[Data da Venda]],"mmm"))</f>
        <v>JUN</v>
      </c>
    </row>
    <row r="1202" spans="1:13" x14ac:dyDescent="0.25">
      <c r="A1202" t="s">
        <v>13</v>
      </c>
      <c r="B1202">
        <v>2300</v>
      </c>
      <c r="C1202">
        <v>4</v>
      </c>
      <c r="D1202" t="s">
        <v>30</v>
      </c>
      <c r="E1202" t="s">
        <v>645</v>
      </c>
      <c r="F1202" t="s">
        <v>660</v>
      </c>
      <c r="G1202" t="s">
        <v>643</v>
      </c>
      <c r="H1202">
        <v>56</v>
      </c>
      <c r="I1202" t="s">
        <v>647</v>
      </c>
      <c r="J1202">
        <v>9200</v>
      </c>
      <c r="K1202" s="1">
        <v>44012</v>
      </c>
      <c r="L1202">
        <v>2020</v>
      </c>
      <c r="M1202" t="str">
        <f>UPPER(TEXT(_2020_2022[[#This Row],[Data da Venda]],"mmm"))</f>
        <v>JUN</v>
      </c>
    </row>
    <row r="1203" spans="1:13" x14ac:dyDescent="0.25">
      <c r="A1203" t="s">
        <v>24</v>
      </c>
      <c r="B1203">
        <v>2000</v>
      </c>
      <c r="C1203">
        <v>4</v>
      </c>
      <c r="D1203" t="s">
        <v>36</v>
      </c>
      <c r="E1203" t="s">
        <v>677</v>
      </c>
      <c r="F1203" t="s">
        <v>763</v>
      </c>
      <c r="G1203" t="s">
        <v>643</v>
      </c>
      <c r="H1203">
        <v>33</v>
      </c>
      <c r="I1203" t="s">
        <v>644</v>
      </c>
      <c r="J1203">
        <v>8000</v>
      </c>
      <c r="K1203" s="1">
        <v>44174</v>
      </c>
      <c r="L1203">
        <v>2020</v>
      </c>
      <c r="M1203" t="str">
        <f>UPPER(TEXT(_2020_2022[[#This Row],[Data da Venda]],"mmm"))</f>
        <v>DEZ</v>
      </c>
    </row>
    <row r="1204" spans="1:13" x14ac:dyDescent="0.25">
      <c r="A1204" t="s">
        <v>7</v>
      </c>
      <c r="B1204">
        <v>750</v>
      </c>
      <c r="C1204">
        <v>3</v>
      </c>
      <c r="D1204" t="s">
        <v>29</v>
      </c>
      <c r="E1204" t="s">
        <v>641</v>
      </c>
      <c r="F1204" t="s">
        <v>969</v>
      </c>
      <c r="G1204" t="s">
        <v>650</v>
      </c>
      <c r="H1204">
        <v>34</v>
      </c>
      <c r="I1204" t="s">
        <v>644</v>
      </c>
      <c r="J1204">
        <v>2250</v>
      </c>
      <c r="K1204" s="1">
        <v>44093</v>
      </c>
      <c r="L1204">
        <v>2020</v>
      </c>
      <c r="M1204" t="str">
        <f>UPPER(TEXT(_2020_2022[[#This Row],[Data da Venda]],"mmm"))</f>
        <v>SET</v>
      </c>
    </row>
    <row r="1205" spans="1:13" x14ac:dyDescent="0.25">
      <c r="A1205" t="s">
        <v>24</v>
      </c>
      <c r="B1205">
        <v>2000</v>
      </c>
      <c r="C1205">
        <v>2</v>
      </c>
      <c r="D1205" t="s">
        <v>29</v>
      </c>
      <c r="E1205" t="s">
        <v>641</v>
      </c>
      <c r="F1205" t="s">
        <v>798</v>
      </c>
      <c r="G1205" t="s">
        <v>650</v>
      </c>
      <c r="H1205">
        <v>69</v>
      </c>
      <c r="I1205" t="s">
        <v>647</v>
      </c>
      <c r="J1205">
        <v>4000</v>
      </c>
      <c r="K1205" s="1">
        <v>44116</v>
      </c>
      <c r="L1205">
        <v>2020</v>
      </c>
      <c r="M1205" t="str">
        <f>UPPER(TEXT(_2020_2022[[#This Row],[Data da Venda]],"mmm"))</f>
        <v>OUT</v>
      </c>
    </row>
    <row r="1206" spans="1:13" x14ac:dyDescent="0.25">
      <c r="A1206" t="s">
        <v>1442</v>
      </c>
      <c r="B1206">
        <v>1200</v>
      </c>
      <c r="C1206">
        <v>1</v>
      </c>
      <c r="D1206" t="s">
        <v>37</v>
      </c>
      <c r="E1206" t="s">
        <v>645</v>
      </c>
      <c r="F1206" t="s">
        <v>1258</v>
      </c>
      <c r="G1206" t="s">
        <v>643</v>
      </c>
      <c r="H1206">
        <v>61</v>
      </c>
      <c r="I1206" t="s">
        <v>647</v>
      </c>
      <c r="J1206">
        <v>1200</v>
      </c>
      <c r="K1206" s="1">
        <v>44023</v>
      </c>
      <c r="L1206">
        <v>2020</v>
      </c>
      <c r="M1206" t="str">
        <f>UPPER(TEXT(_2020_2022[[#This Row],[Data da Venda]],"mmm"))</f>
        <v>JUL</v>
      </c>
    </row>
    <row r="1207" spans="1:13" x14ac:dyDescent="0.25">
      <c r="A1207" t="s">
        <v>13</v>
      </c>
      <c r="B1207">
        <v>2300</v>
      </c>
      <c r="C1207">
        <v>1</v>
      </c>
      <c r="D1207" t="s">
        <v>32</v>
      </c>
      <c r="E1207" t="s">
        <v>652</v>
      </c>
      <c r="F1207" t="s">
        <v>1259</v>
      </c>
      <c r="G1207" t="s">
        <v>643</v>
      </c>
      <c r="H1207">
        <v>69</v>
      </c>
      <c r="I1207" t="s">
        <v>647</v>
      </c>
      <c r="J1207">
        <v>2300</v>
      </c>
      <c r="K1207" s="1">
        <v>44087</v>
      </c>
      <c r="L1207">
        <v>2020</v>
      </c>
      <c r="M1207" t="str">
        <f>UPPER(TEXT(_2020_2022[[#This Row],[Data da Venda]],"mmm"))</f>
        <v>SET</v>
      </c>
    </row>
    <row r="1208" spans="1:13" x14ac:dyDescent="0.25">
      <c r="A1208" t="s">
        <v>22</v>
      </c>
      <c r="B1208">
        <v>5200</v>
      </c>
      <c r="C1208">
        <v>1</v>
      </c>
      <c r="D1208" t="s">
        <v>37</v>
      </c>
      <c r="E1208" t="s">
        <v>645</v>
      </c>
      <c r="F1208" t="s">
        <v>1086</v>
      </c>
      <c r="G1208" t="s">
        <v>643</v>
      </c>
      <c r="H1208">
        <v>70</v>
      </c>
      <c r="I1208" t="s">
        <v>647</v>
      </c>
      <c r="J1208">
        <v>5200</v>
      </c>
      <c r="K1208" s="1">
        <v>44096</v>
      </c>
      <c r="L1208">
        <v>2020</v>
      </c>
      <c r="M1208" t="str">
        <f>UPPER(TEXT(_2020_2022[[#This Row],[Data da Venda]],"mmm"))</f>
        <v>SET</v>
      </c>
    </row>
    <row r="1209" spans="1:13" x14ac:dyDescent="0.25">
      <c r="A1209" t="s">
        <v>1441</v>
      </c>
      <c r="B1209">
        <v>1450</v>
      </c>
      <c r="C1209">
        <v>1</v>
      </c>
      <c r="D1209" t="s">
        <v>29</v>
      </c>
      <c r="E1209" t="s">
        <v>641</v>
      </c>
      <c r="F1209" t="s">
        <v>1035</v>
      </c>
      <c r="G1209" t="s">
        <v>643</v>
      </c>
      <c r="H1209">
        <v>57</v>
      </c>
      <c r="I1209" t="s">
        <v>647</v>
      </c>
      <c r="J1209">
        <v>1450</v>
      </c>
      <c r="K1209" s="1">
        <v>44021</v>
      </c>
      <c r="L1209">
        <v>2020</v>
      </c>
      <c r="M1209" t="str">
        <f>UPPER(TEXT(_2020_2022[[#This Row],[Data da Venda]],"mmm"))</f>
        <v>JUL</v>
      </c>
    </row>
    <row r="1210" spans="1:13" x14ac:dyDescent="0.25">
      <c r="A1210" t="s">
        <v>1444</v>
      </c>
      <c r="B1210">
        <v>1500</v>
      </c>
      <c r="C1210">
        <v>3</v>
      </c>
      <c r="D1210" t="s">
        <v>38</v>
      </c>
      <c r="E1210" t="s">
        <v>648</v>
      </c>
      <c r="F1210" t="s">
        <v>1100</v>
      </c>
      <c r="G1210" t="s">
        <v>650</v>
      </c>
      <c r="H1210">
        <v>35</v>
      </c>
      <c r="I1210" t="s">
        <v>644</v>
      </c>
      <c r="J1210">
        <v>4500</v>
      </c>
      <c r="K1210" s="1">
        <v>43843</v>
      </c>
      <c r="L1210">
        <v>2020</v>
      </c>
      <c r="M1210" t="str">
        <f>UPPER(TEXT(_2020_2022[[#This Row],[Data da Venda]],"mmm"))</f>
        <v>JAN</v>
      </c>
    </row>
    <row r="1211" spans="1:13" x14ac:dyDescent="0.25">
      <c r="A1211" t="s">
        <v>25</v>
      </c>
      <c r="B1211">
        <v>2500</v>
      </c>
      <c r="C1211">
        <v>2</v>
      </c>
      <c r="D1211" t="s">
        <v>38</v>
      </c>
      <c r="E1211" t="s">
        <v>648</v>
      </c>
      <c r="F1211" t="s">
        <v>717</v>
      </c>
      <c r="G1211" t="s">
        <v>643</v>
      </c>
      <c r="H1211">
        <v>64</v>
      </c>
      <c r="I1211" t="s">
        <v>647</v>
      </c>
      <c r="J1211">
        <v>5000</v>
      </c>
      <c r="K1211" s="1">
        <v>43867</v>
      </c>
      <c r="L1211">
        <v>2020</v>
      </c>
      <c r="M1211" t="str">
        <f>UPPER(TEXT(_2020_2022[[#This Row],[Data da Venda]],"mmm"))</f>
        <v>FEV</v>
      </c>
    </row>
    <row r="1212" spans="1:13" x14ac:dyDescent="0.25">
      <c r="A1212" t="s">
        <v>1440</v>
      </c>
      <c r="B1212">
        <v>700</v>
      </c>
      <c r="C1212">
        <v>5</v>
      </c>
      <c r="D1212" t="s">
        <v>41</v>
      </c>
      <c r="E1212" t="s">
        <v>681</v>
      </c>
      <c r="F1212" t="s">
        <v>1260</v>
      </c>
      <c r="G1212" t="s">
        <v>650</v>
      </c>
      <c r="H1212">
        <v>38</v>
      </c>
      <c r="I1212" t="s">
        <v>644</v>
      </c>
      <c r="J1212">
        <v>3500</v>
      </c>
      <c r="K1212" s="1">
        <v>44023</v>
      </c>
      <c r="L1212">
        <v>2020</v>
      </c>
      <c r="M1212" t="str">
        <f>UPPER(TEXT(_2020_2022[[#This Row],[Data da Venda]],"mmm"))</f>
        <v>JUL</v>
      </c>
    </row>
    <row r="1213" spans="1:13" x14ac:dyDescent="0.25">
      <c r="A1213" t="s">
        <v>1441</v>
      </c>
      <c r="B1213">
        <v>1450</v>
      </c>
      <c r="C1213">
        <v>5</v>
      </c>
      <c r="D1213" t="s">
        <v>29</v>
      </c>
      <c r="E1213" t="s">
        <v>641</v>
      </c>
      <c r="F1213" t="s">
        <v>785</v>
      </c>
      <c r="G1213" t="s">
        <v>643</v>
      </c>
      <c r="H1213">
        <v>41</v>
      </c>
      <c r="I1213" t="s">
        <v>644</v>
      </c>
      <c r="J1213">
        <v>7250</v>
      </c>
      <c r="K1213" s="1">
        <v>43933</v>
      </c>
      <c r="L1213">
        <v>2020</v>
      </c>
      <c r="M1213" t="str">
        <f>UPPER(TEXT(_2020_2022[[#This Row],[Data da Venda]],"mmm"))</f>
        <v>ABR</v>
      </c>
    </row>
    <row r="1214" spans="1:13" x14ac:dyDescent="0.25">
      <c r="A1214" t="s">
        <v>11</v>
      </c>
      <c r="B1214">
        <v>4500</v>
      </c>
      <c r="C1214">
        <v>2</v>
      </c>
      <c r="D1214" t="s">
        <v>36</v>
      </c>
      <c r="E1214" t="s">
        <v>677</v>
      </c>
      <c r="F1214" t="s">
        <v>937</v>
      </c>
      <c r="G1214" t="s">
        <v>650</v>
      </c>
      <c r="H1214">
        <v>39</v>
      </c>
      <c r="I1214" t="s">
        <v>644</v>
      </c>
      <c r="J1214">
        <v>9000</v>
      </c>
      <c r="K1214" s="1">
        <v>43916</v>
      </c>
      <c r="L1214">
        <v>2020</v>
      </c>
      <c r="M1214" t="str">
        <f>UPPER(TEXT(_2020_2022[[#This Row],[Data da Venda]],"mmm"))</f>
        <v>MAR</v>
      </c>
    </row>
    <row r="1215" spans="1:13" x14ac:dyDescent="0.25">
      <c r="A1215" t="s">
        <v>21</v>
      </c>
      <c r="B1215">
        <v>2400</v>
      </c>
      <c r="C1215">
        <v>5</v>
      </c>
      <c r="D1215" t="s">
        <v>32</v>
      </c>
      <c r="E1215" t="s">
        <v>652</v>
      </c>
      <c r="F1215" t="s">
        <v>808</v>
      </c>
      <c r="G1215" t="s">
        <v>650</v>
      </c>
      <c r="H1215">
        <v>57</v>
      </c>
      <c r="I1215" t="s">
        <v>647</v>
      </c>
      <c r="J1215">
        <v>12000</v>
      </c>
      <c r="K1215" s="1">
        <v>43885</v>
      </c>
      <c r="L1215">
        <v>2020</v>
      </c>
      <c r="M1215" t="str">
        <f>UPPER(TEXT(_2020_2022[[#This Row],[Data da Venda]],"mmm"))</f>
        <v>FEV</v>
      </c>
    </row>
    <row r="1216" spans="1:13" x14ac:dyDescent="0.25">
      <c r="A1216" t="s">
        <v>1440</v>
      </c>
      <c r="B1216">
        <v>700</v>
      </c>
      <c r="C1216">
        <v>4</v>
      </c>
      <c r="D1216" t="s">
        <v>31</v>
      </c>
      <c r="E1216" t="s">
        <v>645</v>
      </c>
      <c r="F1216" t="s">
        <v>980</v>
      </c>
      <c r="G1216" t="s">
        <v>643</v>
      </c>
      <c r="H1216">
        <v>47</v>
      </c>
      <c r="I1216" t="s">
        <v>644</v>
      </c>
      <c r="J1216">
        <v>2800</v>
      </c>
      <c r="K1216" s="1">
        <v>44039</v>
      </c>
      <c r="L1216">
        <v>2020</v>
      </c>
      <c r="M1216" t="str">
        <f>UPPER(TEXT(_2020_2022[[#This Row],[Data da Venda]],"mmm"))</f>
        <v>JUL</v>
      </c>
    </row>
    <row r="1217" spans="1:13" x14ac:dyDescent="0.25">
      <c r="A1217" t="s">
        <v>13</v>
      </c>
      <c r="B1217">
        <v>2300</v>
      </c>
      <c r="C1217">
        <v>1</v>
      </c>
      <c r="D1217" t="s">
        <v>38</v>
      </c>
      <c r="E1217" t="s">
        <v>648</v>
      </c>
      <c r="F1217" t="s">
        <v>1261</v>
      </c>
      <c r="G1217" t="s">
        <v>650</v>
      </c>
      <c r="H1217">
        <v>37</v>
      </c>
      <c r="I1217" t="s">
        <v>644</v>
      </c>
      <c r="J1217">
        <v>2300</v>
      </c>
      <c r="K1217" s="1">
        <v>44162</v>
      </c>
      <c r="L1217">
        <v>2020</v>
      </c>
      <c r="M1217" t="str">
        <f>UPPER(TEXT(_2020_2022[[#This Row],[Data da Venda]],"mmm"))</f>
        <v>NOV</v>
      </c>
    </row>
    <row r="1218" spans="1:13" x14ac:dyDescent="0.25">
      <c r="A1218" t="s">
        <v>1444</v>
      </c>
      <c r="B1218">
        <v>1500</v>
      </c>
      <c r="C1218">
        <v>3</v>
      </c>
      <c r="D1218" t="s">
        <v>39</v>
      </c>
      <c r="E1218" t="s">
        <v>641</v>
      </c>
      <c r="F1218" t="s">
        <v>814</v>
      </c>
      <c r="G1218" t="s">
        <v>650</v>
      </c>
      <c r="H1218">
        <v>66</v>
      </c>
      <c r="I1218" t="s">
        <v>647</v>
      </c>
      <c r="J1218">
        <v>4500</v>
      </c>
      <c r="K1218" s="1">
        <v>44077</v>
      </c>
      <c r="L1218">
        <v>2020</v>
      </c>
      <c r="M1218" t="str">
        <f>UPPER(TEXT(_2020_2022[[#This Row],[Data da Venda]],"mmm"))</f>
        <v>SET</v>
      </c>
    </row>
    <row r="1219" spans="1:13" x14ac:dyDescent="0.25">
      <c r="A1219" t="s">
        <v>1440</v>
      </c>
      <c r="B1219">
        <v>700</v>
      </c>
      <c r="C1219">
        <v>1</v>
      </c>
      <c r="D1219" t="s">
        <v>31</v>
      </c>
      <c r="E1219" t="s">
        <v>645</v>
      </c>
      <c r="F1219" t="s">
        <v>697</v>
      </c>
      <c r="G1219" t="s">
        <v>650</v>
      </c>
      <c r="H1219">
        <v>35</v>
      </c>
      <c r="I1219" t="s">
        <v>644</v>
      </c>
      <c r="J1219">
        <v>700</v>
      </c>
      <c r="K1219" s="1">
        <v>43960</v>
      </c>
      <c r="L1219">
        <v>2020</v>
      </c>
      <c r="M1219" t="str">
        <f>UPPER(TEXT(_2020_2022[[#This Row],[Data da Venda]],"mmm"))</f>
        <v>MAI</v>
      </c>
    </row>
    <row r="1220" spans="1:13" x14ac:dyDescent="0.25">
      <c r="A1220" t="s">
        <v>1440</v>
      </c>
      <c r="B1220">
        <v>700</v>
      </c>
      <c r="C1220">
        <v>2</v>
      </c>
      <c r="D1220" t="s">
        <v>29</v>
      </c>
      <c r="E1220" t="s">
        <v>641</v>
      </c>
      <c r="F1220" t="s">
        <v>918</v>
      </c>
      <c r="G1220" t="s">
        <v>650</v>
      </c>
      <c r="H1220">
        <v>74</v>
      </c>
      <c r="I1220" t="s">
        <v>647</v>
      </c>
      <c r="J1220">
        <v>1400</v>
      </c>
      <c r="K1220" s="1">
        <v>44176</v>
      </c>
      <c r="L1220">
        <v>2020</v>
      </c>
      <c r="M1220" t="str">
        <f>UPPER(TEXT(_2020_2022[[#This Row],[Data da Venda]],"mmm"))</f>
        <v>DEZ</v>
      </c>
    </row>
    <row r="1221" spans="1:13" x14ac:dyDescent="0.25">
      <c r="A1221" t="s">
        <v>20</v>
      </c>
      <c r="B1221">
        <v>2600</v>
      </c>
      <c r="C1221">
        <v>5</v>
      </c>
      <c r="D1221" t="s">
        <v>32</v>
      </c>
      <c r="E1221" t="s">
        <v>652</v>
      </c>
      <c r="F1221" t="s">
        <v>1262</v>
      </c>
      <c r="G1221" t="s">
        <v>650</v>
      </c>
      <c r="H1221">
        <v>71</v>
      </c>
      <c r="I1221" t="s">
        <v>647</v>
      </c>
      <c r="J1221">
        <v>13000</v>
      </c>
      <c r="K1221" s="1">
        <v>44087</v>
      </c>
      <c r="L1221">
        <v>2020</v>
      </c>
      <c r="M1221" t="str">
        <f>UPPER(TEXT(_2020_2022[[#This Row],[Data da Venda]],"mmm"))</f>
        <v>SET</v>
      </c>
    </row>
    <row r="1222" spans="1:13" x14ac:dyDescent="0.25">
      <c r="A1222" t="s">
        <v>12</v>
      </c>
      <c r="B1222">
        <v>6500</v>
      </c>
      <c r="C1222">
        <v>3</v>
      </c>
      <c r="D1222" t="s">
        <v>31</v>
      </c>
      <c r="E1222" t="s">
        <v>645</v>
      </c>
      <c r="F1222" t="s">
        <v>890</v>
      </c>
      <c r="G1222" t="s">
        <v>643</v>
      </c>
      <c r="H1222">
        <v>40</v>
      </c>
      <c r="I1222" t="s">
        <v>644</v>
      </c>
      <c r="J1222">
        <v>19500</v>
      </c>
      <c r="K1222" s="1">
        <v>43841</v>
      </c>
      <c r="L1222">
        <v>2020</v>
      </c>
      <c r="M1222" t="str">
        <f>UPPER(TEXT(_2020_2022[[#This Row],[Data da Venda]],"mmm"))</f>
        <v>JAN</v>
      </c>
    </row>
    <row r="1223" spans="1:13" x14ac:dyDescent="0.25">
      <c r="A1223" t="s">
        <v>18</v>
      </c>
      <c r="B1223">
        <v>3000</v>
      </c>
      <c r="C1223">
        <v>3</v>
      </c>
      <c r="D1223" t="s">
        <v>40</v>
      </c>
      <c r="E1223" t="s">
        <v>657</v>
      </c>
      <c r="F1223" t="s">
        <v>992</v>
      </c>
      <c r="G1223" t="s">
        <v>643</v>
      </c>
      <c r="H1223">
        <v>52</v>
      </c>
      <c r="I1223" t="s">
        <v>647</v>
      </c>
      <c r="J1223">
        <v>9000</v>
      </c>
      <c r="K1223" s="1">
        <v>44050</v>
      </c>
      <c r="L1223">
        <v>2020</v>
      </c>
      <c r="M1223" t="str">
        <f>UPPER(TEXT(_2020_2022[[#This Row],[Data da Venda]],"mmm"))</f>
        <v>AGO</v>
      </c>
    </row>
    <row r="1224" spans="1:13" x14ac:dyDescent="0.25">
      <c r="A1224" t="s">
        <v>14</v>
      </c>
      <c r="B1224">
        <v>2000</v>
      </c>
      <c r="C1224">
        <v>2</v>
      </c>
      <c r="D1224" t="s">
        <v>38</v>
      </c>
      <c r="E1224" t="s">
        <v>648</v>
      </c>
      <c r="F1224" t="s">
        <v>1017</v>
      </c>
      <c r="G1224" t="s">
        <v>643</v>
      </c>
      <c r="H1224">
        <v>58</v>
      </c>
      <c r="I1224" t="s">
        <v>647</v>
      </c>
      <c r="J1224">
        <v>4000</v>
      </c>
      <c r="K1224" s="1">
        <v>43901</v>
      </c>
      <c r="L1224">
        <v>2020</v>
      </c>
      <c r="M1224" t="str">
        <f>UPPER(TEXT(_2020_2022[[#This Row],[Data da Venda]],"mmm"))</f>
        <v>MAR</v>
      </c>
    </row>
    <row r="1225" spans="1:13" x14ac:dyDescent="0.25">
      <c r="A1225" t="s">
        <v>1443</v>
      </c>
      <c r="B1225">
        <v>1550</v>
      </c>
      <c r="C1225">
        <v>5</v>
      </c>
      <c r="D1225" t="s">
        <v>36</v>
      </c>
      <c r="E1225" t="s">
        <v>677</v>
      </c>
      <c r="F1225" t="s">
        <v>1245</v>
      </c>
      <c r="G1225" t="s">
        <v>643</v>
      </c>
      <c r="H1225">
        <v>69</v>
      </c>
      <c r="I1225" t="s">
        <v>647</v>
      </c>
      <c r="J1225">
        <v>7750</v>
      </c>
      <c r="K1225" s="1">
        <v>43999</v>
      </c>
      <c r="L1225">
        <v>2020</v>
      </c>
      <c r="M1225" t="str">
        <f>UPPER(TEXT(_2020_2022[[#This Row],[Data da Venda]],"mmm"))</f>
        <v>JUN</v>
      </c>
    </row>
    <row r="1226" spans="1:13" x14ac:dyDescent="0.25">
      <c r="A1226" t="s">
        <v>22</v>
      </c>
      <c r="B1226">
        <v>5200</v>
      </c>
      <c r="C1226">
        <v>1</v>
      </c>
      <c r="D1226" t="s">
        <v>37</v>
      </c>
      <c r="E1226" t="s">
        <v>645</v>
      </c>
      <c r="F1226" t="s">
        <v>691</v>
      </c>
      <c r="G1226" t="s">
        <v>650</v>
      </c>
      <c r="H1226">
        <v>45</v>
      </c>
      <c r="I1226" t="s">
        <v>644</v>
      </c>
      <c r="J1226">
        <v>5200</v>
      </c>
      <c r="K1226" s="1">
        <v>44150</v>
      </c>
      <c r="L1226">
        <v>2020</v>
      </c>
      <c r="M1226" t="str">
        <f>UPPER(TEXT(_2020_2022[[#This Row],[Data da Venda]],"mmm"))</f>
        <v>NOV</v>
      </c>
    </row>
    <row r="1227" spans="1:13" x14ac:dyDescent="0.25">
      <c r="A1227" t="s">
        <v>25</v>
      </c>
      <c r="B1227">
        <v>2500</v>
      </c>
      <c r="C1227">
        <v>1</v>
      </c>
      <c r="D1227" t="s">
        <v>34</v>
      </c>
      <c r="E1227" t="s">
        <v>679</v>
      </c>
      <c r="F1227" t="s">
        <v>1139</v>
      </c>
      <c r="G1227" t="s">
        <v>643</v>
      </c>
      <c r="H1227">
        <v>41</v>
      </c>
      <c r="I1227" t="s">
        <v>644</v>
      </c>
      <c r="J1227">
        <v>2500</v>
      </c>
      <c r="K1227" s="1">
        <v>44073</v>
      </c>
      <c r="L1227">
        <v>2020</v>
      </c>
      <c r="M1227" t="str">
        <f>UPPER(TEXT(_2020_2022[[#This Row],[Data da Venda]],"mmm"))</f>
        <v>AGO</v>
      </c>
    </row>
    <row r="1228" spans="1:13" x14ac:dyDescent="0.25">
      <c r="A1228" t="s">
        <v>18</v>
      </c>
      <c r="B1228">
        <v>3000</v>
      </c>
      <c r="C1228">
        <v>1</v>
      </c>
      <c r="D1228" t="s">
        <v>38</v>
      </c>
      <c r="E1228" t="s">
        <v>648</v>
      </c>
      <c r="F1228" t="s">
        <v>1170</v>
      </c>
      <c r="G1228" t="s">
        <v>650</v>
      </c>
      <c r="H1228">
        <v>62</v>
      </c>
      <c r="I1228" t="s">
        <v>647</v>
      </c>
      <c r="J1228">
        <v>3000</v>
      </c>
      <c r="K1228" s="1">
        <v>44102</v>
      </c>
      <c r="L1228">
        <v>2020</v>
      </c>
      <c r="M1228" t="str">
        <f>UPPER(TEXT(_2020_2022[[#This Row],[Data da Venda]],"mmm"))</f>
        <v>SET</v>
      </c>
    </row>
    <row r="1229" spans="1:13" x14ac:dyDescent="0.25">
      <c r="A1229" t="s">
        <v>14</v>
      </c>
      <c r="B1229">
        <v>2000</v>
      </c>
      <c r="C1229">
        <v>2</v>
      </c>
      <c r="D1229" t="s">
        <v>33</v>
      </c>
      <c r="E1229" t="s">
        <v>641</v>
      </c>
      <c r="F1229" t="s">
        <v>788</v>
      </c>
      <c r="G1229" t="s">
        <v>643</v>
      </c>
      <c r="H1229">
        <v>49</v>
      </c>
      <c r="I1229" t="s">
        <v>644</v>
      </c>
      <c r="J1229">
        <v>4000</v>
      </c>
      <c r="K1229" s="1">
        <v>44032</v>
      </c>
      <c r="L1229">
        <v>2020</v>
      </c>
      <c r="M1229" t="str">
        <f>UPPER(TEXT(_2020_2022[[#This Row],[Data da Venda]],"mmm"))</f>
        <v>JUL</v>
      </c>
    </row>
    <row r="1230" spans="1:13" x14ac:dyDescent="0.25">
      <c r="A1230" t="s">
        <v>1441</v>
      </c>
      <c r="B1230">
        <v>1450</v>
      </c>
      <c r="C1230">
        <v>2</v>
      </c>
      <c r="D1230" t="s">
        <v>32</v>
      </c>
      <c r="E1230" t="s">
        <v>652</v>
      </c>
      <c r="F1230" t="s">
        <v>1101</v>
      </c>
      <c r="G1230" t="s">
        <v>643</v>
      </c>
      <c r="H1230">
        <v>72</v>
      </c>
      <c r="I1230" t="s">
        <v>647</v>
      </c>
      <c r="J1230">
        <v>2900</v>
      </c>
      <c r="K1230" s="1">
        <v>43881</v>
      </c>
      <c r="L1230">
        <v>2020</v>
      </c>
      <c r="M1230" t="str">
        <f>UPPER(TEXT(_2020_2022[[#This Row],[Data da Venda]],"mmm"))</f>
        <v>FEV</v>
      </c>
    </row>
    <row r="1231" spans="1:13" x14ac:dyDescent="0.25">
      <c r="A1231" t="s">
        <v>7</v>
      </c>
      <c r="B1231">
        <v>750</v>
      </c>
      <c r="C1231">
        <v>3</v>
      </c>
      <c r="D1231" t="s">
        <v>34</v>
      </c>
      <c r="E1231" t="s">
        <v>679</v>
      </c>
      <c r="F1231" t="s">
        <v>687</v>
      </c>
      <c r="G1231" t="s">
        <v>643</v>
      </c>
      <c r="H1231">
        <v>36</v>
      </c>
      <c r="I1231" t="s">
        <v>644</v>
      </c>
      <c r="J1231">
        <v>2250</v>
      </c>
      <c r="K1231" s="1">
        <v>44055</v>
      </c>
      <c r="L1231">
        <v>2020</v>
      </c>
      <c r="M1231" t="str">
        <f>UPPER(TEXT(_2020_2022[[#This Row],[Data da Venda]],"mmm"))</f>
        <v>AGO</v>
      </c>
    </row>
    <row r="1232" spans="1:13" x14ac:dyDescent="0.25">
      <c r="A1232" t="s">
        <v>21</v>
      </c>
      <c r="B1232">
        <v>2400</v>
      </c>
      <c r="C1232">
        <v>4</v>
      </c>
      <c r="D1232" t="s">
        <v>36</v>
      </c>
      <c r="E1232" t="s">
        <v>677</v>
      </c>
      <c r="F1232" t="s">
        <v>799</v>
      </c>
      <c r="G1232" t="s">
        <v>650</v>
      </c>
      <c r="H1232">
        <v>50</v>
      </c>
      <c r="I1232" t="s">
        <v>644</v>
      </c>
      <c r="J1232">
        <v>9600</v>
      </c>
      <c r="K1232" s="1">
        <v>43855</v>
      </c>
      <c r="L1232">
        <v>2020</v>
      </c>
      <c r="M1232" t="str">
        <f>UPPER(TEXT(_2020_2022[[#This Row],[Data da Venda]],"mmm"))</f>
        <v>JAN</v>
      </c>
    </row>
    <row r="1233" spans="1:13" x14ac:dyDescent="0.25">
      <c r="A1233" t="s">
        <v>1442</v>
      </c>
      <c r="B1233">
        <v>1200</v>
      </c>
      <c r="C1233">
        <v>4</v>
      </c>
      <c r="D1233" t="s">
        <v>32</v>
      </c>
      <c r="E1233" t="s">
        <v>652</v>
      </c>
      <c r="F1233" t="s">
        <v>1172</v>
      </c>
      <c r="G1233" t="s">
        <v>643</v>
      </c>
      <c r="H1233">
        <v>48</v>
      </c>
      <c r="I1233" t="s">
        <v>644</v>
      </c>
      <c r="J1233">
        <v>4800</v>
      </c>
      <c r="K1233" s="1">
        <v>44059</v>
      </c>
      <c r="L1233">
        <v>2020</v>
      </c>
      <c r="M1233" t="str">
        <f>UPPER(TEXT(_2020_2022[[#This Row],[Data da Venda]],"mmm"))</f>
        <v>AGO</v>
      </c>
    </row>
    <row r="1234" spans="1:13" x14ac:dyDescent="0.25">
      <c r="A1234" t="s">
        <v>1445</v>
      </c>
      <c r="B1234">
        <v>1500</v>
      </c>
      <c r="C1234">
        <v>3</v>
      </c>
      <c r="D1234" t="s">
        <v>39</v>
      </c>
      <c r="E1234" t="s">
        <v>641</v>
      </c>
      <c r="F1234" t="s">
        <v>1051</v>
      </c>
      <c r="G1234" t="s">
        <v>643</v>
      </c>
      <c r="H1234">
        <v>61</v>
      </c>
      <c r="I1234" t="s">
        <v>647</v>
      </c>
      <c r="J1234">
        <v>4500</v>
      </c>
      <c r="K1234" s="1">
        <v>44090</v>
      </c>
      <c r="L1234">
        <v>2020</v>
      </c>
      <c r="M1234" t="str">
        <f>UPPER(TEXT(_2020_2022[[#This Row],[Data da Venda]],"mmm"))</f>
        <v>SET</v>
      </c>
    </row>
    <row r="1235" spans="1:13" x14ac:dyDescent="0.25">
      <c r="A1235" t="s">
        <v>1444</v>
      </c>
      <c r="B1235">
        <v>1500</v>
      </c>
      <c r="C1235">
        <v>3</v>
      </c>
      <c r="D1235" t="s">
        <v>32</v>
      </c>
      <c r="E1235" t="s">
        <v>652</v>
      </c>
      <c r="F1235" t="s">
        <v>1168</v>
      </c>
      <c r="G1235" t="s">
        <v>643</v>
      </c>
      <c r="H1235">
        <v>64</v>
      </c>
      <c r="I1235" t="s">
        <v>647</v>
      </c>
      <c r="J1235">
        <v>4500</v>
      </c>
      <c r="K1235" s="1">
        <v>43855</v>
      </c>
      <c r="L1235">
        <v>2020</v>
      </c>
      <c r="M1235" t="str">
        <f>UPPER(TEXT(_2020_2022[[#This Row],[Data da Venda]],"mmm"))</f>
        <v>JAN</v>
      </c>
    </row>
    <row r="1236" spans="1:13" x14ac:dyDescent="0.25">
      <c r="A1236" t="s">
        <v>5</v>
      </c>
      <c r="B1236">
        <v>1750</v>
      </c>
      <c r="C1236">
        <v>5</v>
      </c>
      <c r="D1236" t="s">
        <v>29</v>
      </c>
      <c r="E1236" t="s">
        <v>641</v>
      </c>
      <c r="F1236" t="s">
        <v>983</v>
      </c>
      <c r="G1236" t="s">
        <v>643</v>
      </c>
      <c r="H1236">
        <v>34</v>
      </c>
      <c r="I1236" t="s">
        <v>644</v>
      </c>
      <c r="J1236">
        <v>8750</v>
      </c>
      <c r="K1236" s="1">
        <v>44053</v>
      </c>
      <c r="L1236">
        <v>2020</v>
      </c>
      <c r="M1236" t="str">
        <f>UPPER(TEXT(_2020_2022[[#This Row],[Data da Venda]],"mmm"))</f>
        <v>AGO</v>
      </c>
    </row>
    <row r="1237" spans="1:13" x14ac:dyDescent="0.25">
      <c r="A1237" t="s">
        <v>25</v>
      </c>
      <c r="B1237">
        <v>2500</v>
      </c>
      <c r="C1237">
        <v>3</v>
      </c>
      <c r="D1237" t="s">
        <v>36</v>
      </c>
      <c r="E1237" t="s">
        <v>677</v>
      </c>
      <c r="F1237" t="s">
        <v>1105</v>
      </c>
      <c r="G1237" t="s">
        <v>650</v>
      </c>
      <c r="H1237">
        <v>31</v>
      </c>
      <c r="I1237" t="s">
        <v>644</v>
      </c>
      <c r="J1237">
        <v>7500</v>
      </c>
      <c r="K1237" s="1">
        <v>44090</v>
      </c>
      <c r="L1237">
        <v>2020</v>
      </c>
      <c r="M1237" t="str">
        <f>UPPER(TEXT(_2020_2022[[#This Row],[Data da Venda]],"mmm"))</f>
        <v>SET</v>
      </c>
    </row>
    <row r="1238" spans="1:13" x14ac:dyDescent="0.25">
      <c r="A1238" t="s">
        <v>28</v>
      </c>
      <c r="B1238">
        <v>1400</v>
      </c>
      <c r="C1238">
        <v>2</v>
      </c>
      <c r="D1238" t="s">
        <v>33</v>
      </c>
      <c r="E1238" t="s">
        <v>641</v>
      </c>
      <c r="F1238" t="s">
        <v>1263</v>
      </c>
      <c r="G1238" t="s">
        <v>650</v>
      </c>
      <c r="H1238">
        <v>51</v>
      </c>
      <c r="I1238" t="s">
        <v>647</v>
      </c>
      <c r="J1238">
        <v>2800</v>
      </c>
      <c r="K1238" s="1">
        <v>44160</v>
      </c>
      <c r="L1238">
        <v>2020</v>
      </c>
      <c r="M1238" t="str">
        <f>UPPER(TEXT(_2020_2022[[#This Row],[Data da Venda]],"mmm"))</f>
        <v>NOV</v>
      </c>
    </row>
    <row r="1239" spans="1:13" x14ac:dyDescent="0.25">
      <c r="A1239" t="s">
        <v>20</v>
      </c>
      <c r="B1239">
        <v>2600</v>
      </c>
      <c r="C1239">
        <v>5</v>
      </c>
      <c r="D1239" t="s">
        <v>34</v>
      </c>
      <c r="E1239" t="s">
        <v>679</v>
      </c>
      <c r="F1239" t="s">
        <v>833</v>
      </c>
      <c r="G1239" t="s">
        <v>643</v>
      </c>
      <c r="H1239">
        <v>71</v>
      </c>
      <c r="I1239" t="s">
        <v>647</v>
      </c>
      <c r="J1239">
        <v>13000</v>
      </c>
      <c r="K1239" s="1">
        <v>44149</v>
      </c>
      <c r="L1239">
        <v>2020</v>
      </c>
      <c r="M1239" t="str">
        <f>UPPER(TEXT(_2020_2022[[#This Row],[Data da Venda]],"mmm"))</f>
        <v>NOV</v>
      </c>
    </row>
    <row r="1240" spans="1:13" x14ac:dyDescent="0.25">
      <c r="A1240" t="s">
        <v>14</v>
      </c>
      <c r="B1240">
        <v>2000</v>
      </c>
      <c r="C1240">
        <v>1</v>
      </c>
      <c r="D1240" t="s">
        <v>38</v>
      </c>
      <c r="E1240" t="s">
        <v>648</v>
      </c>
      <c r="F1240" t="s">
        <v>922</v>
      </c>
      <c r="G1240" t="s">
        <v>650</v>
      </c>
      <c r="H1240">
        <v>50</v>
      </c>
      <c r="I1240" t="s">
        <v>644</v>
      </c>
      <c r="J1240">
        <v>2000</v>
      </c>
      <c r="K1240" s="1">
        <v>43942</v>
      </c>
      <c r="L1240">
        <v>2020</v>
      </c>
      <c r="M1240" t="str">
        <f>UPPER(TEXT(_2020_2022[[#This Row],[Data da Venda]],"mmm"))</f>
        <v>ABR</v>
      </c>
    </row>
    <row r="1241" spans="1:13" x14ac:dyDescent="0.25">
      <c r="A1241" t="s">
        <v>24</v>
      </c>
      <c r="B1241">
        <v>2000</v>
      </c>
      <c r="C1241">
        <v>3</v>
      </c>
      <c r="D1241" t="s">
        <v>40</v>
      </c>
      <c r="E1241" t="s">
        <v>657</v>
      </c>
      <c r="F1241" t="s">
        <v>1203</v>
      </c>
      <c r="G1241" t="s">
        <v>643</v>
      </c>
      <c r="H1241">
        <v>37</v>
      </c>
      <c r="I1241" t="s">
        <v>644</v>
      </c>
      <c r="J1241">
        <v>6000</v>
      </c>
      <c r="K1241" s="1">
        <v>43944</v>
      </c>
      <c r="L1241">
        <v>2020</v>
      </c>
      <c r="M1241" t="str">
        <f>UPPER(TEXT(_2020_2022[[#This Row],[Data da Venda]],"mmm"))</f>
        <v>ABR</v>
      </c>
    </row>
    <row r="1242" spans="1:13" x14ac:dyDescent="0.25">
      <c r="A1242" t="s">
        <v>13</v>
      </c>
      <c r="B1242">
        <v>2300</v>
      </c>
      <c r="C1242">
        <v>3</v>
      </c>
      <c r="D1242" t="s">
        <v>32</v>
      </c>
      <c r="E1242" t="s">
        <v>652</v>
      </c>
      <c r="F1242" t="s">
        <v>745</v>
      </c>
      <c r="G1242" t="s">
        <v>650</v>
      </c>
      <c r="H1242">
        <v>64</v>
      </c>
      <c r="I1242" t="s">
        <v>647</v>
      </c>
      <c r="J1242">
        <v>6900</v>
      </c>
      <c r="K1242" s="1">
        <v>43849</v>
      </c>
      <c r="L1242">
        <v>2020</v>
      </c>
      <c r="M1242" t="str">
        <f>UPPER(TEXT(_2020_2022[[#This Row],[Data da Venda]],"mmm"))</f>
        <v>JAN</v>
      </c>
    </row>
    <row r="1243" spans="1:13" x14ac:dyDescent="0.25">
      <c r="A1243" t="s">
        <v>22</v>
      </c>
      <c r="B1243">
        <v>5200</v>
      </c>
      <c r="C1243">
        <v>2</v>
      </c>
      <c r="D1243" t="s">
        <v>29</v>
      </c>
      <c r="E1243" t="s">
        <v>641</v>
      </c>
      <c r="F1243" t="s">
        <v>1242</v>
      </c>
      <c r="G1243" t="s">
        <v>643</v>
      </c>
      <c r="H1243">
        <v>52</v>
      </c>
      <c r="I1243" t="s">
        <v>647</v>
      </c>
      <c r="J1243">
        <v>10400</v>
      </c>
      <c r="K1243" s="1">
        <v>44085</v>
      </c>
      <c r="L1243">
        <v>2020</v>
      </c>
      <c r="M1243" t="str">
        <f>UPPER(TEXT(_2020_2022[[#This Row],[Data da Venda]],"mmm"))</f>
        <v>SET</v>
      </c>
    </row>
    <row r="1244" spans="1:13" x14ac:dyDescent="0.25">
      <c r="A1244" t="s">
        <v>16</v>
      </c>
      <c r="B1244">
        <v>1400</v>
      </c>
      <c r="C1244">
        <v>3</v>
      </c>
      <c r="D1244" t="s">
        <v>31</v>
      </c>
      <c r="E1244" t="s">
        <v>645</v>
      </c>
      <c r="F1244" t="s">
        <v>1069</v>
      </c>
      <c r="G1244" t="s">
        <v>643</v>
      </c>
      <c r="H1244">
        <v>39</v>
      </c>
      <c r="I1244" t="s">
        <v>644</v>
      </c>
      <c r="J1244">
        <v>4200</v>
      </c>
      <c r="K1244" s="1">
        <v>44043</v>
      </c>
      <c r="L1244">
        <v>2020</v>
      </c>
      <c r="M1244" t="str">
        <f>UPPER(TEXT(_2020_2022[[#This Row],[Data da Venda]],"mmm"))</f>
        <v>JUL</v>
      </c>
    </row>
    <row r="1245" spans="1:13" x14ac:dyDescent="0.25">
      <c r="A1245" t="s">
        <v>1440</v>
      </c>
      <c r="B1245">
        <v>700</v>
      </c>
      <c r="C1245">
        <v>3</v>
      </c>
      <c r="D1245" t="s">
        <v>37</v>
      </c>
      <c r="E1245" t="s">
        <v>645</v>
      </c>
      <c r="F1245" t="s">
        <v>1264</v>
      </c>
      <c r="G1245" t="s">
        <v>643</v>
      </c>
      <c r="H1245">
        <v>49</v>
      </c>
      <c r="I1245" t="s">
        <v>644</v>
      </c>
      <c r="J1245">
        <v>2100</v>
      </c>
      <c r="K1245" s="1">
        <v>43860</v>
      </c>
      <c r="L1245">
        <v>2020</v>
      </c>
      <c r="M1245" t="str">
        <f>UPPER(TEXT(_2020_2022[[#This Row],[Data da Venda]],"mmm"))</f>
        <v>JAN</v>
      </c>
    </row>
    <row r="1246" spans="1:13" x14ac:dyDescent="0.25">
      <c r="A1246" t="s">
        <v>22</v>
      </c>
      <c r="B1246">
        <v>5200</v>
      </c>
      <c r="C1246">
        <v>1</v>
      </c>
      <c r="D1246" t="s">
        <v>32</v>
      </c>
      <c r="E1246" t="s">
        <v>652</v>
      </c>
      <c r="F1246" t="s">
        <v>1101</v>
      </c>
      <c r="G1246" t="s">
        <v>643</v>
      </c>
      <c r="H1246">
        <v>72</v>
      </c>
      <c r="I1246" t="s">
        <v>647</v>
      </c>
      <c r="J1246">
        <v>5200</v>
      </c>
      <c r="K1246" s="1">
        <v>44152</v>
      </c>
      <c r="L1246">
        <v>2020</v>
      </c>
      <c r="M1246" t="str">
        <f>UPPER(TEXT(_2020_2022[[#This Row],[Data da Venda]],"mmm"))</f>
        <v>NOV</v>
      </c>
    </row>
    <row r="1247" spans="1:13" x14ac:dyDescent="0.25">
      <c r="A1247" t="s">
        <v>11</v>
      </c>
      <c r="B1247">
        <v>4500</v>
      </c>
      <c r="C1247">
        <v>3</v>
      </c>
      <c r="D1247" t="s">
        <v>39</v>
      </c>
      <c r="E1247" t="s">
        <v>641</v>
      </c>
      <c r="F1247" t="s">
        <v>809</v>
      </c>
      <c r="G1247" t="s">
        <v>643</v>
      </c>
      <c r="H1247">
        <v>47</v>
      </c>
      <c r="I1247" t="s">
        <v>644</v>
      </c>
      <c r="J1247">
        <v>13500</v>
      </c>
      <c r="K1247" s="1">
        <v>43963</v>
      </c>
      <c r="L1247">
        <v>2020</v>
      </c>
      <c r="M1247" t="str">
        <f>UPPER(TEXT(_2020_2022[[#This Row],[Data da Venda]],"mmm"))</f>
        <v>MAI</v>
      </c>
    </row>
    <row r="1248" spans="1:13" x14ac:dyDescent="0.25">
      <c r="A1248" t="s">
        <v>15</v>
      </c>
      <c r="B1248">
        <v>1900</v>
      </c>
      <c r="C1248">
        <v>3</v>
      </c>
      <c r="D1248" t="s">
        <v>32</v>
      </c>
      <c r="E1248" t="s">
        <v>652</v>
      </c>
      <c r="F1248" t="s">
        <v>685</v>
      </c>
      <c r="G1248" t="s">
        <v>643</v>
      </c>
      <c r="H1248">
        <v>36</v>
      </c>
      <c r="I1248" t="s">
        <v>644</v>
      </c>
      <c r="J1248">
        <v>5700</v>
      </c>
      <c r="K1248" s="1">
        <v>44027</v>
      </c>
      <c r="L1248">
        <v>2020</v>
      </c>
      <c r="M1248" t="str">
        <f>UPPER(TEXT(_2020_2022[[#This Row],[Data da Venda]],"mmm"))</f>
        <v>JUL</v>
      </c>
    </row>
    <row r="1249" spans="1:13" x14ac:dyDescent="0.25">
      <c r="A1249" t="s">
        <v>7</v>
      </c>
      <c r="B1249">
        <v>750</v>
      </c>
      <c r="C1249">
        <v>1</v>
      </c>
      <c r="D1249" t="s">
        <v>30</v>
      </c>
      <c r="E1249" t="s">
        <v>645</v>
      </c>
      <c r="F1249" t="s">
        <v>975</v>
      </c>
      <c r="G1249" t="s">
        <v>650</v>
      </c>
      <c r="H1249">
        <v>58</v>
      </c>
      <c r="I1249" t="s">
        <v>647</v>
      </c>
      <c r="J1249">
        <v>750</v>
      </c>
      <c r="K1249" s="1">
        <v>44045</v>
      </c>
      <c r="L1249">
        <v>2020</v>
      </c>
      <c r="M1249" t="str">
        <f>UPPER(TEXT(_2020_2022[[#This Row],[Data da Venda]],"mmm"))</f>
        <v>AGO</v>
      </c>
    </row>
    <row r="1250" spans="1:13" x14ac:dyDescent="0.25">
      <c r="A1250" t="s">
        <v>9</v>
      </c>
      <c r="B1250">
        <v>1500</v>
      </c>
      <c r="C1250">
        <v>1</v>
      </c>
      <c r="D1250" t="s">
        <v>29</v>
      </c>
      <c r="E1250" t="s">
        <v>641</v>
      </c>
      <c r="F1250" t="s">
        <v>675</v>
      </c>
      <c r="G1250" t="s">
        <v>643</v>
      </c>
      <c r="H1250">
        <v>71</v>
      </c>
      <c r="I1250" t="s">
        <v>647</v>
      </c>
      <c r="J1250">
        <v>1500</v>
      </c>
      <c r="K1250" s="1">
        <v>44128</v>
      </c>
      <c r="L1250">
        <v>2020</v>
      </c>
      <c r="M1250" t="str">
        <f>UPPER(TEXT(_2020_2022[[#This Row],[Data da Venda]],"mmm"))</f>
        <v>OUT</v>
      </c>
    </row>
    <row r="1251" spans="1:13" x14ac:dyDescent="0.25">
      <c r="A1251" t="s">
        <v>1445</v>
      </c>
      <c r="B1251">
        <v>1500</v>
      </c>
      <c r="C1251">
        <v>5</v>
      </c>
      <c r="D1251" t="s">
        <v>36</v>
      </c>
      <c r="E1251" t="s">
        <v>677</v>
      </c>
      <c r="F1251" t="s">
        <v>690</v>
      </c>
      <c r="G1251" t="s">
        <v>650</v>
      </c>
      <c r="H1251">
        <v>60</v>
      </c>
      <c r="I1251" t="s">
        <v>647</v>
      </c>
      <c r="J1251">
        <v>7500</v>
      </c>
      <c r="K1251" s="1">
        <v>43851</v>
      </c>
      <c r="L1251">
        <v>2020</v>
      </c>
      <c r="M1251" t="str">
        <f>UPPER(TEXT(_2020_2022[[#This Row],[Data da Venda]],"mmm"))</f>
        <v>JAN</v>
      </c>
    </row>
    <row r="1252" spans="1:13" x14ac:dyDescent="0.25">
      <c r="A1252" t="s">
        <v>1445</v>
      </c>
      <c r="B1252">
        <v>1500</v>
      </c>
      <c r="C1252">
        <v>2</v>
      </c>
      <c r="D1252" t="s">
        <v>41</v>
      </c>
      <c r="E1252" t="s">
        <v>681</v>
      </c>
      <c r="F1252" t="s">
        <v>1265</v>
      </c>
      <c r="G1252" t="s">
        <v>650</v>
      </c>
      <c r="H1252">
        <v>31</v>
      </c>
      <c r="I1252" t="s">
        <v>644</v>
      </c>
      <c r="J1252">
        <v>3000</v>
      </c>
      <c r="K1252" s="1">
        <v>44046</v>
      </c>
      <c r="L1252">
        <v>2020</v>
      </c>
      <c r="M1252" t="str">
        <f>UPPER(TEXT(_2020_2022[[#This Row],[Data da Venda]],"mmm"))</f>
        <v>AGO</v>
      </c>
    </row>
    <row r="1253" spans="1:13" x14ac:dyDescent="0.25">
      <c r="A1253" t="s">
        <v>15</v>
      </c>
      <c r="B1253">
        <v>1900</v>
      </c>
      <c r="C1253">
        <v>2</v>
      </c>
      <c r="D1253" t="s">
        <v>30</v>
      </c>
      <c r="E1253" t="s">
        <v>645</v>
      </c>
      <c r="F1253" t="s">
        <v>1266</v>
      </c>
      <c r="G1253" t="s">
        <v>650</v>
      </c>
      <c r="H1253">
        <v>39</v>
      </c>
      <c r="I1253" t="s">
        <v>644</v>
      </c>
      <c r="J1253">
        <v>3800</v>
      </c>
      <c r="K1253" s="1">
        <v>44038</v>
      </c>
      <c r="L1253">
        <v>2020</v>
      </c>
      <c r="M1253" t="str">
        <f>UPPER(TEXT(_2020_2022[[#This Row],[Data da Venda]],"mmm"))</f>
        <v>JUL</v>
      </c>
    </row>
    <row r="1254" spans="1:13" x14ac:dyDescent="0.25">
      <c r="A1254" t="s">
        <v>1445</v>
      </c>
      <c r="B1254">
        <v>1500</v>
      </c>
      <c r="C1254">
        <v>3</v>
      </c>
      <c r="D1254" t="s">
        <v>37</v>
      </c>
      <c r="E1254" t="s">
        <v>645</v>
      </c>
      <c r="F1254" t="s">
        <v>852</v>
      </c>
      <c r="G1254" t="s">
        <v>650</v>
      </c>
      <c r="H1254">
        <v>28</v>
      </c>
      <c r="I1254" t="s">
        <v>651</v>
      </c>
      <c r="J1254">
        <v>4500</v>
      </c>
      <c r="K1254" s="1">
        <v>43857</v>
      </c>
      <c r="L1254">
        <v>2020</v>
      </c>
      <c r="M1254" t="str">
        <f>UPPER(TEXT(_2020_2022[[#This Row],[Data da Venda]],"mmm"))</f>
        <v>JAN</v>
      </c>
    </row>
    <row r="1255" spans="1:13" x14ac:dyDescent="0.25">
      <c r="A1255" t="s">
        <v>5</v>
      </c>
      <c r="B1255">
        <v>1750</v>
      </c>
      <c r="C1255">
        <v>4</v>
      </c>
      <c r="D1255" t="s">
        <v>41</v>
      </c>
      <c r="E1255" t="s">
        <v>681</v>
      </c>
      <c r="F1255" t="s">
        <v>1267</v>
      </c>
      <c r="G1255" t="s">
        <v>650</v>
      </c>
      <c r="H1255">
        <v>72</v>
      </c>
      <c r="I1255" t="s">
        <v>647</v>
      </c>
      <c r="J1255">
        <v>7000</v>
      </c>
      <c r="K1255" s="1">
        <v>44118</v>
      </c>
      <c r="L1255">
        <v>2020</v>
      </c>
      <c r="M1255" t="str">
        <f>UPPER(TEXT(_2020_2022[[#This Row],[Data da Venda]],"mmm"))</f>
        <v>OUT</v>
      </c>
    </row>
    <row r="1256" spans="1:13" x14ac:dyDescent="0.25">
      <c r="A1256" t="s">
        <v>21</v>
      </c>
      <c r="B1256">
        <v>2400</v>
      </c>
      <c r="C1256">
        <v>3</v>
      </c>
      <c r="D1256" t="s">
        <v>41</v>
      </c>
      <c r="E1256" t="s">
        <v>681</v>
      </c>
      <c r="F1256" t="s">
        <v>1268</v>
      </c>
      <c r="G1256" t="s">
        <v>643</v>
      </c>
      <c r="H1256">
        <v>30</v>
      </c>
      <c r="I1256" t="s">
        <v>644</v>
      </c>
      <c r="J1256">
        <v>7200</v>
      </c>
      <c r="K1256" s="1">
        <v>43855</v>
      </c>
      <c r="L1256">
        <v>2020</v>
      </c>
      <c r="M1256" t="str">
        <f>UPPER(TEXT(_2020_2022[[#This Row],[Data da Venda]],"mmm"))</f>
        <v>JAN</v>
      </c>
    </row>
    <row r="1257" spans="1:13" x14ac:dyDescent="0.25">
      <c r="A1257" t="s">
        <v>11</v>
      </c>
      <c r="B1257">
        <v>4500</v>
      </c>
      <c r="C1257">
        <v>4</v>
      </c>
      <c r="D1257" t="s">
        <v>41</v>
      </c>
      <c r="E1257" t="s">
        <v>681</v>
      </c>
      <c r="F1257" t="s">
        <v>1207</v>
      </c>
      <c r="G1257" t="s">
        <v>643</v>
      </c>
      <c r="H1257">
        <v>52</v>
      </c>
      <c r="I1257" t="s">
        <v>647</v>
      </c>
      <c r="J1257">
        <v>18000</v>
      </c>
      <c r="K1257" s="1">
        <v>43954</v>
      </c>
      <c r="L1257">
        <v>2020</v>
      </c>
      <c r="M1257" t="str">
        <f>UPPER(TEXT(_2020_2022[[#This Row],[Data da Venda]],"mmm"))</f>
        <v>MAI</v>
      </c>
    </row>
    <row r="1258" spans="1:13" x14ac:dyDescent="0.25">
      <c r="A1258" t="s">
        <v>18</v>
      </c>
      <c r="B1258">
        <v>3000</v>
      </c>
      <c r="C1258">
        <v>2</v>
      </c>
      <c r="D1258" t="s">
        <v>37</v>
      </c>
      <c r="E1258" t="s">
        <v>645</v>
      </c>
      <c r="F1258" t="s">
        <v>1269</v>
      </c>
      <c r="G1258" t="s">
        <v>643</v>
      </c>
      <c r="H1258">
        <v>59</v>
      </c>
      <c r="I1258" t="s">
        <v>647</v>
      </c>
      <c r="J1258">
        <v>6000</v>
      </c>
      <c r="K1258" s="1">
        <v>43887</v>
      </c>
      <c r="L1258">
        <v>2020</v>
      </c>
      <c r="M1258" t="str">
        <f>UPPER(TEXT(_2020_2022[[#This Row],[Data da Venda]],"mmm"))</f>
        <v>FEV</v>
      </c>
    </row>
    <row r="1259" spans="1:13" x14ac:dyDescent="0.25">
      <c r="A1259" t="s">
        <v>25</v>
      </c>
      <c r="B1259">
        <v>2500</v>
      </c>
      <c r="C1259">
        <v>5</v>
      </c>
      <c r="D1259" t="s">
        <v>38</v>
      </c>
      <c r="E1259" t="s">
        <v>648</v>
      </c>
      <c r="F1259" t="s">
        <v>931</v>
      </c>
      <c r="G1259" t="s">
        <v>650</v>
      </c>
      <c r="H1259">
        <v>54</v>
      </c>
      <c r="I1259" t="s">
        <v>647</v>
      </c>
      <c r="J1259">
        <v>12500</v>
      </c>
      <c r="K1259" s="1">
        <v>43961</v>
      </c>
      <c r="L1259">
        <v>2020</v>
      </c>
      <c r="M1259" t="str">
        <f>UPPER(TEXT(_2020_2022[[#This Row],[Data da Venda]],"mmm"))</f>
        <v>MAI</v>
      </c>
    </row>
    <row r="1260" spans="1:13" x14ac:dyDescent="0.25">
      <c r="A1260" t="s">
        <v>28</v>
      </c>
      <c r="B1260">
        <v>1400</v>
      </c>
      <c r="C1260">
        <v>2</v>
      </c>
      <c r="D1260" t="s">
        <v>30</v>
      </c>
      <c r="E1260" t="s">
        <v>645</v>
      </c>
      <c r="F1260" t="s">
        <v>1270</v>
      </c>
      <c r="G1260" t="s">
        <v>650</v>
      </c>
      <c r="H1260">
        <v>40</v>
      </c>
      <c r="I1260" t="s">
        <v>644</v>
      </c>
      <c r="J1260">
        <v>2800</v>
      </c>
      <c r="K1260" s="1">
        <v>44072</v>
      </c>
      <c r="L1260">
        <v>2020</v>
      </c>
      <c r="M1260" t="str">
        <f>UPPER(TEXT(_2020_2022[[#This Row],[Data da Venda]],"mmm"))</f>
        <v>AGO</v>
      </c>
    </row>
    <row r="1261" spans="1:13" x14ac:dyDescent="0.25">
      <c r="A1261" t="s">
        <v>15</v>
      </c>
      <c r="B1261">
        <v>1900</v>
      </c>
      <c r="C1261">
        <v>3</v>
      </c>
      <c r="D1261" t="s">
        <v>34</v>
      </c>
      <c r="E1261" t="s">
        <v>679</v>
      </c>
      <c r="F1261" t="s">
        <v>730</v>
      </c>
      <c r="G1261" t="s">
        <v>643</v>
      </c>
      <c r="H1261">
        <v>38</v>
      </c>
      <c r="I1261" t="s">
        <v>644</v>
      </c>
      <c r="J1261">
        <v>5700</v>
      </c>
      <c r="K1261" s="1">
        <v>44081</v>
      </c>
      <c r="L1261">
        <v>2020</v>
      </c>
      <c r="M1261" t="str">
        <f>UPPER(TEXT(_2020_2022[[#This Row],[Data da Venda]],"mmm"))</f>
        <v>SET</v>
      </c>
    </row>
    <row r="1262" spans="1:13" x14ac:dyDescent="0.25">
      <c r="A1262" t="s">
        <v>1445</v>
      </c>
      <c r="B1262">
        <v>1500</v>
      </c>
      <c r="C1262">
        <v>4</v>
      </c>
      <c r="D1262" t="s">
        <v>38</v>
      </c>
      <c r="E1262" t="s">
        <v>648</v>
      </c>
      <c r="F1262" t="s">
        <v>935</v>
      </c>
      <c r="G1262" t="s">
        <v>643</v>
      </c>
      <c r="H1262">
        <v>47</v>
      </c>
      <c r="I1262" t="s">
        <v>644</v>
      </c>
      <c r="J1262">
        <v>6000</v>
      </c>
      <c r="K1262" s="1">
        <v>44024</v>
      </c>
      <c r="L1262">
        <v>2020</v>
      </c>
      <c r="M1262" t="str">
        <f>UPPER(TEXT(_2020_2022[[#This Row],[Data da Venda]],"mmm"))</f>
        <v>JUL</v>
      </c>
    </row>
    <row r="1263" spans="1:13" x14ac:dyDescent="0.25">
      <c r="A1263" t="s">
        <v>5</v>
      </c>
      <c r="B1263">
        <v>1750</v>
      </c>
      <c r="C1263">
        <v>4</v>
      </c>
      <c r="D1263" t="s">
        <v>31</v>
      </c>
      <c r="E1263" t="s">
        <v>645</v>
      </c>
      <c r="F1263" t="s">
        <v>938</v>
      </c>
      <c r="G1263" t="s">
        <v>643</v>
      </c>
      <c r="H1263">
        <v>42</v>
      </c>
      <c r="I1263" t="s">
        <v>644</v>
      </c>
      <c r="J1263">
        <v>7000</v>
      </c>
      <c r="K1263" s="1">
        <v>43983</v>
      </c>
      <c r="L1263">
        <v>2020</v>
      </c>
      <c r="M1263" t="str">
        <f>UPPER(TEXT(_2020_2022[[#This Row],[Data da Venda]],"mmm"))</f>
        <v>JUN</v>
      </c>
    </row>
    <row r="1264" spans="1:13" x14ac:dyDescent="0.25">
      <c r="A1264" t="s">
        <v>1440</v>
      </c>
      <c r="B1264">
        <v>700</v>
      </c>
      <c r="C1264">
        <v>4</v>
      </c>
      <c r="D1264" t="s">
        <v>34</v>
      </c>
      <c r="E1264" t="s">
        <v>679</v>
      </c>
      <c r="F1264" t="s">
        <v>1271</v>
      </c>
      <c r="G1264" t="s">
        <v>643</v>
      </c>
      <c r="H1264">
        <v>36</v>
      </c>
      <c r="I1264" t="s">
        <v>644</v>
      </c>
      <c r="J1264">
        <v>2800</v>
      </c>
      <c r="K1264" s="1">
        <v>44105</v>
      </c>
      <c r="L1264">
        <v>2020</v>
      </c>
      <c r="M1264" t="str">
        <f>UPPER(TEXT(_2020_2022[[#This Row],[Data da Venda]],"mmm"))</f>
        <v>OUT</v>
      </c>
    </row>
    <row r="1265" spans="1:13" x14ac:dyDescent="0.25">
      <c r="A1265" t="s">
        <v>18</v>
      </c>
      <c r="B1265">
        <v>3000</v>
      </c>
      <c r="C1265">
        <v>3</v>
      </c>
      <c r="D1265" t="s">
        <v>36</v>
      </c>
      <c r="E1265" t="s">
        <v>677</v>
      </c>
      <c r="F1265" t="s">
        <v>838</v>
      </c>
      <c r="G1265" t="s">
        <v>643</v>
      </c>
      <c r="H1265">
        <v>53</v>
      </c>
      <c r="I1265" t="s">
        <v>647</v>
      </c>
      <c r="J1265">
        <v>9000</v>
      </c>
      <c r="K1265" s="1">
        <v>43899</v>
      </c>
      <c r="L1265">
        <v>2020</v>
      </c>
      <c r="M1265" t="str">
        <f>UPPER(TEXT(_2020_2022[[#This Row],[Data da Venda]],"mmm"))</f>
        <v>MAR</v>
      </c>
    </row>
    <row r="1266" spans="1:13" x14ac:dyDescent="0.25">
      <c r="A1266" t="s">
        <v>22</v>
      </c>
      <c r="B1266">
        <v>5200</v>
      </c>
      <c r="C1266">
        <v>5</v>
      </c>
      <c r="D1266" t="s">
        <v>40</v>
      </c>
      <c r="E1266" t="s">
        <v>657</v>
      </c>
      <c r="F1266" t="s">
        <v>770</v>
      </c>
      <c r="G1266" t="s">
        <v>643</v>
      </c>
      <c r="H1266">
        <v>31</v>
      </c>
      <c r="I1266" t="s">
        <v>644</v>
      </c>
      <c r="J1266">
        <v>26000</v>
      </c>
      <c r="K1266" s="1">
        <v>44121</v>
      </c>
      <c r="L1266">
        <v>2020</v>
      </c>
      <c r="M1266" t="str">
        <f>UPPER(TEXT(_2020_2022[[#This Row],[Data da Venda]],"mmm"))</f>
        <v>OUT</v>
      </c>
    </row>
    <row r="1267" spans="1:13" x14ac:dyDescent="0.25">
      <c r="A1267" t="s">
        <v>1440</v>
      </c>
      <c r="B1267">
        <v>700</v>
      </c>
      <c r="C1267">
        <v>2</v>
      </c>
      <c r="D1267" t="s">
        <v>36</v>
      </c>
      <c r="E1267" t="s">
        <v>677</v>
      </c>
      <c r="F1267" t="s">
        <v>1119</v>
      </c>
      <c r="G1267" t="s">
        <v>643</v>
      </c>
      <c r="H1267">
        <v>72</v>
      </c>
      <c r="I1267" t="s">
        <v>647</v>
      </c>
      <c r="J1267">
        <v>1400</v>
      </c>
      <c r="K1267" s="1">
        <v>43907</v>
      </c>
      <c r="L1267">
        <v>2020</v>
      </c>
      <c r="M1267" t="str">
        <f>UPPER(TEXT(_2020_2022[[#This Row],[Data da Venda]],"mmm"))</f>
        <v>MAR</v>
      </c>
    </row>
    <row r="1268" spans="1:13" x14ac:dyDescent="0.25">
      <c r="A1268" t="s">
        <v>26</v>
      </c>
      <c r="B1268">
        <v>1100</v>
      </c>
      <c r="C1268">
        <v>2</v>
      </c>
      <c r="D1268" t="s">
        <v>34</v>
      </c>
      <c r="E1268" t="s">
        <v>679</v>
      </c>
      <c r="F1268" t="s">
        <v>705</v>
      </c>
      <c r="G1268" t="s">
        <v>650</v>
      </c>
      <c r="H1268">
        <v>26</v>
      </c>
      <c r="I1268" t="s">
        <v>651</v>
      </c>
      <c r="J1268">
        <v>2200</v>
      </c>
      <c r="K1268" s="1">
        <v>43878</v>
      </c>
      <c r="L1268">
        <v>2020</v>
      </c>
      <c r="M1268" t="str">
        <f>UPPER(TEXT(_2020_2022[[#This Row],[Data da Venda]],"mmm"))</f>
        <v>FEV</v>
      </c>
    </row>
    <row r="1269" spans="1:13" x14ac:dyDescent="0.25">
      <c r="A1269" t="s">
        <v>7</v>
      </c>
      <c r="B1269">
        <v>750</v>
      </c>
      <c r="C1269">
        <v>5</v>
      </c>
      <c r="D1269" t="s">
        <v>36</v>
      </c>
      <c r="E1269" t="s">
        <v>677</v>
      </c>
      <c r="F1269" t="s">
        <v>756</v>
      </c>
      <c r="G1269" t="s">
        <v>643</v>
      </c>
      <c r="H1269">
        <v>59</v>
      </c>
      <c r="I1269" t="s">
        <v>647</v>
      </c>
      <c r="J1269">
        <v>3750</v>
      </c>
      <c r="K1269" s="1">
        <v>43964</v>
      </c>
      <c r="L1269">
        <v>2020</v>
      </c>
      <c r="M1269" t="str">
        <f>UPPER(TEXT(_2020_2022[[#This Row],[Data da Venda]],"mmm"))</f>
        <v>MAI</v>
      </c>
    </row>
    <row r="1270" spans="1:13" x14ac:dyDescent="0.25">
      <c r="A1270" t="s">
        <v>9</v>
      </c>
      <c r="B1270">
        <v>1500</v>
      </c>
      <c r="C1270">
        <v>3</v>
      </c>
      <c r="D1270" t="s">
        <v>35</v>
      </c>
      <c r="E1270" t="s">
        <v>666</v>
      </c>
      <c r="F1270" t="s">
        <v>1272</v>
      </c>
      <c r="G1270" t="s">
        <v>643</v>
      </c>
      <c r="H1270">
        <v>27</v>
      </c>
      <c r="I1270" t="s">
        <v>651</v>
      </c>
      <c r="J1270">
        <v>4500</v>
      </c>
      <c r="K1270" s="1">
        <v>44194</v>
      </c>
      <c r="L1270">
        <v>2020</v>
      </c>
      <c r="M1270" t="str">
        <f>UPPER(TEXT(_2020_2022[[#This Row],[Data da Venda]],"mmm"))</f>
        <v>DEZ</v>
      </c>
    </row>
    <row r="1271" spans="1:13" x14ac:dyDescent="0.25">
      <c r="A1271" t="s">
        <v>11</v>
      </c>
      <c r="B1271">
        <v>4500</v>
      </c>
      <c r="C1271">
        <v>3</v>
      </c>
      <c r="D1271" t="s">
        <v>32</v>
      </c>
      <c r="E1271" t="s">
        <v>652</v>
      </c>
      <c r="F1271" t="s">
        <v>768</v>
      </c>
      <c r="G1271" t="s">
        <v>643</v>
      </c>
      <c r="H1271">
        <v>56</v>
      </c>
      <c r="I1271" t="s">
        <v>647</v>
      </c>
      <c r="J1271">
        <v>13500</v>
      </c>
      <c r="K1271" s="1">
        <v>44157</v>
      </c>
      <c r="L1271">
        <v>2020</v>
      </c>
      <c r="M1271" t="str">
        <f>UPPER(TEXT(_2020_2022[[#This Row],[Data da Venda]],"mmm"))</f>
        <v>NOV</v>
      </c>
    </row>
    <row r="1272" spans="1:13" x14ac:dyDescent="0.25">
      <c r="A1272" t="s">
        <v>11</v>
      </c>
      <c r="B1272">
        <v>4500</v>
      </c>
      <c r="C1272">
        <v>5</v>
      </c>
      <c r="D1272" t="s">
        <v>31</v>
      </c>
      <c r="E1272" t="s">
        <v>645</v>
      </c>
      <c r="F1272" t="s">
        <v>817</v>
      </c>
      <c r="G1272" t="s">
        <v>643</v>
      </c>
      <c r="H1272">
        <v>32</v>
      </c>
      <c r="I1272" t="s">
        <v>644</v>
      </c>
      <c r="J1272">
        <v>22500</v>
      </c>
      <c r="K1272" s="1">
        <v>43960</v>
      </c>
      <c r="L1272">
        <v>2020</v>
      </c>
      <c r="M1272" t="str">
        <f>UPPER(TEXT(_2020_2022[[#This Row],[Data da Venda]],"mmm"))</f>
        <v>MAI</v>
      </c>
    </row>
    <row r="1273" spans="1:13" x14ac:dyDescent="0.25">
      <c r="A1273" t="s">
        <v>1440</v>
      </c>
      <c r="B1273">
        <v>700</v>
      </c>
      <c r="C1273">
        <v>4</v>
      </c>
      <c r="D1273" t="s">
        <v>29</v>
      </c>
      <c r="E1273" t="s">
        <v>641</v>
      </c>
      <c r="F1273" t="s">
        <v>1228</v>
      </c>
      <c r="G1273" t="s">
        <v>643</v>
      </c>
      <c r="H1273">
        <v>31</v>
      </c>
      <c r="I1273" t="s">
        <v>644</v>
      </c>
      <c r="J1273">
        <v>2800</v>
      </c>
      <c r="K1273" s="1">
        <v>43962</v>
      </c>
      <c r="L1273">
        <v>2020</v>
      </c>
      <c r="M1273" t="str">
        <f>UPPER(TEXT(_2020_2022[[#This Row],[Data da Venda]],"mmm"))</f>
        <v>MAI</v>
      </c>
    </row>
    <row r="1274" spans="1:13" x14ac:dyDescent="0.25">
      <c r="A1274" t="s">
        <v>5</v>
      </c>
      <c r="B1274">
        <v>1750</v>
      </c>
      <c r="C1274">
        <v>3</v>
      </c>
      <c r="D1274" t="s">
        <v>40</v>
      </c>
      <c r="E1274" t="s">
        <v>657</v>
      </c>
      <c r="F1274" t="s">
        <v>1076</v>
      </c>
      <c r="G1274" t="s">
        <v>650</v>
      </c>
      <c r="H1274">
        <v>42</v>
      </c>
      <c r="I1274" t="s">
        <v>644</v>
      </c>
      <c r="J1274">
        <v>5250</v>
      </c>
      <c r="K1274" s="1">
        <v>44176</v>
      </c>
      <c r="L1274">
        <v>2020</v>
      </c>
      <c r="M1274" t="str">
        <f>UPPER(TEXT(_2020_2022[[#This Row],[Data da Venda]],"mmm"))</f>
        <v>DEZ</v>
      </c>
    </row>
    <row r="1275" spans="1:13" x14ac:dyDescent="0.25">
      <c r="A1275" t="s">
        <v>15</v>
      </c>
      <c r="B1275">
        <v>1900</v>
      </c>
      <c r="C1275">
        <v>2</v>
      </c>
      <c r="D1275" t="s">
        <v>29</v>
      </c>
      <c r="E1275" t="s">
        <v>641</v>
      </c>
      <c r="F1275" t="s">
        <v>1126</v>
      </c>
      <c r="G1275" t="s">
        <v>643</v>
      </c>
      <c r="H1275">
        <v>33</v>
      </c>
      <c r="I1275" t="s">
        <v>644</v>
      </c>
      <c r="J1275">
        <v>3800</v>
      </c>
      <c r="K1275" s="1">
        <v>43964</v>
      </c>
      <c r="L1275">
        <v>2020</v>
      </c>
      <c r="M1275" t="str">
        <f>UPPER(TEXT(_2020_2022[[#This Row],[Data da Venda]],"mmm"))</f>
        <v>MAI</v>
      </c>
    </row>
    <row r="1276" spans="1:13" x14ac:dyDescent="0.25">
      <c r="A1276" t="s">
        <v>16</v>
      </c>
      <c r="B1276">
        <v>1400</v>
      </c>
      <c r="C1276">
        <v>1</v>
      </c>
      <c r="D1276" t="s">
        <v>37</v>
      </c>
      <c r="E1276" t="s">
        <v>645</v>
      </c>
      <c r="F1276" t="s">
        <v>676</v>
      </c>
      <c r="G1276" t="s">
        <v>650</v>
      </c>
      <c r="H1276">
        <v>60</v>
      </c>
      <c r="I1276" t="s">
        <v>647</v>
      </c>
      <c r="J1276">
        <v>1400</v>
      </c>
      <c r="K1276" s="1">
        <v>44057</v>
      </c>
      <c r="L1276">
        <v>2020</v>
      </c>
      <c r="M1276" t="str">
        <f>UPPER(TEXT(_2020_2022[[#This Row],[Data da Venda]],"mmm"))</f>
        <v>AGO</v>
      </c>
    </row>
    <row r="1277" spans="1:13" x14ac:dyDescent="0.25">
      <c r="A1277" t="s">
        <v>21</v>
      </c>
      <c r="B1277">
        <v>2400</v>
      </c>
      <c r="C1277">
        <v>4</v>
      </c>
      <c r="D1277" t="s">
        <v>29</v>
      </c>
      <c r="E1277" t="s">
        <v>641</v>
      </c>
      <c r="F1277" t="s">
        <v>663</v>
      </c>
      <c r="G1277" t="s">
        <v>650</v>
      </c>
      <c r="H1277">
        <v>60</v>
      </c>
      <c r="I1277" t="s">
        <v>647</v>
      </c>
      <c r="J1277">
        <v>9600</v>
      </c>
      <c r="K1277" s="1">
        <v>43976</v>
      </c>
      <c r="L1277">
        <v>2020</v>
      </c>
      <c r="M1277" t="str">
        <f>UPPER(TEXT(_2020_2022[[#This Row],[Data da Venda]],"mmm"))</f>
        <v>MAI</v>
      </c>
    </row>
    <row r="1278" spans="1:13" x14ac:dyDescent="0.25">
      <c r="A1278" t="s">
        <v>9</v>
      </c>
      <c r="B1278">
        <v>1500</v>
      </c>
      <c r="C1278">
        <v>1</v>
      </c>
      <c r="D1278" t="s">
        <v>37</v>
      </c>
      <c r="E1278" t="s">
        <v>645</v>
      </c>
      <c r="F1278" t="s">
        <v>1212</v>
      </c>
      <c r="G1278" t="s">
        <v>650</v>
      </c>
      <c r="H1278">
        <v>44</v>
      </c>
      <c r="I1278" t="s">
        <v>644</v>
      </c>
      <c r="J1278">
        <v>1500</v>
      </c>
      <c r="K1278" s="1">
        <v>43945</v>
      </c>
      <c r="L1278">
        <v>2020</v>
      </c>
      <c r="M1278" t="str">
        <f>UPPER(TEXT(_2020_2022[[#This Row],[Data da Venda]],"mmm"))</f>
        <v>ABR</v>
      </c>
    </row>
    <row r="1279" spans="1:13" x14ac:dyDescent="0.25">
      <c r="A1279" t="s">
        <v>12</v>
      </c>
      <c r="B1279">
        <v>6500</v>
      </c>
      <c r="C1279">
        <v>5</v>
      </c>
      <c r="D1279" t="s">
        <v>38</v>
      </c>
      <c r="E1279" t="s">
        <v>648</v>
      </c>
      <c r="F1279" t="s">
        <v>717</v>
      </c>
      <c r="G1279" t="s">
        <v>643</v>
      </c>
      <c r="H1279">
        <v>64</v>
      </c>
      <c r="I1279" t="s">
        <v>647</v>
      </c>
      <c r="J1279">
        <v>32500</v>
      </c>
      <c r="K1279" s="1">
        <v>44191</v>
      </c>
      <c r="L1279">
        <v>2020</v>
      </c>
      <c r="M1279" t="str">
        <f>UPPER(TEXT(_2020_2022[[#This Row],[Data da Venda]],"mmm"))</f>
        <v>DEZ</v>
      </c>
    </row>
    <row r="1280" spans="1:13" x14ac:dyDescent="0.25">
      <c r="A1280" t="s">
        <v>1444</v>
      </c>
      <c r="B1280">
        <v>1500</v>
      </c>
      <c r="C1280">
        <v>3</v>
      </c>
      <c r="D1280" t="s">
        <v>34</v>
      </c>
      <c r="E1280" t="s">
        <v>679</v>
      </c>
      <c r="F1280" t="s">
        <v>977</v>
      </c>
      <c r="G1280" t="s">
        <v>650</v>
      </c>
      <c r="H1280">
        <v>49</v>
      </c>
      <c r="I1280" t="s">
        <v>644</v>
      </c>
      <c r="J1280">
        <v>4500</v>
      </c>
      <c r="K1280" s="1">
        <v>43882</v>
      </c>
      <c r="L1280">
        <v>2020</v>
      </c>
      <c r="M1280" t="str">
        <f>UPPER(TEXT(_2020_2022[[#This Row],[Data da Venda]],"mmm"))</f>
        <v>FEV</v>
      </c>
    </row>
    <row r="1281" spans="1:13" x14ac:dyDescent="0.25">
      <c r="A1281" t="s">
        <v>15</v>
      </c>
      <c r="B1281">
        <v>1900</v>
      </c>
      <c r="C1281">
        <v>2</v>
      </c>
      <c r="D1281" t="s">
        <v>29</v>
      </c>
      <c r="E1281" t="s">
        <v>641</v>
      </c>
      <c r="F1281" t="s">
        <v>1228</v>
      </c>
      <c r="G1281" t="s">
        <v>643</v>
      </c>
      <c r="H1281">
        <v>31</v>
      </c>
      <c r="I1281" t="s">
        <v>644</v>
      </c>
      <c r="J1281">
        <v>3800</v>
      </c>
      <c r="K1281" s="1">
        <v>43853</v>
      </c>
      <c r="L1281">
        <v>2020</v>
      </c>
      <c r="M1281" t="str">
        <f>UPPER(TEXT(_2020_2022[[#This Row],[Data da Venda]],"mmm"))</f>
        <v>JAN</v>
      </c>
    </row>
    <row r="1282" spans="1:13" x14ac:dyDescent="0.25">
      <c r="A1282" t="s">
        <v>25</v>
      </c>
      <c r="B1282">
        <v>2500</v>
      </c>
      <c r="C1282">
        <v>1</v>
      </c>
      <c r="D1282" t="s">
        <v>35</v>
      </c>
      <c r="E1282" t="s">
        <v>666</v>
      </c>
      <c r="F1282" t="s">
        <v>1052</v>
      </c>
      <c r="G1282" t="s">
        <v>650</v>
      </c>
      <c r="H1282">
        <v>31</v>
      </c>
      <c r="I1282" t="s">
        <v>644</v>
      </c>
      <c r="J1282">
        <v>2500</v>
      </c>
      <c r="K1282" s="1">
        <v>43929</v>
      </c>
      <c r="L1282">
        <v>2020</v>
      </c>
      <c r="M1282" t="str">
        <f>UPPER(TEXT(_2020_2022[[#This Row],[Data da Venda]],"mmm"))</f>
        <v>ABR</v>
      </c>
    </row>
    <row r="1283" spans="1:13" x14ac:dyDescent="0.25">
      <c r="A1283" t="s">
        <v>5</v>
      </c>
      <c r="B1283">
        <v>1750</v>
      </c>
      <c r="C1283">
        <v>5</v>
      </c>
      <c r="D1283" t="s">
        <v>35</v>
      </c>
      <c r="E1283" t="s">
        <v>666</v>
      </c>
      <c r="F1283" t="s">
        <v>1181</v>
      </c>
      <c r="G1283" t="s">
        <v>643</v>
      </c>
      <c r="H1283">
        <v>69</v>
      </c>
      <c r="I1283" t="s">
        <v>647</v>
      </c>
      <c r="J1283">
        <v>8750</v>
      </c>
      <c r="K1283" s="1">
        <v>43880</v>
      </c>
      <c r="L1283">
        <v>2020</v>
      </c>
      <c r="M1283" t="str">
        <f>UPPER(TEXT(_2020_2022[[#This Row],[Data da Venda]],"mmm"))</f>
        <v>FEV</v>
      </c>
    </row>
    <row r="1284" spans="1:13" x14ac:dyDescent="0.25">
      <c r="A1284" t="s">
        <v>1445</v>
      </c>
      <c r="B1284">
        <v>1500</v>
      </c>
      <c r="C1284">
        <v>2</v>
      </c>
      <c r="D1284" t="s">
        <v>29</v>
      </c>
      <c r="E1284" t="s">
        <v>641</v>
      </c>
      <c r="F1284" t="s">
        <v>1232</v>
      </c>
      <c r="G1284" t="s">
        <v>643</v>
      </c>
      <c r="H1284">
        <v>64</v>
      </c>
      <c r="I1284" t="s">
        <v>647</v>
      </c>
      <c r="J1284">
        <v>3000</v>
      </c>
      <c r="K1284" s="1">
        <v>43994</v>
      </c>
      <c r="L1284">
        <v>2020</v>
      </c>
      <c r="M1284" t="str">
        <f>UPPER(TEXT(_2020_2022[[#This Row],[Data da Venda]],"mmm"))</f>
        <v>JUN</v>
      </c>
    </row>
    <row r="1285" spans="1:13" x14ac:dyDescent="0.25">
      <c r="A1285" t="s">
        <v>9</v>
      </c>
      <c r="B1285">
        <v>1500</v>
      </c>
      <c r="C1285">
        <v>5</v>
      </c>
      <c r="D1285" t="s">
        <v>41</v>
      </c>
      <c r="E1285" t="s">
        <v>681</v>
      </c>
      <c r="F1285" t="s">
        <v>1063</v>
      </c>
      <c r="G1285" t="s">
        <v>650</v>
      </c>
      <c r="H1285">
        <v>27</v>
      </c>
      <c r="I1285" t="s">
        <v>651</v>
      </c>
      <c r="J1285">
        <v>7500</v>
      </c>
      <c r="K1285" s="1">
        <v>43944</v>
      </c>
      <c r="L1285">
        <v>2020</v>
      </c>
      <c r="M1285" t="str">
        <f>UPPER(TEXT(_2020_2022[[#This Row],[Data da Venda]],"mmm"))</f>
        <v>ABR</v>
      </c>
    </row>
    <row r="1286" spans="1:13" x14ac:dyDescent="0.25">
      <c r="A1286" t="s">
        <v>7</v>
      </c>
      <c r="B1286">
        <v>750</v>
      </c>
      <c r="C1286">
        <v>1</v>
      </c>
      <c r="D1286" t="s">
        <v>32</v>
      </c>
      <c r="E1286" t="s">
        <v>652</v>
      </c>
      <c r="F1286" t="s">
        <v>871</v>
      </c>
      <c r="G1286" t="s">
        <v>650</v>
      </c>
      <c r="H1286">
        <v>56</v>
      </c>
      <c r="I1286" t="s">
        <v>647</v>
      </c>
      <c r="J1286">
        <v>750</v>
      </c>
      <c r="K1286" s="1">
        <v>43966</v>
      </c>
      <c r="L1286">
        <v>2020</v>
      </c>
      <c r="M1286" t="str">
        <f>UPPER(TEXT(_2020_2022[[#This Row],[Data da Venda]],"mmm"))</f>
        <v>MAI</v>
      </c>
    </row>
    <row r="1287" spans="1:13" x14ac:dyDescent="0.25">
      <c r="A1287" t="s">
        <v>15</v>
      </c>
      <c r="B1287">
        <v>1900</v>
      </c>
      <c r="C1287">
        <v>2</v>
      </c>
      <c r="D1287" t="s">
        <v>36</v>
      </c>
      <c r="E1287" t="s">
        <v>677</v>
      </c>
      <c r="F1287" t="s">
        <v>733</v>
      </c>
      <c r="G1287" t="s">
        <v>643</v>
      </c>
      <c r="H1287">
        <v>75</v>
      </c>
      <c r="I1287" t="s">
        <v>647</v>
      </c>
      <c r="J1287">
        <v>3800</v>
      </c>
      <c r="K1287" s="1">
        <v>44085</v>
      </c>
      <c r="L1287">
        <v>2020</v>
      </c>
      <c r="M1287" t="str">
        <f>UPPER(TEXT(_2020_2022[[#This Row],[Data da Venda]],"mmm"))</f>
        <v>SET</v>
      </c>
    </row>
    <row r="1288" spans="1:13" x14ac:dyDescent="0.25">
      <c r="A1288" t="s">
        <v>20</v>
      </c>
      <c r="B1288">
        <v>2600</v>
      </c>
      <c r="C1288">
        <v>4</v>
      </c>
      <c r="D1288" t="s">
        <v>34</v>
      </c>
      <c r="E1288" t="s">
        <v>679</v>
      </c>
      <c r="F1288" t="s">
        <v>996</v>
      </c>
      <c r="G1288" t="s">
        <v>650</v>
      </c>
      <c r="H1288">
        <v>66</v>
      </c>
      <c r="I1288" t="s">
        <v>647</v>
      </c>
      <c r="J1288">
        <v>10400</v>
      </c>
      <c r="K1288" s="1">
        <v>44111</v>
      </c>
      <c r="L1288">
        <v>2020</v>
      </c>
      <c r="M1288" t="str">
        <f>UPPER(TEXT(_2020_2022[[#This Row],[Data da Venda]],"mmm"))</f>
        <v>OUT</v>
      </c>
    </row>
    <row r="1289" spans="1:13" x14ac:dyDescent="0.25">
      <c r="A1289" t="s">
        <v>1441</v>
      </c>
      <c r="B1289">
        <v>1450</v>
      </c>
      <c r="C1289">
        <v>5</v>
      </c>
      <c r="D1289" t="s">
        <v>32</v>
      </c>
      <c r="E1289" t="s">
        <v>652</v>
      </c>
      <c r="F1289" t="s">
        <v>909</v>
      </c>
      <c r="G1289" t="s">
        <v>650</v>
      </c>
      <c r="H1289">
        <v>67</v>
      </c>
      <c r="I1289" t="s">
        <v>647</v>
      </c>
      <c r="J1289">
        <v>7250</v>
      </c>
      <c r="K1289" s="1">
        <v>43993</v>
      </c>
      <c r="L1289">
        <v>2020</v>
      </c>
      <c r="M1289" t="str">
        <f>UPPER(TEXT(_2020_2022[[#This Row],[Data da Venda]],"mmm"))</f>
        <v>JUN</v>
      </c>
    </row>
    <row r="1290" spans="1:13" x14ac:dyDescent="0.25">
      <c r="A1290" t="s">
        <v>12</v>
      </c>
      <c r="B1290">
        <v>6500</v>
      </c>
      <c r="C1290">
        <v>2</v>
      </c>
      <c r="D1290" t="s">
        <v>29</v>
      </c>
      <c r="E1290" t="s">
        <v>641</v>
      </c>
      <c r="F1290" t="s">
        <v>1273</v>
      </c>
      <c r="G1290" t="s">
        <v>643</v>
      </c>
      <c r="H1290">
        <v>74</v>
      </c>
      <c r="I1290" t="s">
        <v>647</v>
      </c>
      <c r="J1290">
        <v>13000</v>
      </c>
      <c r="K1290" s="1">
        <v>44141</v>
      </c>
      <c r="L1290">
        <v>2020</v>
      </c>
      <c r="M1290" t="str">
        <f>UPPER(TEXT(_2020_2022[[#This Row],[Data da Venda]],"mmm"))</f>
        <v>NOV</v>
      </c>
    </row>
    <row r="1291" spans="1:13" x14ac:dyDescent="0.25">
      <c r="A1291" t="s">
        <v>22</v>
      </c>
      <c r="B1291">
        <v>5200</v>
      </c>
      <c r="C1291">
        <v>5</v>
      </c>
      <c r="D1291" t="s">
        <v>38</v>
      </c>
      <c r="E1291" t="s">
        <v>648</v>
      </c>
      <c r="F1291" t="s">
        <v>867</v>
      </c>
      <c r="G1291" t="s">
        <v>643</v>
      </c>
      <c r="H1291">
        <v>37</v>
      </c>
      <c r="I1291" t="s">
        <v>644</v>
      </c>
      <c r="J1291">
        <v>26000</v>
      </c>
      <c r="K1291" s="1">
        <v>44059</v>
      </c>
      <c r="L1291">
        <v>2020</v>
      </c>
      <c r="M1291" t="str">
        <f>UPPER(TEXT(_2020_2022[[#This Row],[Data da Venda]],"mmm"))</f>
        <v>AGO</v>
      </c>
    </row>
    <row r="1292" spans="1:13" x14ac:dyDescent="0.25">
      <c r="A1292" t="s">
        <v>13</v>
      </c>
      <c r="B1292">
        <v>2300</v>
      </c>
      <c r="C1292">
        <v>4</v>
      </c>
      <c r="D1292" t="s">
        <v>36</v>
      </c>
      <c r="E1292" t="s">
        <v>677</v>
      </c>
      <c r="F1292" t="s">
        <v>1274</v>
      </c>
      <c r="G1292" t="s">
        <v>650</v>
      </c>
      <c r="H1292">
        <v>36</v>
      </c>
      <c r="I1292" t="s">
        <v>644</v>
      </c>
      <c r="J1292">
        <v>9200</v>
      </c>
      <c r="K1292" s="1">
        <v>44166</v>
      </c>
      <c r="L1292">
        <v>2020</v>
      </c>
      <c r="M1292" t="str">
        <f>UPPER(TEXT(_2020_2022[[#This Row],[Data da Venda]],"mmm"))</f>
        <v>DEZ</v>
      </c>
    </row>
    <row r="1293" spans="1:13" x14ac:dyDescent="0.25">
      <c r="A1293" t="s">
        <v>1443</v>
      </c>
      <c r="B1293">
        <v>1550</v>
      </c>
      <c r="C1293">
        <v>2</v>
      </c>
      <c r="D1293" t="s">
        <v>29</v>
      </c>
      <c r="E1293" t="s">
        <v>641</v>
      </c>
      <c r="F1293" t="s">
        <v>982</v>
      </c>
      <c r="G1293" t="s">
        <v>643</v>
      </c>
      <c r="H1293">
        <v>29</v>
      </c>
      <c r="I1293" t="s">
        <v>651</v>
      </c>
      <c r="J1293">
        <v>3100</v>
      </c>
      <c r="K1293" s="1">
        <v>43955</v>
      </c>
      <c r="L1293">
        <v>2020</v>
      </c>
      <c r="M1293" t="str">
        <f>UPPER(TEXT(_2020_2022[[#This Row],[Data da Venda]],"mmm"))</f>
        <v>MAI</v>
      </c>
    </row>
    <row r="1294" spans="1:13" x14ac:dyDescent="0.25">
      <c r="A1294" t="s">
        <v>16</v>
      </c>
      <c r="B1294">
        <v>1400</v>
      </c>
      <c r="C1294">
        <v>2</v>
      </c>
      <c r="D1294" t="s">
        <v>30</v>
      </c>
      <c r="E1294" t="s">
        <v>645</v>
      </c>
      <c r="F1294" t="s">
        <v>1117</v>
      </c>
      <c r="G1294" t="s">
        <v>650</v>
      </c>
      <c r="H1294">
        <v>54</v>
      </c>
      <c r="I1294" t="s">
        <v>647</v>
      </c>
      <c r="J1294">
        <v>2800</v>
      </c>
      <c r="K1294" s="1">
        <v>43989</v>
      </c>
      <c r="L1294">
        <v>2020</v>
      </c>
      <c r="M1294" t="str">
        <f>UPPER(TEXT(_2020_2022[[#This Row],[Data da Venda]],"mmm"))</f>
        <v>JUN</v>
      </c>
    </row>
    <row r="1295" spans="1:13" x14ac:dyDescent="0.25">
      <c r="A1295" t="s">
        <v>28</v>
      </c>
      <c r="B1295">
        <v>1400</v>
      </c>
      <c r="C1295">
        <v>4</v>
      </c>
      <c r="D1295" t="s">
        <v>37</v>
      </c>
      <c r="E1295" t="s">
        <v>645</v>
      </c>
      <c r="F1295" t="s">
        <v>1211</v>
      </c>
      <c r="G1295" t="s">
        <v>650</v>
      </c>
      <c r="H1295">
        <v>50</v>
      </c>
      <c r="I1295" t="s">
        <v>644</v>
      </c>
      <c r="J1295">
        <v>5600</v>
      </c>
      <c r="K1295" s="1">
        <v>43948</v>
      </c>
      <c r="L1295">
        <v>2020</v>
      </c>
      <c r="M1295" t="str">
        <f>UPPER(TEXT(_2020_2022[[#This Row],[Data da Venda]],"mmm"))</f>
        <v>ABR</v>
      </c>
    </row>
    <row r="1296" spans="1:13" x14ac:dyDescent="0.25">
      <c r="A1296" t="s">
        <v>9</v>
      </c>
      <c r="B1296">
        <v>1500</v>
      </c>
      <c r="C1296">
        <v>5</v>
      </c>
      <c r="D1296" t="s">
        <v>37</v>
      </c>
      <c r="E1296" t="s">
        <v>645</v>
      </c>
      <c r="F1296" t="s">
        <v>968</v>
      </c>
      <c r="G1296" t="s">
        <v>650</v>
      </c>
      <c r="H1296">
        <v>25</v>
      </c>
      <c r="I1296" t="s">
        <v>651</v>
      </c>
      <c r="J1296">
        <v>7500</v>
      </c>
      <c r="K1296" s="1">
        <v>43924</v>
      </c>
      <c r="L1296">
        <v>2020</v>
      </c>
      <c r="M1296" t="str">
        <f>UPPER(TEXT(_2020_2022[[#This Row],[Data da Venda]],"mmm"))</f>
        <v>ABR</v>
      </c>
    </row>
    <row r="1297" spans="1:13" x14ac:dyDescent="0.25">
      <c r="A1297" t="s">
        <v>22</v>
      </c>
      <c r="B1297">
        <v>5200</v>
      </c>
      <c r="C1297">
        <v>5</v>
      </c>
      <c r="D1297" t="s">
        <v>36</v>
      </c>
      <c r="E1297" t="s">
        <v>677</v>
      </c>
      <c r="F1297" t="s">
        <v>1087</v>
      </c>
      <c r="G1297" t="s">
        <v>643</v>
      </c>
      <c r="H1297">
        <v>56</v>
      </c>
      <c r="I1297" t="s">
        <v>647</v>
      </c>
      <c r="J1297">
        <v>26000</v>
      </c>
      <c r="K1297" s="1">
        <v>43967</v>
      </c>
      <c r="L1297">
        <v>2020</v>
      </c>
      <c r="M1297" t="str">
        <f>UPPER(TEXT(_2020_2022[[#This Row],[Data da Venda]],"mmm"))</f>
        <v>MAI</v>
      </c>
    </row>
    <row r="1298" spans="1:13" x14ac:dyDescent="0.25">
      <c r="A1298" t="s">
        <v>14</v>
      </c>
      <c r="B1298">
        <v>2000</v>
      </c>
      <c r="C1298">
        <v>2</v>
      </c>
      <c r="D1298" t="s">
        <v>39</v>
      </c>
      <c r="E1298" t="s">
        <v>641</v>
      </c>
      <c r="F1298" t="s">
        <v>1275</v>
      </c>
      <c r="G1298" t="s">
        <v>643</v>
      </c>
      <c r="H1298">
        <v>26</v>
      </c>
      <c r="I1298" t="s">
        <v>651</v>
      </c>
      <c r="J1298">
        <v>4000</v>
      </c>
      <c r="K1298" s="1">
        <v>44093</v>
      </c>
      <c r="L1298">
        <v>2020</v>
      </c>
      <c r="M1298" t="str">
        <f>UPPER(TEXT(_2020_2022[[#This Row],[Data da Venda]],"mmm"))</f>
        <v>SET</v>
      </c>
    </row>
    <row r="1299" spans="1:13" x14ac:dyDescent="0.25">
      <c r="A1299" t="s">
        <v>9</v>
      </c>
      <c r="B1299">
        <v>1500</v>
      </c>
      <c r="C1299">
        <v>1</v>
      </c>
      <c r="D1299" t="s">
        <v>29</v>
      </c>
      <c r="E1299" t="s">
        <v>641</v>
      </c>
      <c r="F1299" t="s">
        <v>757</v>
      </c>
      <c r="G1299" t="s">
        <v>643</v>
      </c>
      <c r="H1299">
        <v>30</v>
      </c>
      <c r="I1299" t="s">
        <v>644</v>
      </c>
      <c r="J1299">
        <v>1500</v>
      </c>
      <c r="K1299" s="1">
        <v>44091</v>
      </c>
      <c r="L1299">
        <v>2020</v>
      </c>
      <c r="M1299" t="str">
        <f>UPPER(TEXT(_2020_2022[[#This Row],[Data da Venda]],"mmm"))</f>
        <v>SET</v>
      </c>
    </row>
    <row r="1300" spans="1:13" x14ac:dyDescent="0.25">
      <c r="A1300" t="s">
        <v>20</v>
      </c>
      <c r="B1300">
        <v>2600</v>
      </c>
      <c r="C1300">
        <v>3</v>
      </c>
      <c r="D1300" t="s">
        <v>30</v>
      </c>
      <c r="E1300" t="s">
        <v>645</v>
      </c>
      <c r="F1300" t="s">
        <v>899</v>
      </c>
      <c r="G1300" t="s">
        <v>650</v>
      </c>
      <c r="H1300">
        <v>69</v>
      </c>
      <c r="I1300" t="s">
        <v>647</v>
      </c>
      <c r="J1300">
        <v>7800</v>
      </c>
      <c r="K1300" s="1">
        <v>44148</v>
      </c>
      <c r="L1300">
        <v>2020</v>
      </c>
      <c r="M1300" t="str">
        <f>UPPER(TEXT(_2020_2022[[#This Row],[Data da Venda]],"mmm"))</f>
        <v>NOV</v>
      </c>
    </row>
    <row r="1301" spans="1:13" x14ac:dyDescent="0.25">
      <c r="A1301" t="s">
        <v>13</v>
      </c>
      <c r="B1301">
        <v>2300</v>
      </c>
      <c r="C1301">
        <v>3</v>
      </c>
      <c r="D1301" t="s">
        <v>40</v>
      </c>
      <c r="E1301" t="s">
        <v>657</v>
      </c>
      <c r="F1301" t="s">
        <v>932</v>
      </c>
      <c r="G1301" t="s">
        <v>643</v>
      </c>
      <c r="H1301">
        <v>37</v>
      </c>
      <c r="I1301" t="s">
        <v>644</v>
      </c>
      <c r="J1301">
        <v>6900</v>
      </c>
      <c r="K1301" s="1">
        <v>44073</v>
      </c>
      <c r="L1301">
        <v>2020</v>
      </c>
      <c r="M1301" t="str">
        <f>UPPER(TEXT(_2020_2022[[#This Row],[Data da Venda]],"mmm"))</f>
        <v>AGO</v>
      </c>
    </row>
    <row r="1302" spans="1:13" x14ac:dyDescent="0.25">
      <c r="A1302" t="s">
        <v>20</v>
      </c>
      <c r="B1302">
        <v>2600</v>
      </c>
      <c r="C1302">
        <v>3</v>
      </c>
      <c r="D1302" t="s">
        <v>31</v>
      </c>
      <c r="E1302" t="s">
        <v>645</v>
      </c>
      <c r="F1302" t="s">
        <v>1064</v>
      </c>
      <c r="G1302" t="s">
        <v>643</v>
      </c>
      <c r="H1302">
        <v>64</v>
      </c>
      <c r="I1302" t="s">
        <v>647</v>
      </c>
      <c r="J1302">
        <v>7800</v>
      </c>
      <c r="K1302" s="1">
        <v>44073</v>
      </c>
      <c r="L1302">
        <v>2020</v>
      </c>
      <c r="M1302" t="str">
        <f>UPPER(TEXT(_2020_2022[[#This Row],[Data da Venda]],"mmm"))</f>
        <v>AGO</v>
      </c>
    </row>
    <row r="1303" spans="1:13" x14ac:dyDescent="0.25">
      <c r="A1303" t="s">
        <v>16</v>
      </c>
      <c r="B1303">
        <v>1400</v>
      </c>
      <c r="C1303">
        <v>3</v>
      </c>
      <c r="D1303" t="s">
        <v>37</v>
      </c>
      <c r="E1303" t="s">
        <v>645</v>
      </c>
      <c r="F1303" t="s">
        <v>870</v>
      </c>
      <c r="G1303" t="s">
        <v>643</v>
      </c>
      <c r="H1303">
        <v>40</v>
      </c>
      <c r="I1303" t="s">
        <v>644</v>
      </c>
      <c r="J1303">
        <v>4200</v>
      </c>
      <c r="K1303" s="1">
        <v>44180</v>
      </c>
      <c r="L1303">
        <v>2020</v>
      </c>
      <c r="M1303" t="str">
        <f>UPPER(TEXT(_2020_2022[[#This Row],[Data da Venda]],"mmm"))</f>
        <v>DEZ</v>
      </c>
    </row>
    <row r="1304" spans="1:13" x14ac:dyDescent="0.25">
      <c r="A1304" t="s">
        <v>22</v>
      </c>
      <c r="B1304">
        <v>5200</v>
      </c>
      <c r="C1304">
        <v>5</v>
      </c>
      <c r="D1304" t="s">
        <v>41</v>
      </c>
      <c r="E1304" t="s">
        <v>681</v>
      </c>
      <c r="F1304" t="s">
        <v>1276</v>
      </c>
      <c r="G1304" t="s">
        <v>643</v>
      </c>
      <c r="H1304">
        <v>47</v>
      </c>
      <c r="I1304" t="s">
        <v>644</v>
      </c>
      <c r="J1304">
        <v>26000</v>
      </c>
      <c r="K1304" s="1">
        <v>44001</v>
      </c>
      <c r="L1304">
        <v>2020</v>
      </c>
      <c r="M1304" t="str">
        <f>UPPER(TEXT(_2020_2022[[#This Row],[Data da Venda]],"mmm"))</f>
        <v>JUN</v>
      </c>
    </row>
    <row r="1305" spans="1:13" x14ac:dyDescent="0.25">
      <c r="A1305" t="s">
        <v>1444</v>
      </c>
      <c r="B1305">
        <v>1500</v>
      </c>
      <c r="C1305">
        <v>4</v>
      </c>
      <c r="D1305" t="s">
        <v>32</v>
      </c>
      <c r="E1305" t="s">
        <v>652</v>
      </c>
      <c r="F1305" t="s">
        <v>1277</v>
      </c>
      <c r="G1305" t="s">
        <v>650</v>
      </c>
      <c r="H1305">
        <v>55</v>
      </c>
      <c r="I1305" t="s">
        <v>647</v>
      </c>
      <c r="J1305">
        <v>6000</v>
      </c>
      <c r="K1305" s="1">
        <v>44052</v>
      </c>
      <c r="L1305">
        <v>2020</v>
      </c>
      <c r="M1305" t="str">
        <f>UPPER(TEXT(_2020_2022[[#This Row],[Data da Venda]],"mmm"))</f>
        <v>AGO</v>
      </c>
    </row>
    <row r="1306" spans="1:13" x14ac:dyDescent="0.25">
      <c r="A1306" t="s">
        <v>1442</v>
      </c>
      <c r="B1306">
        <v>1200</v>
      </c>
      <c r="C1306">
        <v>4</v>
      </c>
      <c r="D1306" t="s">
        <v>34</v>
      </c>
      <c r="E1306" t="s">
        <v>679</v>
      </c>
      <c r="F1306" t="s">
        <v>700</v>
      </c>
      <c r="G1306" t="s">
        <v>650</v>
      </c>
      <c r="H1306">
        <v>40</v>
      </c>
      <c r="I1306" t="s">
        <v>644</v>
      </c>
      <c r="J1306">
        <v>4800</v>
      </c>
      <c r="K1306" s="1">
        <v>43994</v>
      </c>
      <c r="L1306">
        <v>2020</v>
      </c>
      <c r="M1306" t="str">
        <f>UPPER(TEXT(_2020_2022[[#This Row],[Data da Venda]],"mmm"))</f>
        <v>JUN</v>
      </c>
    </row>
    <row r="1307" spans="1:13" x14ac:dyDescent="0.25">
      <c r="A1307" t="s">
        <v>24</v>
      </c>
      <c r="B1307">
        <v>2000</v>
      </c>
      <c r="C1307">
        <v>3</v>
      </c>
      <c r="D1307" t="s">
        <v>40</v>
      </c>
      <c r="E1307" t="s">
        <v>657</v>
      </c>
      <c r="F1307" t="s">
        <v>770</v>
      </c>
      <c r="G1307" t="s">
        <v>643</v>
      </c>
      <c r="H1307">
        <v>31</v>
      </c>
      <c r="I1307" t="s">
        <v>644</v>
      </c>
      <c r="J1307">
        <v>6000</v>
      </c>
      <c r="K1307" s="1">
        <v>44070</v>
      </c>
      <c r="L1307">
        <v>2020</v>
      </c>
      <c r="M1307" t="str">
        <f>UPPER(TEXT(_2020_2022[[#This Row],[Data da Venda]],"mmm"))</f>
        <v>AGO</v>
      </c>
    </row>
    <row r="1308" spans="1:13" x14ac:dyDescent="0.25">
      <c r="A1308" t="s">
        <v>25</v>
      </c>
      <c r="B1308">
        <v>2500</v>
      </c>
      <c r="C1308">
        <v>3</v>
      </c>
      <c r="D1308" t="s">
        <v>29</v>
      </c>
      <c r="E1308" t="s">
        <v>641</v>
      </c>
      <c r="F1308" t="s">
        <v>1040</v>
      </c>
      <c r="G1308" t="s">
        <v>650</v>
      </c>
      <c r="H1308">
        <v>46</v>
      </c>
      <c r="I1308" t="s">
        <v>644</v>
      </c>
      <c r="J1308">
        <v>7500</v>
      </c>
      <c r="K1308" s="1">
        <v>44094</v>
      </c>
      <c r="L1308">
        <v>2020</v>
      </c>
      <c r="M1308" t="str">
        <f>UPPER(TEXT(_2020_2022[[#This Row],[Data da Venda]],"mmm"))</f>
        <v>SET</v>
      </c>
    </row>
    <row r="1309" spans="1:13" x14ac:dyDescent="0.25">
      <c r="A1309" t="s">
        <v>12</v>
      </c>
      <c r="B1309">
        <v>6500</v>
      </c>
      <c r="C1309">
        <v>4</v>
      </c>
      <c r="D1309" t="s">
        <v>40</v>
      </c>
      <c r="E1309" t="s">
        <v>657</v>
      </c>
      <c r="F1309" t="s">
        <v>932</v>
      </c>
      <c r="G1309" t="s">
        <v>643</v>
      </c>
      <c r="H1309">
        <v>37</v>
      </c>
      <c r="I1309" t="s">
        <v>644</v>
      </c>
      <c r="J1309">
        <v>26000</v>
      </c>
      <c r="K1309" s="1">
        <v>44077</v>
      </c>
      <c r="L1309">
        <v>2020</v>
      </c>
      <c r="M1309" t="str">
        <f>UPPER(TEXT(_2020_2022[[#This Row],[Data da Venda]],"mmm"))</f>
        <v>SET</v>
      </c>
    </row>
    <row r="1310" spans="1:13" x14ac:dyDescent="0.25">
      <c r="A1310" t="s">
        <v>18</v>
      </c>
      <c r="B1310">
        <v>3000</v>
      </c>
      <c r="C1310">
        <v>2</v>
      </c>
      <c r="D1310" t="s">
        <v>32</v>
      </c>
      <c r="E1310" t="s">
        <v>652</v>
      </c>
      <c r="F1310" t="s">
        <v>1151</v>
      </c>
      <c r="G1310" t="s">
        <v>650</v>
      </c>
      <c r="H1310">
        <v>28</v>
      </c>
      <c r="I1310" t="s">
        <v>651</v>
      </c>
      <c r="J1310">
        <v>6000</v>
      </c>
      <c r="K1310" s="1">
        <v>44099</v>
      </c>
      <c r="L1310">
        <v>2020</v>
      </c>
      <c r="M1310" t="str">
        <f>UPPER(TEXT(_2020_2022[[#This Row],[Data da Venda]],"mmm"))</f>
        <v>SET</v>
      </c>
    </row>
    <row r="1311" spans="1:13" x14ac:dyDescent="0.25">
      <c r="A1311" t="s">
        <v>24</v>
      </c>
      <c r="B1311">
        <v>2000</v>
      </c>
      <c r="C1311">
        <v>2</v>
      </c>
      <c r="D1311" t="s">
        <v>41</v>
      </c>
      <c r="E1311" t="s">
        <v>681</v>
      </c>
      <c r="F1311" t="s">
        <v>1278</v>
      </c>
      <c r="G1311" t="s">
        <v>650</v>
      </c>
      <c r="H1311">
        <v>52</v>
      </c>
      <c r="I1311" t="s">
        <v>647</v>
      </c>
      <c r="J1311">
        <v>4000</v>
      </c>
      <c r="K1311" s="1">
        <v>43980</v>
      </c>
      <c r="L1311">
        <v>2020</v>
      </c>
      <c r="M1311" t="str">
        <f>UPPER(TEXT(_2020_2022[[#This Row],[Data da Venda]],"mmm"))</f>
        <v>MAI</v>
      </c>
    </row>
    <row r="1312" spans="1:13" x14ac:dyDescent="0.25">
      <c r="A1312" t="s">
        <v>1443</v>
      </c>
      <c r="B1312">
        <v>1550</v>
      </c>
      <c r="C1312">
        <v>2</v>
      </c>
      <c r="D1312" t="s">
        <v>30</v>
      </c>
      <c r="E1312" t="s">
        <v>645</v>
      </c>
      <c r="F1312" t="s">
        <v>963</v>
      </c>
      <c r="G1312" t="s">
        <v>643</v>
      </c>
      <c r="H1312">
        <v>60</v>
      </c>
      <c r="I1312" t="s">
        <v>647</v>
      </c>
      <c r="J1312">
        <v>3100</v>
      </c>
      <c r="K1312" s="1">
        <v>43939</v>
      </c>
      <c r="L1312">
        <v>2020</v>
      </c>
      <c r="M1312" t="str">
        <f>UPPER(TEXT(_2020_2022[[#This Row],[Data da Venda]],"mmm"))</f>
        <v>ABR</v>
      </c>
    </row>
    <row r="1313" spans="1:13" x14ac:dyDescent="0.25">
      <c r="A1313" t="s">
        <v>21</v>
      </c>
      <c r="B1313">
        <v>2400</v>
      </c>
      <c r="C1313">
        <v>1</v>
      </c>
      <c r="D1313" t="s">
        <v>33</v>
      </c>
      <c r="E1313" t="s">
        <v>641</v>
      </c>
      <c r="F1313" t="s">
        <v>683</v>
      </c>
      <c r="G1313" t="s">
        <v>643</v>
      </c>
      <c r="H1313">
        <v>76</v>
      </c>
      <c r="I1313" t="s">
        <v>647</v>
      </c>
      <c r="J1313">
        <v>2400</v>
      </c>
      <c r="K1313" s="1">
        <v>44037</v>
      </c>
      <c r="L1313">
        <v>2020</v>
      </c>
      <c r="M1313" t="str">
        <f>UPPER(TEXT(_2020_2022[[#This Row],[Data da Venda]],"mmm"))</f>
        <v>JUL</v>
      </c>
    </row>
    <row r="1314" spans="1:13" x14ac:dyDescent="0.25">
      <c r="A1314" t="s">
        <v>18</v>
      </c>
      <c r="B1314">
        <v>3000</v>
      </c>
      <c r="C1314">
        <v>4</v>
      </c>
      <c r="D1314" t="s">
        <v>38</v>
      </c>
      <c r="E1314" t="s">
        <v>648</v>
      </c>
      <c r="F1314" t="s">
        <v>911</v>
      </c>
      <c r="G1314" t="s">
        <v>650</v>
      </c>
      <c r="H1314">
        <v>42</v>
      </c>
      <c r="I1314" t="s">
        <v>644</v>
      </c>
      <c r="J1314">
        <v>12000</v>
      </c>
      <c r="K1314" s="1">
        <v>43860</v>
      </c>
      <c r="L1314">
        <v>2020</v>
      </c>
      <c r="M1314" t="str">
        <f>UPPER(TEXT(_2020_2022[[#This Row],[Data da Venda]],"mmm"))</f>
        <v>JAN</v>
      </c>
    </row>
    <row r="1315" spans="1:13" x14ac:dyDescent="0.25">
      <c r="A1315" t="s">
        <v>28</v>
      </c>
      <c r="B1315">
        <v>1400</v>
      </c>
      <c r="C1315">
        <v>4</v>
      </c>
      <c r="D1315" t="s">
        <v>36</v>
      </c>
      <c r="E1315" t="s">
        <v>677</v>
      </c>
      <c r="F1315" t="s">
        <v>825</v>
      </c>
      <c r="G1315" t="s">
        <v>643</v>
      </c>
      <c r="H1315">
        <v>27</v>
      </c>
      <c r="I1315" t="s">
        <v>651</v>
      </c>
      <c r="J1315">
        <v>5600</v>
      </c>
      <c r="K1315" s="1">
        <v>43967</v>
      </c>
      <c r="L1315">
        <v>2020</v>
      </c>
      <c r="M1315" t="str">
        <f>UPPER(TEXT(_2020_2022[[#This Row],[Data da Venda]],"mmm"))</f>
        <v>MAI</v>
      </c>
    </row>
    <row r="1316" spans="1:13" x14ac:dyDescent="0.25">
      <c r="A1316" t="s">
        <v>5</v>
      </c>
      <c r="B1316">
        <v>1750</v>
      </c>
      <c r="C1316">
        <v>4</v>
      </c>
      <c r="D1316" t="s">
        <v>34</v>
      </c>
      <c r="E1316" t="s">
        <v>679</v>
      </c>
      <c r="F1316" t="s">
        <v>869</v>
      </c>
      <c r="G1316" t="s">
        <v>650</v>
      </c>
      <c r="H1316">
        <v>33</v>
      </c>
      <c r="I1316" t="s">
        <v>644</v>
      </c>
      <c r="J1316">
        <v>7000</v>
      </c>
      <c r="K1316" s="1">
        <v>44047</v>
      </c>
      <c r="L1316">
        <v>2020</v>
      </c>
      <c r="M1316" t="str">
        <f>UPPER(TEXT(_2020_2022[[#This Row],[Data da Venda]],"mmm"))</f>
        <v>AGO</v>
      </c>
    </row>
    <row r="1317" spans="1:13" x14ac:dyDescent="0.25">
      <c r="A1317" t="s">
        <v>21</v>
      </c>
      <c r="B1317">
        <v>2400</v>
      </c>
      <c r="C1317">
        <v>3</v>
      </c>
      <c r="D1317" t="s">
        <v>31</v>
      </c>
      <c r="E1317" t="s">
        <v>645</v>
      </c>
      <c r="F1317" t="s">
        <v>1069</v>
      </c>
      <c r="G1317" t="s">
        <v>643</v>
      </c>
      <c r="H1317">
        <v>39</v>
      </c>
      <c r="I1317" t="s">
        <v>644</v>
      </c>
      <c r="J1317">
        <v>7200</v>
      </c>
      <c r="K1317" s="1">
        <v>44010</v>
      </c>
      <c r="L1317">
        <v>2020</v>
      </c>
      <c r="M1317" t="str">
        <f>UPPER(TEXT(_2020_2022[[#This Row],[Data da Venda]],"mmm"))</f>
        <v>JUN</v>
      </c>
    </row>
    <row r="1318" spans="1:13" x14ac:dyDescent="0.25">
      <c r="A1318" t="s">
        <v>1444</v>
      </c>
      <c r="B1318">
        <v>1500</v>
      </c>
      <c r="C1318">
        <v>2</v>
      </c>
      <c r="D1318" t="s">
        <v>29</v>
      </c>
      <c r="E1318" t="s">
        <v>641</v>
      </c>
      <c r="F1318" t="s">
        <v>1020</v>
      </c>
      <c r="G1318" t="s">
        <v>650</v>
      </c>
      <c r="H1318">
        <v>40</v>
      </c>
      <c r="I1318" t="s">
        <v>644</v>
      </c>
      <c r="J1318">
        <v>3000</v>
      </c>
      <c r="K1318" s="1">
        <v>44182</v>
      </c>
      <c r="L1318">
        <v>2020</v>
      </c>
      <c r="M1318" t="str">
        <f>UPPER(TEXT(_2020_2022[[#This Row],[Data da Venda]],"mmm"))</f>
        <v>DEZ</v>
      </c>
    </row>
    <row r="1319" spans="1:13" x14ac:dyDescent="0.25">
      <c r="A1319" t="s">
        <v>20</v>
      </c>
      <c r="B1319">
        <v>2600</v>
      </c>
      <c r="C1319">
        <v>1</v>
      </c>
      <c r="D1319" t="s">
        <v>41</v>
      </c>
      <c r="E1319" t="s">
        <v>681</v>
      </c>
      <c r="F1319" t="s">
        <v>1229</v>
      </c>
      <c r="G1319" t="s">
        <v>643</v>
      </c>
      <c r="H1319">
        <v>59</v>
      </c>
      <c r="I1319" t="s">
        <v>647</v>
      </c>
      <c r="J1319">
        <v>2600</v>
      </c>
      <c r="K1319" s="1">
        <v>43837</v>
      </c>
      <c r="L1319">
        <v>2020</v>
      </c>
      <c r="M1319" t="str">
        <f>UPPER(TEXT(_2020_2022[[#This Row],[Data da Venda]],"mmm"))</f>
        <v>JAN</v>
      </c>
    </row>
    <row r="1320" spans="1:13" x14ac:dyDescent="0.25">
      <c r="A1320" t="s">
        <v>26</v>
      </c>
      <c r="B1320">
        <v>1100</v>
      </c>
      <c r="C1320">
        <v>4</v>
      </c>
      <c r="D1320" t="s">
        <v>38</v>
      </c>
      <c r="E1320" t="s">
        <v>648</v>
      </c>
      <c r="F1320" t="s">
        <v>1142</v>
      </c>
      <c r="G1320" t="s">
        <v>643</v>
      </c>
      <c r="H1320">
        <v>55</v>
      </c>
      <c r="I1320" t="s">
        <v>647</v>
      </c>
      <c r="J1320">
        <v>4400</v>
      </c>
      <c r="K1320" s="1">
        <v>44100</v>
      </c>
      <c r="L1320">
        <v>2020</v>
      </c>
      <c r="M1320" t="str">
        <f>UPPER(TEXT(_2020_2022[[#This Row],[Data da Venda]],"mmm"))</f>
        <v>SET</v>
      </c>
    </row>
    <row r="1321" spans="1:13" x14ac:dyDescent="0.25">
      <c r="A1321" t="s">
        <v>16</v>
      </c>
      <c r="B1321">
        <v>1400</v>
      </c>
      <c r="C1321">
        <v>4</v>
      </c>
      <c r="D1321" t="s">
        <v>31</v>
      </c>
      <c r="E1321" t="s">
        <v>645</v>
      </c>
      <c r="F1321" t="s">
        <v>1279</v>
      </c>
      <c r="G1321" t="s">
        <v>643</v>
      </c>
      <c r="H1321">
        <v>30</v>
      </c>
      <c r="I1321" t="s">
        <v>644</v>
      </c>
      <c r="J1321">
        <v>5600</v>
      </c>
      <c r="K1321" s="1">
        <v>43956</v>
      </c>
      <c r="L1321">
        <v>2020</v>
      </c>
      <c r="M1321" t="str">
        <f>UPPER(TEXT(_2020_2022[[#This Row],[Data da Venda]],"mmm"))</f>
        <v>MAI</v>
      </c>
    </row>
    <row r="1322" spans="1:13" x14ac:dyDescent="0.25">
      <c r="A1322" t="s">
        <v>18</v>
      </c>
      <c r="B1322">
        <v>3000</v>
      </c>
      <c r="C1322">
        <v>1</v>
      </c>
      <c r="D1322" t="s">
        <v>31</v>
      </c>
      <c r="E1322" t="s">
        <v>645</v>
      </c>
      <c r="F1322" t="s">
        <v>1250</v>
      </c>
      <c r="G1322" t="s">
        <v>650</v>
      </c>
      <c r="H1322">
        <v>59</v>
      </c>
      <c r="I1322" t="s">
        <v>647</v>
      </c>
      <c r="J1322">
        <v>3000</v>
      </c>
      <c r="K1322" s="1">
        <v>44163</v>
      </c>
      <c r="L1322">
        <v>2020</v>
      </c>
      <c r="M1322" t="str">
        <f>UPPER(TEXT(_2020_2022[[#This Row],[Data da Venda]],"mmm"))</f>
        <v>NOV</v>
      </c>
    </row>
    <row r="1323" spans="1:13" x14ac:dyDescent="0.25">
      <c r="A1323" t="s">
        <v>13</v>
      </c>
      <c r="B1323">
        <v>2300</v>
      </c>
      <c r="C1323">
        <v>3</v>
      </c>
      <c r="D1323" t="s">
        <v>39</v>
      </c>
      <c r="E1323" t="s">
        <v>641</v>
      </c>
      <c r="F1323" t="s">
        <v>1280</v>
      </c>
      <c r="G1323" t="s">
        <v>650</v>
      </c>
      <c r="H1323">
        <v>75</v>
      </c>
      <c r="I1323" t="s">
        <v>647</v>
      </c>
      <c r="J1323">
        <v>6900</v>
      </c>
      <c r="K1323" s="1">
        <v>43867</v>
      </c>
      <c r="L1323">
        <v>2020</v>
      </c>
      <c r="M1323" t="str">
        <f>UPPER(TEXT(_2020_2022[[#This Row],[Data da Venda]],"mmm"))</f>
        <v>FEV</v>
      </c>
    </row>
    <row r="1324" spans="1:13" x14ac:dyDescent="0.25">
      <c r="A1324" t="s">
        <v>18</v>
      </c>
      <c r="B1324">
        <v>3000</v>
      </c>
      <c r="C1324">
        <v>3</v>
      </c>
      <c r="D1324" t="s">
        <v>35</v>
      </c>
      <c r="E1324" t="s">
        <v>666</v>
      </c>
      <c r="F1324" t="s">
        <v>721</v>
      </c>
      <c r="G1324" t="s">
        <v>650</v>
      </c>
      <c r="H1324">
        <v>38</v>
      </c>
      <c r="I1324" t="s">
        <v>644</v>
      </c>
      <c r="J1324">
        <v>9000</v>
      </c>
      <c r="K1324" s="1">
        <v>43898</v>
      </c>
      <c r="L1324">
        <v>2020</v>
      </c>
      <c r="M1324" t="str">
        <f>UPPER(TEXT(_2020_2022[[#This Row],[Data da Venda]],"mmm"))</f>
        <v>MAR</v>
      </c>
    </row>
    <row r="1325" spans="1:13" x14ac:dyDescent="0.25">
      <c r="A1325" t="s">
        <v>14</v>
      </c>
      <c r="B1325">
        <v>2000</v>
      </c>
      <c r="C1325">
        <v>3</v>
      </c>
      <c r="D1325" t="s">
        <v>33</v>
      </c>
      <c r="E1325" t="s">
        <v>641</v>
      </c>
      <c r="F1325" t="s">
        <v>738</v>
      </c>
      <c r="G1325" t="s">
        <v>650</v>
      </c>
      <c r="H1325">
        <v>73</v>
      </c>
      <c r="I1325" t="s">
        <v>647</v>
      </c>
      <c r="J1325">
        <v>6000</v>
      </c>
      <c r="K1325" s="1">
        <v>44125</v>
      </c>
      <c r="L1325">
        <v>2020</v>
      </c>
      <c r="M1325" t="str">
        <f>UPPER(TEXT(_2020_2022[[#This Row],[Data da Venda]],"mmm"))</f>
        <v>OUT</v>
      </c>
    </row>
    <row r="1326" spans="1:13" x14ac:dyDescent="0.25">
      <c r="A1326" t="s">
        <v>8</v>
      </c>
      <c r="B1326">
        <v>5500</v>
      </c>
      <c r="C1326">
        <v>3</v>
      </c>
      <c r="D1326" t="s">
        <v>29</v>
      </c>
      <c r="E1326" t="s">
        <v>641</v>
      </c>
      <c r="F1326" t="s">
        <v>714</v>
      </c>
      <c r="G1326" t="s">
        <v>650</v>
      </c>
      <c r="H1326">
        <v>31</v>
      </c>
      <c r="I1326" t="s">
        <v>644</v>
      </c>
      <c r="J1326">
        <v>16500</v>
      </c>
      <c r="K1326" s="1">
        <v>44010</v>
      </c>
      <c r="L1326">
        <v>2020</v>
      </c>
      <c r="M1326" t="str">
        <f>UPPER(TEXT(_2020_2022[[#This Row],[Data da Venda]],"mmm"))</f>
        <v>JUN</v>
      </c>
    </row>
    <row r="1327" spans="1:13" x14ac:dyDescent="0.25">
      <c r="A1327" t="s">
        <v>28</v>
      </c>
      <c r="B1327">
        <v>1400</v>
      </c>
      <c r="C1327">
        <v>5</v>
      </c>
      <c r="D1327" t="s">
        <v>29</v>
      </c>
      <c r="E1327" t="s">
        <v>641</v>
      </c>
      <c r="F1327" t="s">
        <v>888</v>
      </c>
      <c r="G1327" t="s">
        <v>650</v>
      </c>
      <c r="H1327">
        <v>60</v>
      </c>
      <c r="I1327" t="s">
        <v>647</v>
      </c>
      <c r="J1327">
        <v>7000</v>
      </c>
      <c r="K1327" s="1">
        <v>43905</v>
      </c>
      <c r="L1327">
        <v>2020</v>
      </c>
      <c r="M1327" t="str">
        <f>UPPER(TEXT(_2020_2022[[#This Row],[Data da Venda]],"mmm"))</f>
        <v>MAR</v>
      </c>
    </row>
    <row r="1328" spans="1:13" x14ac:dyDescent="0.25">
      <c r="A1328" t="s">
        <v>25</v>
      </c>
      <c r="B1328">
        <v>2500</v>
      </c>
      <c r="C1328">
        <v>1</v>
      </c>
      <c r="D1328" t="s">
        <v>35</v>
      </c>
      <c r="E1328" t="s">
        <v>666</v>
      </c>
      <c r="F1328" t="s">
        <v>1281</v>
      </c>
      <c r="G1328" t="s">
        <v>650</v>
      </c>
      <c r="H1328">
        <v>69</v>
      </c>
      <c r="I1328" t="s">
        <v>647</v>
      </c>
      <c r="J1328">
        <v>2500</v>
      </c>
      <c r="K1328" s="1">
        <v>44045</v>
      </c>
      <c r="L1328">
        <v>2020</v>
      </c>
      <c r="M1328" t="str">
        <f>UPPER(TEXT(_2020_2022[[#This Row],[Data da Venda]],"mmm"))</f>
        <v>AGO</v>
      </c>
    </row>
    <row r="1329" spans="1:13" x14ac:dyDescent="0.25">
      <c r="A1329" t="s">
        <v>13</v>
      </c>
      <c r="B1329">
        <v>2300</v>
      </c>
      <c r="C1329">
        <v>4</v>
      </c>
      <c r="D1329" t="s">
        <v>36</v>
      </c>
      <c r="E1329" t="s">
        <v>677</v>
      </c>
      <c r="F1329" t="s">
        <v>821</v>
      </c>
      <c r="G1329" t="s">
        <v>643</v>
      </c>
      <c r="H1329">
        <v>56</v>
      </c>
      <c r="I1329" t="s">
        <v>647</v>
      </c>
      <c r="J1329">
        <v>9200</v>
      </c>
      <c r="K1329" s="1">
        <v>43871</v>
      </c>
      <c r="L1329">
        <v>2020</v>
      </c>
      <c r="M1329" t="str">
        <f>UPPER(TEXT(_2020_2022[[#This Row],[Data da Venda]],"mmm"))</f>
        <v>FEV</v>
      </c>
    </row>
    <row r="1330" spans="1:13" x14ac:dyDescent="0.25">
      <c r="A1330" t="s">
        <v>7</v>
      </c>
      <c r="B1330">
        <v>750</v>
      </c>
      <c r="C1330">
        <v>1</v>
      </c>
      <c r="D1330" t="s">
        <v>39</v>
      </c>
      <c r="E1330" t="s">
        <v>641</v>
      </c>
      <c r="F1330" t="s">
        <v>1153</v>
      </c>
      <c r="G1330" t="s">
        <v>650</v>
      </c>
      <c r="H1330">
        <v>61</v>
      </c>
      <c r="I1330" t="s">
        <v>647</v>
      </c>
      <c r="J1330">
        <v>750</v>
      </c>
      <c r="K1330" s="1">
        <v>43991</v>
      </c>
      <c r="L1330">
        <v>2020</v>
      </c>
      <c r="M1330" t="str">
        <f>UPPER(TEXT(_2020_2022[[#This Row],[Data da Venda]],"mmm"))</f>
        <v>JUN</v>
      </c>
    </row>
    <row r="1331" spans="1:13" x14ac:dyDescent="0.25">
      <c r="A1331" t="s">
        <v>25</v>
      </c>
      <c r="B1331">
        <v>2500</v>
      </c>
      <c r="C1331">
        <v>3</v>
      </c>
      <c r="D1331" t="s">
        <v>41</v>
      </c>
      <c r="E1331" t="s">
        <v>681</v>
      </c>
      <c r="F1331" t="s">
        <v>1063</v>
      </c>
      <c r="G1331" t="s">
        <v>650</v>
      </c>
      <c r="H1331">
        <v>27</v>
      </c>
      <c r="I1331" t="s">
        <v>651</v>
      </c>
      <c r="J1331">
        <v>7500</v>
      </c>
      <c r="K1331" s="1">
        <v>43857</v>
      </c>
      <c r="L1331">
        <v>2020</v>
      </c>
      <c r="M1331" t="str">
        <f>UPPER(TEXT(_2020_2022[[#This Row],[Data da Venda]],"mmm"))</f>
        <v>JAN</v>
      </c>
    </row>
    <row r="1332" spans="1:13" x14ac:dyDescent="0.25">
      <c r="A1332" t="s">
        <v>9</v>
      </c>
      <c r="B1332">
        <v>1500</v>
      </c>
      <c r="C1332">
        <v>4</v>
      </c>
      <c r="D1332" t="s">
        <v>38</v>
      </c>
      <c r="E1332" t="s">
        <v>648</v>
      </c>
      <c r="F1332" t="s">
        <v>1282</v>
      </c>
      <c r="G1332" t="s">
        <v>643</v>
      </c>
      <c r="H1332">
        <v>74</v>
      </c>
      <c r="I1332" t="s">
        <v>647</v>
      </c>
      <c r="J1332">
        <v>6000</v>
      </c>
      <c r="K1332" s="1">
        <v>43972</v>
      </c>
      <c r="L1332">
        <v>2020</v>
      </c>
      <c r="M1332" t="str">
        <f>UPPER(TEXT(_2020_2022[[#This Row],[Data da Venda]],"mmm"))</f>
        <v>MAI</v>
      </c>
    </row>
    <row r="1333" spans="1:13" x14ac:dyDescent="0.25">
      <c r="A1333" t="s">
        <v>24</v>
      </c>
      <c r="B1333">
        <v>2000</v>
      </c>
      <c r="C1333">
        <v>2</v>
      </c>
      <c r="D1333" t="s">
        <v>39</v>
      </c>
      <c r="E1333" t="s">
        <v>641</v>
      </c>
      <c r="F1333" t="s">
        <v>809</v>
      </c>
      <c r="G1333" t="s">
        <v>643</v>
      </c>
      <c r="H1333">
        <v>47</v>
      </c>
      <c r="I1333" t="s">
        <v>644</v>
      </c>
      <c r="J1333">
        <v>4000</v>
      </c>
      <c r="K1333" s="1">
        <v>44097</v>
      </c>
      <c r="L1333">
        <v>2020</v>
      </c>
      <c r="M1333" t="str">
        <f>UPPER(TEXT(_2020_2022[[#This Row],[Data da Venda]],"mmm"))</f>
        <v>SET</v>
      </c>
    </row>
    <row r="1334" spans="1:13" x14ac:dyDescent="0.25">
      <c r="A1334" t="s">
        <v>21</v>
      </c>
      <c r="B1334">
        <v>2400</v>
      </c>
      <c r="C1334">
        <v>4</v>
      </c>
      <c r="D1334" t="s">
        <v>39</v>
      </c>
      <c r="E1334" t="s">
        <v>641</v>
      </c>
      <c r="F1334" t="s">
        <v>726</v>
      </c>
      <c r="G1334" t="s">
        <v>643</v>
      </c>
      <c r="H1334">
        <v>43</v>
      </c>
      <c r="I1334" t="s">
        <v>644</v>
      </c>
      <c r="J1334">
        <v>9600</v>
      </c>
      <c r="K1334" s="1">
        <v>43946</v>
      </c>
      <c r="L1334">
        <v>2020</v>
      </c>
      <c r="M1334" t="str">
        <f>UPPER(TEXT(_2020_2022[[#This Row],[Data da Venda]],"mmm"))</f>
        <v>ABR</v>
      </c>
    </row>
    <row r="1335" spans="1:13" x14ac:dyDescent="0.25">
      <c r="A1335" t="s">
        <v>7</v>
      </c>
      <c r="B1335">
        <v>750</v>
      </c>
      <c r="C1335">
        <v>5</v>
      </c>
      <c r="D1335" t="s">
        <v>39</v>
      </c>
      <c r="E1335" t="s">
        <v>641</v>
      </c>
      <c r="F1335" t="s">
        <v>670</v>
      </c>
      <c r="G1335" t="s">
        <v>643</v>
      </c>
      <c r="H1335">
        <v>37</v>
      </c>
      <c r="I1335" t="s">
        <v>644</v>
      </c>
      <c r="J1335">
        <v>3750</v>
      </c>
      <c r="K1335" s="1">
        <v>43975</v>
      </c>
      <c r="L1335">
        <v>2020</v>
      </c>
      <c r="M1335" t="str">
        <f>UPPER(TEXT(_2020_2022[[#This Row],[Data da Venda]],"mmm"))</f>
        <v>MAI</v>
      </c>
    </row>
    <row r="1336" spans="1:13" x14ac:dyDescent="0.25">
      <c r="A1336" t="s">
        <v>16</v>
      </c>
      <c r="B1336">
        <v>1400</v>
      </c>
      <c r="C1336">
        <v>5</v>
      </c>
      <c r="D1336" t="s">
        <v>29</v>
      </c>
      <c r="E1336" t="s">
        <v>641</v>
      </c>
      <c r="F1336" t="s">
        <v>1283</v>
      </c>
      <c r="G1336" t="s">
        <v>643</v>
      </c>
      <c r="H1336">
        <v>26</v>
      </c>
      <c r="I1336" t="s">
        <v>651</v>
      </c>
      <c r="J1336">
        <v>7000</v>
      </c>
      <c r="K1336" s="1">
        <v>44031</v>
      </c>
      <c r="L1336">
        <v>2020</v>
      </c>
      <c r="M1336" t="str">
        <f>UPPER(TEXT(_2020_2022[[#This Row],[Data da Venda]],"mmm"))</f>
        <v>JUL</v>
      </c>
    </row>
    <row r="1337" spans="1:13" x14ac:dyDescent="0.25">
      <c r="A1337" t="s">
        <v>26</v>
      </c>
      <c r="B1337">
        <v>1100</v>
      </c>
      <c r="C1337">
        <v>2</v>
      </c>
      <c r="D1337" t="s">
        <v>29</v>
      </c>
      <c r="E1337" t="s">
        <v>641</v>
      </c>
      <c r="F1337" t="s">
        <v>675</v>
      </c>
      <c r="G1337" t="s">
        <v>643</v>
      </c>
      <c r="H1337">
        <v>71</v>
      </c>
      <c r="I1337" t="s">
        <v>647</v>
      </c>
      <c r="J1337">
        <v>2200</v>
      </c>
      <c r="K1337" s="1">
        <v>44150</v>
      </c>
      <c r="L1337">
        <v>2020</v>
      </c>
      <c r="M1337" t="str">
        <f>UPPER(TEXT(_2020_2022[[#This Row],[Data da Venda]],"mmm"))</f>
        <v>NOV</v>
      </c>
    </row>
    <row r="1338" spans="1:13" x14ac:dyDescent="0.25">
      <c r="A1338" t="s">
        <v>7</v>
      </c>
      <c r="B1338">
        <v>750</v>
      </c>
      <c r="C1338">
        <v>1</v>
      </c>
      <c r="D1338" t="s">
        <v>31</v>
      </c>
      <c r="E1338" t="s">
        <v>645</v>
      </c>
      <c r="F1338" t="s">
        <v>862</v>
      </c>
      <c r="G1338" t="s">
        <v>650</v>
      </c>
      <c r="H1338">
        <v>71</v>
      </c>
      <c r="I1338" t="s">
        <v>647</v>
      </c>
      <c r="J1338">
        <v>750</v>
      </c>
      <c r="K1338" s="1">
        <v>44096</v>
      </c>
      <c r="L1338">
        <v>2020</v>
      </c>
      <c r="M1338" t="str">
        <f>UPPER(TEXT(_2020_2022[[#This Row],[Data da Venda]],"mmm"))</f>
        <v>SET</v>
      </c>
    </row>
    <row r="1339" spans="1:13" x14ac:dyDescent="0.25">
      <c r="A1339" t="s">
        <v>26</v>
      </c>
      <c r="B1339">
        <v>1100</v>
      </c>
      <c r="C1339">
        <v>3</v>
      </c>
      <c r="D1339" t="s">
        <v>33</v>
      </c>
      <c r="E1339" t="s">
        <v>641</v>
      </c>
      <c r="F1339" t="s">
        <v>1284</v>
      </c>
      <c r="G1339" t="s">
        <v>643</v>
      </c>
      <c r="H1339">
        <v>48</v>
      </c>
      <c r="I1339" t="s">
        <v>644</v>
      </c>
      <c r="J1339">
        <v>3300</v>
      </c>
      <c r="K1339" s="1">
        <v>43881</v>
      </c>
      <c r="L1339">
        <v>2020</v>
      </c>
      <c r="M1339" t="str">
        <f>UPPER(TEXT(_2020_2022[[#This Row],[Data da Venda]],"mmm"))</f>
        <v>FEV</v>
      </c>
    </row>
    <row r="1340" spans="1:13" x14ac:dyDescent="0.25">
      <c r="A1340" t="s">
        <v>9</v>
      </c>
      <c r="B1340">
        <v>1500</v>
      </c>
      <c r="C1340">
        <v>3</v>
      </c>
      <c r="D1340" t="s">
        <v>34</v>
      </c>
      <c r="E1340" t="s">
        <v>679</v>
      </c>
      <c r="F1340" t="s">
        <v>1227</v>
      </c>
      <c r="G1340" t="s">
        <v>650</v>
      </c>
      <c r="H1340">
        <v>39</v>
      </c>
      <c r="I1340" t="s">
        <v>644</v>
      </c>
      <c r="J1340">
        <v>4500</v>
      </c>
      <c r="K1340" s="1">
        <v>44019</v>
      </c>
      <c r="L1340">
        <v>2020</v>
      </c>
      <c r="M1340" t="str">
        <f>UPPER(TEXT(_2020_2022[[#This Row],[Data da Venda]],"mmm"))</f>
        <v>JUL</v>
      </c>
    </row>
    <row r="1341" spans="1:13" x14ac:dyDescent="0.25">
      <c r="A1341" t="s">
        <v>1440</v>
      </c>
      <c r="B1341">
        <v>700</v>
      </c>
      <c r="C1341">
        <v>3</v>
      </c>
      <c r="D1341" t="s">
        <v>32</v>
      </c>
      <c r="E1341" t="s">
        <v>652</v>
      </c>
      <c r="F1341" t="s">
        <v>1197</v>
      </c>
      <c r="G1341" t="s">
        <v>643</v>
      </c>
      <c r="H1341">
        <v>34</v>
      </c>
      <c r="I1341" t="s">
        <v>644</v>
      </c>
      <c r="J1341">
        <v>2100</v>
      </c>
      <c r="K1341" s="1">
        <v>44100</v>
      </c>
      <c r="L1341">
        <v>2020</v>
      </c>
      <c r="M1341" t="str">
        <f>UPPER(TEXT(_2020_2022[[#This Row],[Data da Venda]],"mmm"))</f>
        <v>SET</v>
      </c>
    </row>
    <row r="1342" spans="1:13" x14ac:dyDescent="0.25">
      <c r="A1342" t="s">
        <v>8</v>
      </c>
      <c r="B1342">
        <v>5500</v>
      </c>
      <c r="C1342">
        <v>5</v>
      </c>
      <c r="D1342" t="s">
        <v>37</v>
      </c>
      <c r="E1342" t="s">
        <v>645</v>
      </c>
      <c r="F1342" t="s">
        <v>870</v>
      </c>
      <c r="G1342" t="s">
        <v>643</v>
      </c>
      <c r="H1342">
        <v>40</v>
      </c>
      <c r="I1342" t="s">
        <v>644</v>
      </c>
      <c r="J1342">
        <v>27500</v>
      </c>
      <c r="K1342" s="1">
        <v>44047</v>
      </c>
      <c r="L1342">
        <v>2020</v>
      </c>
      <c r="M1342" t="str">
        <f>UPPER(TEXT(_2020_2022[[#This Row],[Data da Venda]],"mmm"))</f>
        <v>AGO</v>
      </c>
    </row>
    <row r="1343" spans="1:13" x14ac:dyDescent="0.25">
      <c r="A1343" t="s">
        <v>1442</v>
      </c>
      <c r="B1343">
        <v>1200</v>
      </c>
      <c r="C1343">
        <v>2</v>
      </c>
      <c r="D1343" t="s">
        <v>35</v>
      </c>
      <c r="E1343" t="s">
        <v>666</v>
      </c>
      <c r="F1343" t="s">
        <v>834</v>
      </c>
      <c r="G1343" t="s">
        <v>643</v>
      </c>
      <c r="H1343">
        <v>55</v>
      </c>
      <c r="I1343" t="s">
        <v>647</v>
      </c>
      <c r="J1343">
        <v>2400</v>
      </c>
      <c r="K1343" s="1">
        <v>43840</v>
      </c>
      <c r="L1343">
        <v>2020</v>
      </c>
      <c r="M1343" t="str">
        <f>UPPER(TEXT(_2020_2022[[#This Row],[Data da Venda]],"mmm"))</f>
        <v>JAN</v>
      </c>
    </row>
    <row r="1344" spans="1:13" x14ac:dyDescent="0.25">
      <c r="A1344" t="s">
        <v>26</v>
      </c>
      <c r="B1344">
        <v>1100</v>
      </c>
      <c r="C1344">
        <v>4</v>
      </c>
      <c r="D1344" t="s">
        <v>35</v>
      </c>
      <c r="E1344" t="s">
        <v>666</v>
      </c>
      <c r="F1344" t="s">
        <v>961</v>
      </c>
      <c r="G1344" t="s">
        <v>650</v>
      </c>
      <c r="H1344">
        <v>25</v>
      </c>
      <c r="I1344" t="s">
        <v>651</v>
      </c>
      <c r="J1344">
        <v>4400</v>
      </c>
      <c r="K1344" s="1">
        <v>43990</v>
      </c>
      <c r="L1344">
        <v>2020</v>
      </c>
      <c r="M1344" t="str">
        <f>UPPER(TEXT(_2020_2022[[#This Row],[Data da Venda]],"mmm"))</f>
        <v>JUN</v>
      </c>
    </row>
    <row r="1345" spans="1:13" x14ac:dyDescent="0.25">
      <c r="A1345" t="s">
        <v>13</v>
      </c>
      <c r="B1345">
        <v>2300</v>
      </c>
      <c r="C1345">
        <v>3</v>
      </c>
      <c r="D1345" t="s">
        <v>31</v>
      </c>
      <c r="E1345" t="s">
        <v>645</v>
      </c>
      <c r="F1345" t="s">
        <v>1250</v>
      </c>
      <c r="G1345" t="s">
        <v>650</v>
      </c>
      <c r="H1345">
        <v>59</v>
      </c>
      <c r="I1345" t="s">
        <v>647</v>
      </c>
      <c r="J1345">
        <v>6900</v>
      </c>
      <c r="K1345" s="1">
        <v>44109</v>
      </c>
      <c r="L1345">
        <v>2020</v>
      </c>
      <c r="M1345" t="str">
        <f>UPPER(TEXT(_2020_2022[[#This Row],[Data da Venda]],"mmm"))</f>
        <v>OUT</v>
      </c>
    </row>
    <row r="1346" spans="1:13" x14ac:dyDescent="0.25">
      <c r="A1346" t="s">
        <v>9</v>
      </c>
      <c r="B1346">
        <v>1500</v>
      </c>
      <c r="C1346">
        <v>1</v>
      </c>
      <c r="D1346" t="s">
        <v>35</v>
      </c>
      <c r="E1346" t="s">
        <v>666</v>
      </c>
      <c r="F1346" t="s">
        <v>1272</v>
      </c>
      <c r="G1346" t="s">
        <v>643</v>
      </c>
      <c r="H1346">
        <v>27</v>
      </c>
      <c r="I1346" t="s">
        <v>651</v>
      </c>
      <c r="J1346">
        <v>1500</v>
      </c>
      <c r="K1346" s="1">
        <v>43961</v>
      </c>
      <c r="L1346">
        <v>2020</v>
      </c>
      <c r="M1346" t="str">
        <f>UPPER(TEXT(_2020_2022[[#This Row],[Data da Venda]],"mmm"))</f>
        <v>MAI</v>
      </c>
    </row>
    <row r="1347" spans="1:13" x14ac:dyDescent="0.25">
      <c r="A1347" t="s">
        <v>1443</v>
      </c>
      <c r="B1347">
        <v>1550</v>
      </c>
      <c r="C1347">
        <v>4</v>
      </c>
      <c r="D1347" t="s">
        <v>41</v>
      </c>
      <c r="E1347" t="s">
        <v>681</v>
      </c>
      <c r="F1347" t="s">
        <v>1057</v>
      </c>
      <c r="G1347" t="s">
        <v>650</v>
      </c>
      <c r="H1347">
        <v>61</v>
      </c>
      <c r="I1347" t="s">
        <v>647</v>
      </c>
      <c r="J1347">
        <v>6200</v>
      </c>
      <c r="K1347" s="1">
        <v>43853</v>
      </c>
      <c r="L1347">
        <v>2020</v>
      </c>
      <c r="M1347" t="str">
        <f>UPPER(TEXT(_2020_2022[[#This Row],[Data da Venda]],"mmm"))</f>
        <v>JAN</v>
      </c>
    </row>
    <row r="1348" spans="1:13" x14ac:dyDescent="0.25">
      <c r="A1348" t="s">
        <v>18</v>
      </c>
      <c r="B1348">
        <v>3000</v>
      </c>
      <c r="C1348">
        <v>5</v>
      </c>
      <c r="D1348" t="s">
        <v>36</v>
      </c>
      <c r="E1348" t="s">
        <v>677</v>
      </c>
      <c r="F1348" t="s">
        <v>1099</v>
      </c>
      <c r="G1348" t="s">
        <v>650</v>
      </c>
      <c r="H1348">
        <v>47</v>
      </c>
      <c r="I1348" t="s">
        <v>644</v>
      </c>
      <c r="J1348">
        <v>15000</v>
      </c>
      <c r="K1348" s="1">
        <v>44061</v>
      </c>
      <c r="L1348">
        <v>2020</v>
      </c>
      <c r="M1348" t="str">
        <f>UPPER(TEXT(_2020_2022[[#This Row],[Data da Venda]],"mmm"))</f>
        <v>AGO</v>
      </c>
    </row>
    <row r="1349" spans="1:13" x14ac:dyDescent="0.25">
      <c r="A1349" t="s">
        <v>16</v>
      </c>
      <c r="B1349">
        <v>1400</v>
      </c>
      <c r="C1349">
        <v>3</v>
      </c>
      <c r="D1349" t="s">
        <v>34</v>
      </c>
      <c r="E1349" t="s">
        <v>679</v>
      </c>
      <c r="F1349" t="s">
        <v>896</v>
      </c>
      <c r="G1349" t="s">
        <v>643</v>
      </c>
      <c r="H1349">
        <v>71</v>
      </c>
      <c r="I1349" t="s">
        <v>647</v>
      </c>
      <c r="J1349">
        <v>4200</v>
      </c>
      <c r="K1349" s="1">
        <v>44186</v>
      </c>
      <c r="L1349">
        <v>2020</v>
      </c>
      <c r="M1349" t="str">
        <f>UPPER(TEXT(_2020_2022[[#This Row],[Data da Venda]],"mmm"))</f>
        <v>DEZ</v>
      </c>
    </row>
    <row r="1350" spans="1:13" x14ac:dyDescent="0.25">
      <c r="A1350" t="s">
        <v>5</v>
      </c>
      <c r="B1350">
        <v>1750</v>
      </c>
      <c r="C1350">
        <v>5</v>
      </c>
      <c r="D1350" t="s">
        <v>39</v>
      </c>
      <c r="E1350" t="s">
        <v>641</v>
      </c>
      <c r="F1350" t="s">
        <v>1285</v>
      </c>
      <c r="G1350" t="s">
        <v>643</v>
      </c>
      <c r="H1350">
        <v>59</v>
      </c>
      <c r="I1350" t="s">
        <v>647</v>
      </c>
      <c r="J1350">
        <v>8750</v>
      </c>
      <c r="K1350" s="1">
        <v>43967</v>
      </c>
      <c r="L1350">
        <v>2020</v>
      </c>
      <c r="M1350" t="str">
        <f>UPPER(TEXT(_2020_2022[[#This Row],[Data da Venda]],"mmm"))</f>
        <v>MAI</v>
      </c>
    </row>
    <row r="1351" spans="1:13" x14ac:dyDescent="0.25">
      <c r="A1351" t="s">
        <v>12</v>
      </c>
      <c r="B1351">
        <v>6500</v>
      </c>
      <c r="C1351">
        <v>5</v>
      </c>
      <c r="D1351" t="s">
        <v>36</v>
      </c>
      <c r="E1351" t="s">
        <v>677</v>
      </c>
      <c r="F1351" t="s">
        <v>998</v>
      </c>
      <c r="G1351" t="s">
        <v>650</v>
      </c>
      <c r="H1351">
        <v>68</v>
      </c>
      <c r="I1351" t="s">
        <v>647</v>
      </c>
      <c r="J1351">
        <v>32500</v>
      </c>
      <c r="K1351" s="1">
        <v>43850</v>
      </c>
      <c r="L1351">
        <v>2020</v>
      </c>
      <c r="M1351" t="str">
        <f>UPPER(TEXT(_2020_2022[[#This Row],[Data da Venda]],"mmm"))</f>
        <v>JAN</v>
      </c>
    </row>
    <row r="1352" spans="1:13" x14ac:dyDescent="0.25">
      <c r="A1352" t="s">
        <v>20</v>
      </c>
      <c r="B1352">
        <v>2600</v>
      </c>
      <c r="C1352">
        <v>4</v>
      </c>
      <c r="D1352" t="s">
        <v>40</v>
      </c>
      <c r="E1352" t="s">
        <v>657</v>
      </c>
      <c r="F1352" t="s">
        <v>913</v>
      </c>
      <c r="G1352" t="s">
        <v>650</v>
      </c>
      <c r="H1352">
        <v>27</v>
      </c>
      <c r="I1352" t="s">
        <v>651</v>
      </c>
      <c r="J1352">
        <v>10400</v>
      </c>
      <c r="K1352" s="1">
        <v>44058</v>
      </c>
      <c r="L1352">
        <v>2020</v>
      </c>
      <c r="M1352" t="str">
        <f>UPPER(TEXT(_2020_2022[[#This Row],[Data da Venda]],"mmm"))</f>
        <v>AGO</v>
      </c>
    </row>
    <row r="1353" spans="1:13" x14ac:dyDescent="0.25">
      <c r="A1353" t="s">
        <v>1444</v>
      </c>
      <c r="B1353">
        <v>1500</v>
      </c>
      <c r="C1353">
        <v>1</v>
      </c>
      <c r="D1353" t="s">
        <v>35</v>
      </c>
      <c r="E1353" t="s">
        <v>666</v>
      </c>
      <c r="F1353" t="s">
        <v>732</v>
      </c>
      <c r="G1353" t="s">
        <v>650</v>
      </c>
      <c r="H1353">
        <v>44</v>
      </c>
      <c r="I1353" t="s">
        <v>644</v>
      </c>
      <c r="J1353">
        <v>1500</v>
      </c>
      <c r="K1353" s="1">
        <v>43950</v>
      </c>
      <c r="L1353">
        <v>2020</v>
      </c>
      <c r="M1353" t="str">
        <f>UPPER(TEXT(_2020_2022[[#This Row],[Data da Venda]],"mmm"))</f>
        <v>ABR</v>
      </c>
    </row>
    <row r="1354" spans="1:13" x14ac:dyDescent="0.25">
      <c r="A1354" t="s">
        <v>1442</v>
      </c>
      <c r="B1354">
        <v>1200</v>
      </c>
      <c r="C1354">
        <v>5</v>
      </c>
      <c r="D1354" t="s">
        <v>30</v>
      </c>
      <c r="E1354" t="s">
        <v>645</v>
      </c>
      <c r="F1354" t="s">
        <v>899</v>
      </c>
      <c r="G1354" t="s">
        <v>650</v>
      </c>
      <c r="H1354">
        <v>69</v>
      </c>
      <c r="I1354" t="s">
        <v>647</v>
      </c>
      <c r="J1354">
        <v>6000</v>
      </c>
      <c r="K1354" s="1">
        <v>44094</v>
      </c>
      <c r="L1354">
        <v>2020</v>
      </c>
      <c r="M1354" t="str">
        <f>UPPER(TEXT(_2020_2022[[#This Row],[Data da Venda]],"mmm"))</f>
        <v>SET</v>
      </c>
    </row>
    <row r="1355" spans="1:13" x14ac:dyDescent="0.25">
      <c r="A1355" t="s">
        <v>18</v>
      </c>
      <c r="B1355">
        <v>3000</v>
      </c>
      <c r="C1355">
        <v>3</v>
      </c>
      <c r="D1355" t="s">
        <v>29</v>
      </c>
      <c r="E1355" t="s">
        <v>641</v>
      </c>
      <c r="F1355" t="s">
        <v>1195</v>
      </c>
      <c r="G1355" t="s">
        <v>643</v>
      </c>
      <c r="H1355">
        <v>74</v>
      </c>
      <c r="I1355" t="s">
        <v>647</v>
      </c>
      <c r="J1355">
        <v>9000</v>
      </c>
      <c r="K1355" s="1">
        <v>43956</v>
      </c>
      <c r="L1355">
        <v>2020</v>
      </c>
      <c r="M1355" t="str">
        <f>UPPER(TEXT(_2020_2022[[#This Row],[Data da Venda]],"mmm"))</f>
        <v>MAI</v>
      </c>
    </row>
    <row r="1356" spans="1:13" x14ac:dyDescent="0.25">
      <c r="A1356" t="s">
        <v>1441</v>
      </c>
      <c r="B1356">
        <v>1450</v>
      </c>
      <c r="C1356">
        <v>2</v>
      </c>
      <c r="D1356" t="s">
        <v>39</v>
      </c>
      <c r="E1356" t="s">
        <v>641</v>
      </c>
      <c r="F1356" t="s">
        <v>1286</v>
      </c>
      <c r="G1356" t="s">
        <v>650</v>
      </c>
      <c r="H1356">
        <v>50</v>
      </c>
      <c r="I1356" t="s">
        <v>644</v>
      </c>
      <c r="J1356">
        <v>2900</v>
      </c>
      <c r="K1356" s="1">
        <v>43853</v>
      </c>
      <c r="L1356">
        <v>2020</v>
      </c>
      <c r="M1356" t="str">
        <f>UPPER(TEXT(_2020_2022[[#This Row],[Data da Venda]],"mmm"))</f>
        <v>JAN</v>
      </c>
    </row>
    <row r="1357" spans="1:13" x14ac:dyDescent="0.25">
      <c r="A1357" t="s">
        <v>11</v>
      </c>
      <c r="B1357">
        <v>4500</v>
      </c>
      <c r="C1357">
        <v>1</v>
      </c>
      <c r="D1357" t="s">
        <v>34</v>
      </c>
      <c r="E1357" t="s">
        <v>679</v>
      </c>
      <c r="F1357" t="s">
        <v>737</v>
      </c>
      <c r="G1357" t="s">
        <v>650</v>
      </c>
      <c r="H1357">
        <v>54</v>
      </c>
      <c r="I1357" t="s">
        <v>647</v>
      </c>
      <c r="J1357">
        <v>4500</v>
      </c>
      <c r="K1357" s="1">
        <v>44130</v>
      </c>
      <c r="L1357">
        <v>2020</v>
      </c>
      <c r="M1357" t="str">
        <f>UPPER(TEXT(_2020_2022[[#This Row],[Data da Venda]],"mmm"))</f>
        <v>OUT</v>
      </c>
    </row>
    <row r="1358" spans="1:13" x14ac:dyDescent="0.25">
      <c r="A1358" t="s">
        <v>1442</v>
      </c>
      <c r="B1358">
        <v>1200</v>
      </c>
      <c r="C1358">
        <v>4</v>
      </c>
      <c r="D1358" t="s">
        <v>37</v>
      </c>
      <c r="E1358" t="s">
        <v>645</v>
      </c>
      <c r="F1358" t="s">
        <v>1116</v>
      </c>
      <c r="G1358" t="s">
        <v>643</v>
      </c>
      <c r="H1358">
        <v>34</v>
      </c>
      <c r="I1358" t="s">
        <v>644</v>
      </c>
      <c r="J1358">
        <v>4800</v>
      </c>
      <c r="K1358" s="1">
        <v>44012</v>
      </c>
      <c r="L1358">
        <v>2020</v>
      </c>
      <c r="M1358" t="str">
        <f>UPPER(TEXT(_2020_2022[[#This Row],[Data da Venda]],"mmm"))</f>
        <v>JUN</v>
      </c>
    </row>
    <row r="1359" spans="1:13" x14ac:dyDescent="0.25">
      <c r="A1359" t="s">
        <v>15</v>
      </c>
      <c r="B1359">
        <v>1900</v>
      </c>
      <c r="C1359">
        <v>3</v>
      </c>
      <c r="D1359" t="s">
        <v>33</v>
      </c>
      <c r="E1359" t="s">
        <v>641</v>
      </c>
      <c r="F1359" t="s">
        <v>1287</v>
      </c>
      <c r="G1359" t="s">
        <v>650</v>
      </c>
      <c r="H1359">
        <v>57</v>
      </c>
      <c r="I1359" t="s">
        <v>647</v>
      </c>
      <c r="J1359">
        <v>5700</v>
      </c>
      <c r="K1359" s="1">
        <v>44150</v>
      </c>
      <c r="L1359">
        <v>2020</v>
      </c>
      <c r="M1359" t="str">
        <f>UPPER(TEXT(_2020_2022[[#This Row],[Data da Venda]],"mmm"))</f>
        <v>NOV</v>
      </c>
    </row>
    <row r="1360" spans="1:13" x14ac:dyDescent="0.25">
      <c r="A1360" t="s">
        <v>12</v>
      </c>
      <c r="B1360">
        <v>6500</v>
      </c>
      <c r="C1360">
        <v>2</v>
      </c>
      <c r="D1360" t="s">
        <v>31</v>
      </c>
      <c r="E1360" t="s">
        <v>645</v>
      </c>
      <c r="F1360" t="s">
        <v>895</v>
      </c>
      <c r="G1360" t="s">
        <v>643</v>
      </c>
      <c r="H1360">
        <v>69</v>
      </c>
      <c r="I1360" t="s">
        <v>647</v>
      </c>
      <c r="J1360">
        <v>13000</v>
      </c>
      <c r="K1360" s="1">
        <v>44047</v>
      </c>
      <c r="L1360">
        <v>2020</v>
      </c>
      <c r="M1360" t="str">
        <f>UPPER(TEXT(_2020_2022[[#This Row],[Data da Venda]],"mmm"))</f>
        <v>AGO</v>
      </c>
    </row>
    <row r="1361" spans="1:13" x14ac:dyDescent="0.25">
      <c r="A1361" t="s">
        <v>1444</v>
      </c>
      <c r="B1361">
        <v>1500</v>
      </c>
      <c r="C1361">
        <v>3</v>
      </c>
      <c r="D1361" t="s">
        <v>29</v>
      </c>
      <c r="E1361" t="s">
        <v>641</v>
      </c>
      <c r="F1361" t="s">
        <v>1288</v>
      </c>
      <c r="G1361" t="s">
        <v>650</v>
      </c>
      <c r="H1361">
        <v>35</v>
      </c>
      <c r="I1361" t="s">
        <v>644</v>
      </c>
      <c r="J1361">
        <v>4500</v>
      </c>
      <c r="K1361" s="1">
        <v>44105</v>
      </c>
      <c r="L1361">
        <v>2020</v>
      </c>
      <c r="M1361" t="str">
        <f>UPPER(TEXT(_2020_2022[[#This Row],[Data da Venda]],"mmm"))</f>
        <v>OUT</v>
      </c>
    </row>
    <row r="1362" spans="1:13" x14ac:dyDescent="0.25">
      <c r="A1362" t="s">
        <v>15</v>
      </c>
      <c r="B1362">
        <v>1900</v>
      </c>
      <c r="C1362">
        <v>2</v>
      </c>
      <c r="D1362" t="s">
        <v>36</v>
      </c>
      <c r="E1362" t="s">
        <v>677</v>
      </c>
      <c r="F1362" t="s">
        <v>900</v>
      </c>
      <c r="G1362" t="s">
        <v>650</v>
      </c>
      <c r="H1362">
        <v>32</v>
      </c>
      <c r="I1362" t="s">
        <v>644</v>
      </c>
      <c r="J1362">
        <v>3800</v>
      </c>
      <c r="K1362" s="1">
        <v>44019</v>
      </c>
      <c r="L1362">
        <v>2020</v>
      </c>
      <c r="M1362" t="str">
        <f>UPPER(TEXT(_2020_2022[[#This Row],[Data da Venda]],"mmm"))</f>
        <v>JUL</v>
      </c>
    </row>
    <row r="1363" spans="1:13" x14ac:dyDescent="0.25">
      <c r="A1363" t="s">
        <v>5</v>
      </c>
      <c r="B1363">
        <v>1750</v>
      </c>
      <c r="C1363">
        <v>5</v>
      </c>
      <c r="D1363" t="s">
        <v>34</v>
      </c>
      <c r="E1363" t="s">
        <v>679</v>
      </c>
      <c r="F1363" t="s">
        <v>730</v>
      </c>
      <c r="G1363" t="s">
        <v>643</v>
      </c>
      <c r="H1363">
        <v>38</v>
      </c>
      <c r="I1363" t="s">
        <v>644</v>
      </c>
      <c r="J1363">
        <v>8750</v>
      </c>
      <c r="K1363" s="1">
        <v>43900</v>
      </c>
      <c r="L1363">
        <v>2020</v>
      </c>
      <c r="M1363" t="str">
        <f>UPPER(TEXT(_2020_2022[[#This Row],[Data da Venda]],"mmm"))</f>
        <v>MAR</v>
      </c>
    </row>
    <row r="1364" spans="1:13" x14ac:dyDescent="0.25">
      <c r="A1364" t="s">
        <v>20</v>
      </c>
      <c r="B1364">
        <v>2600</v>
      </c>
      <c r="C1364">
        <v>2</v>
      </c>
      <c r="D1364" t="s">
        <v>29</v>
      </c>
      <c r="E1364" t="s">
        <v>641</v>
      </c>
      <c r="F1364" t="s">
        <v>1155</v>
      </c>
      <c r="G1364" t="s">
        <v>650</v>
      </c>
      <c r="H1364">
        <v>29</v>
      </c>
      <c r="I1364" t="s">
        <v>651</v>
      </c>
      <c r="J1364">
        <v>5200</v>
      </c>
      <c r="K1364" s="1">
        <v>44062</v>
      </c>
      <c r="L1364">
        <v>2020</v>
      </c>
      <c r="M1364" t="str">
        <f>UPPER(TEXT(_2020_2022[[#This Row],[Data da Venda]],"mmm"))</f>
        <v>AGO</v>
      </c>
    </row>
    <row r="1365" spans="1:13" x14ac:dyDescent="0.25">
      <c r="A1365" t="s">
        <v>15</v>
      </c>
      <c r="B1365">
        <v>1900</v>
      </c>
      <c r="C1365">
        <v>5</v>
      </c>
      <c r="D1365" t="s">
        <v>40</v>
      </c>
      <c r="E1365" t="s">
        <v>657</v>
      </c>
      <c r="F1365" t="s">
        <v>1013</v>
      </c>
      <c r="G1365" t="s">
        <v>643</v>
      </c>
      <c r="H1365">
        <v>38</v>
      </c>
      <c r="I1365" t="s">
        <v>644</v>
      </c>
      <c r="J1365">
        <v>9500</v>
      </c>
      <c r="K1365" s="1">
        <v>44132</v>
      </c>
      <c r="L1365">
        <v>2020</v>
      </c>
      <c r="M1365" t="str">
        <f>UPPER(TEXT(_2020_2022[[#This Row],[Data da Venda]],"mmm"))</f>
        <v>OUT</v>
      </c>
    </row>
    <row r="1366" spans="1:13" x14ac:dyDescent="0.25">
      <c r="A1366" t="s">
        <v>9</v>
      </c>
      <c r="B1366">
        <v>1500</v>
      </c>
      <c r="C1366">
        <v>2</v>
      </c>
      <c r="D1366" t="s">
        <v>41</v>
      </c>
      <c r="E1366" t="s">
        <v>681</v>
      </c>
      <c r="F1366" t="s">
        <v>1276</v>
      </c>
      <c r="G1366" t="s">
        <v>643</v>
      </c>
      <c r="H1366">
        <v>47</v>
      </c>
      <c r="I1366" t="s">
        <v>644</v>
      </c>
      <c r="J1366">
        <v>3000</v>
      </c>
      <c r="K1366" s="1">
        <v>44063</v>
      </c>
      <c r="L1366">
        <v>2020</v>
      </c>
      <c r="M1366" t="str">
        <f>UPPER(TEXT(_2020_2022[[#This Row],[Data da Venda]],"mmm"))</f>
        <v>AGO</v>
      </c>
    </row>
    <row r="1367" spans="1:13" x14ac:dyDescent="0.25">
      <c r="A1367" t="s">
        <v>25</v>
      </c>
      <c r="B1367">
        <v>2500</v>
      </c>
      <c r="C1367">
        <v>5</v>
      </c>
      <c r="D1367" t="s">
        <v>39</v>
      </c>
      <c r="E1367" t="s">
        <v>641</v>
      </c>
      <c r="F1367" t="s">
        <v>818</v>
      </c>
      <c r="G1367" t="s">
        <v>643</v>
      </c>
      <c r="H1367">
        <v>71</v>
      </c>
      <c r="I1367" t="s">
        <v>647</v>
      </c>
      <c r="J1367">
        <v>12500</v>
      </c>
      <c r="K1367" s="1">
        <v>43882</v>
      </c>
      <c r="L1367">
        <v>2020</v>
      </c>
      <c r="M1367" t="str">
        <f>UPPER(TEXT(_2020_2022[[#This Row],[Data da Venda]],"mmm"))</f>
        <v>FEV</v>
      </c>
    </row>
    <row r="1368" spans="1:13" x14ac:dyDescent="0.25">
      <c r="A1368" t="s">
        <v>1445</v>
      </c>
      <c r="B1368">
        <v>1500</v>
      </c>
      <c r="C1368">
        <v>4</v>
      </c>
      <c r="D1368" t="s">
        <v>38</v>
      </c>
      <c r="E1368" t="s">
        <v>648</v>
      </c>
      <c r="F1368" t="s">
        <v>649</v>
      </c>
      <c r="G1368" t="s">
        <v>650</v>
      </c>
      <c r="H1368">
        <v>27</v>
      </c>
      <c r="I1368" t="s">
        <v>651</v>
      </c>
      <c r="J1368">
        <v>6000</v>
      </c>
      <c r="K1368" s="1">
        <v>44100</v>
      </c>
      <c r="L1368">
        <v>2020</v>
      </c>
      <c r="M1368" t="str">
        <f>UPPER(TEXT(_2020_2022[[#This Row],[Data da Venda]],"mmm"))</f>
        <v>SET</v>
      </c>
    </row>
    <row r="1369" spans="1:13" x14ac:dyDescent="0.25">
      <c r="A1369" t="s">
        <v>1443</v>
      </c>
      <c r="B1369">
        <v>1550</v>
      </c>
      <c r="C1369">
        <v>3</v>
      </c>
      <c r="D1369" t="s">
        <v>41</v>
      </c>
      <c r="E1369" t="s">
        <v>681</v>
      </c>
      <c r="F1369" t="s">
        <v>671</v>
      </c>
      <c r="G1369" t="s">
        <v>643</v>
      </c>
      <c r="H1369">
        <v>64</v>
      </c>
      <c r="I1369" t="s">
        <v>647</v>
      </c>
      <c r="J1369">
        <v>4650</v>
      </c>
      <c r="K1369" s="1">
        <v>43886</v>
      </c>
      <c r="L1369">
        <v>2020</v>
      </c>
      <c r="M1369" t="str">
        <f>UPPER(TEXT(_2020_2022[[#This Row],[Data da Venda]],"mmm"))</f>
        <v>FEV</v>
      </c>
    </row>
    <row r="1370" spans="1:13" x14ac:dyDescent="0.25">
      <c r="A1370" t="s">
        <v>15</v>
      </c>
      <c r="B1370">
        <v>1900</v>
      </c>
      <c r="C1370">
        <v>5</v>
      </c>
      <c r="D1370" t="s">
        <v>31</v>
      </c>
      <c r="E1370" t="s">
        <v>645</v>
      </c>
      <c r="F1370" t="s">
        <v>952</v>
      </c>
      <c r="G1370" t="s">
        <v>643</v>
      </c>
      <c r="H1370">
        <v>74</v>
      </c>
      <c r="I1370" t="s">
        <v>647</v>
      </c>
      <c r="J1370">
        <v>9500</v>
      </c>
      <c r="K1370" s="1">
        <v>43875</v>
      </c>
      <c r="L1370">
        <v>2020</v>
      </c>
      <c r="M1370" t="str">
        <f>UPPER(TEXT(_2020_2022[[#This Row],[Data da Venda]],"mmm"))</f>
        <v>FEV</v>
      </c>
    </row>
    <row r="1371" spans="1:13" x14ac:dyDescent="0.25">
      <c r="A1371" t="s">
        <v>28</v>
      </c>
      <c r="B1371">
        <v>1400</v>
      </c>
      <c r="C1371">
        <v>3</v>
      </c>
      <c r="D1371" t="s">
        <v>32</v>
      </c>
      <c r="E1371" t="s">
        <v>652</v>
      </c>
      <c r="F1371" t="s">
        <v>1115</v>
      </c>
      <c r="G1371" t="s">
        <v>650</v>
      </c>
      <c r="H1371">
        <v>35</v>
      </c>
      <c r="I1371" t="s">
        <v>644</v>
      </c>
      <c r="J1371">
        <v>4200</v>
      </c>
      <c r="K1371" s="1">
        <v>44133</v>
      </c>
      <c r="L1371">
        <v>2020</v>
      </c>
      <c r="M1371" t="str">
        <f>UPPER(TEXT(_2020_2022[[#This Row],[Data da Venda]],"mmm"))</f>
        <v>OUT</v>
      </c>
    </row>
    <row r="1372" spans="1:13" x14ac:dyDescent="0.25">
      <c r="A1372" t="s">
        <v>26</v>
      </c>
      <c r="B1372">
        <v>1100</v>
      </c>
      <c r="C1372">
        <v>5</v>
      </c>
      <c r="D1372" t="s">
        <v>39</v>
      </c>
      <c r="E1372" t="s">
        <v>641</v>
      </c>
      <c r="F1372" t="s">
        <v>759</v>
      </c>
      <c r="G1372" t="s">
        <v>643</v>
      </c>
      <c r="H1372">
        <v>53</v>
      </c>
      <c r="I1372" t="s">
        <v>647</v>
      </c>
      <c r="J1372">
        <v>5500</v>
      </c>
      <c r="K1372" s="1">
        <v>43863</v>
      </c>
      <c r="L1372">
        <v>2020</v>
      </c>
      <c r="M1372" t="str">
        <f>UPPER(TEXT(_2020_2022[[#This Row],[Data da Venda]],"mmm"))</f>
        <v>FEV</v>
      </c>
    </row>
    <row r="1373" spans="1:13" x14ac:dyDescent="0.25">
      <c r="A1373" t="s">
        <v>14</v>
      </c>
      <c r="B1373">
        <v>2000</v>
      </c>
      <c r="C1373">
        <v>1</v>
      </c>
      <c r="D1373" t="s">
        <v>33</v>
      </c>
      <c r="E1373" t="s">
        <v>641</v>
      </c>
      <c r="F1373" t="s">
        <v>1289</v>
      </c>
      <c r="G1373" t="s">
        <v>643</v>
      </c>
      <c r="H1373">
        <v>51</v>
      </c>
      <c r="I1373" t="s">
        <v>647</v>
      </c>
      <c r="J1373">
        <v>2000</v>
      </c>
      <c r="K1373" s="1">
        <v>43858</v>
      </c>
      <c r="L1373">
        <v>2020</v>
      </c>
      <c r="M1373" t="str">
        <f>UPPER(TEXT(_2020_2022[[#This Row],[Data da Venda]],"mmm"))</f>
        <v>JAN</v>
      </c>
    </row>
    <row r="1374" spans="1:13" x14ac:dyDescent="0.25">
      <c r="A1374" t="s">
        <v>20</v>
      </c>
      <c r="B1374">
        <v>2600</v>
      </c>
      <c r="C1374">
        <v>5</v>
      </c>
      <c r="D1374" t="s">
        <v>39</v>
      </c>
      <c r="E1374" t="s">
        <v>641</v>
      </c>
      <c r="F1374" t="s">
        <v>1097</v>
      </c>
      <c r="G1374" t="s">
        <v>643</v>
      </c>
      <c r="H1374">
        <v>52</v>
      </c>
      <c r="I1374" t="s">
        <v>647</v>
      </c>
      <c r="J1374">
        <v>13000</v>
      </c>
      <c r="K1374" s="1">
        <v>44147</v>
      </c>
      <c r="L1374">
        <v>2020</v>
      </c>
      <c r="M1374" t="str">
        <f>UPPER(TEXT(_2020_2022[[#This Row],[Data da Venda]],"mmm"))</f>
        <v>NOV</v>
      </c>
    </row>
    <row r="1375" spans="1:13" x14ac:dyDescent="0.25">
      <c r="A1375" t="s">
        <v>21</v>
      </c>
      <c r="B1375">
        <v>2400</v>
      </c>
      <c r="C1375">
        <v>2</v>
      </c>
      <c r="D1375" t="s">
        <v>38</v>
      </c>
      <c r="E1375" t="s">
        <v>648</v>
      </c>
      <c r="F1375" t="s">
        <v>649</v>
      </c>
      <c r="G1375" t="s">
        <v>650</v>
      </c>
      <c r="H1375">
        <v>27</v>
      </c>
      <c r="I1375" t="s">
        <v>651</v>
      </c>
      <c r="J1375">
        <v>4800</v>
      </c>
      <c r="K1375" s="1">
        <v>44158</v>
      </c>
      <c r="L1375">
        <v>2020</v>
      </c>
      <c r="M1375" t="str">
        <f>UPPER(TEXT(_2020_2022[[#This Row],[Data da Venda]],"mmm"))</f>
        <v>NOV</v>
      </c>
    </row>
    <row r="1376" spans="1:13" x14ac:dyDescent="0.25">
      <c r="A1376" t="s">
        <v>15</v>
      </c>
      <c r="B1376">
        <v>1900</v>
      </c>
      <c r="C1376">
        <v>4</v>
      </c>
      <c r="D1376" t="s">
        <v>38</v>
      </c>
      <c r="E1376" t="s">
        <v>648</v>
      </c>
      <c r="F1376" t="s">
        <v>1100</v>
      </c>
      <c r="G1376" t="s">
        <v>650</v>
      </c>
      <c r="H1376">
        <v>35</v>
      </c>
      <c r="I1376" t="s">
        <v>644</v>
      </c>
      <c r="J1376">
        <v>7600</v>
      </c>
      <c r="K1376" s="1">
        <v>43983</v>
      </c>
      <c r="L1376">
        <v>2020</v>
      </c>
      <c r="M1376" t="str">
        <f>UPPER(TEXT(_2020_2022[[#This Row],[Data da Venda]],"mmm"))</f>
        <v>JUN</v>
      </c>
    </row>
    <row r="1377" spans="1:13" x14ac:dyDescent="0.25">
      <c r="A1377" t="s">
        <v>20</v>
      </c>
      <c r="B1377">
        <v>2600</v>
      </c>
      <c r="C1377">
        <v>5</v>
      </c>
      <c r="D1377" t="s">
        <v>29</v>
      </c>
      <c r="E1377" t="s">
        <v>641</v>
      </c>
      <c r="F1377" t="s">
        <v>984</v>
      </c>
      <c r="G1377" t="s">
        <v>650</v>
      </c>
      <c r="H1377">
        <v>37</v>
      </c>
      <c r="I1377" t="s">
        <v>644</v>
      </c>
      <c r="J1377">
        <v>13000</v>
      </c>
      <c r="K1377" s="1">
        <v>44164</v>
      </c>
      <c r="L1377">
        <v>2020</v>
      </c>
      <c r="M1377" t="str">
        <f>UPPER(TEXT(_2020_2022[[#This Row],[Data da Venda]],"mmm"))</f>
        <v>NOV</v>
      </c>
    </row>
    <row r="1378" spans="1:13" x14ac:dyDescent="0.25">
      <c r="A1378" t="s">
        <v>1442</v>
      </c>
      <c r="B1378">
        <v>1200</v>
      </c>
      <c r="C1378">
        <v>3</v>
      </c>
      <c r="D1378" t="s">
        <v>37</v>
      </c>
      <c r="E1378" t="s">
        <v>645</v>
      </c>
      <c r="F1378" t="s">
        <v>1221</v>
      </c>
      <c r="G1378" t="s">
        <v>650</v>
      </c>
      <c r="H1378">
        <v>48</v>
      </c>
      <c r="I1378" t="s">
        <v>644</v>
      </c>
      <c r="J1378">
        <v>3600</v>
      </c>
      <c r="K1378" s="1">
        <v>44037</v>
      </c>
      <c r="L1378">
        <v>2020</v>
      </c>
      <c r="M1378" t="str">
        <f>UPPER(TEXT(_2020_2022[[#This Row],[Data da Venda]],"mmm"))</f>
        <v>JUL</v>
      </c>
    </row>
    <row r="1379" spans="1:13" x14ac:dyDescent="0.25">
      <c r="A1379" t="s">
        <v>25</v>
      </c>
      <c r="B1379">
        <v>2500</v>
      </c>
      <c r="C1379">
        <v>3</v>
      </c>
      <c r="D1379" t="s">
        <v>34</v>
      </c>
      <c r="E1379" t="s">
        <v>679</v>
      </c>
      <c r="F1379" t="s">
        <v>1025</v>
      </c>
      <c r="G1379" t="s">
        <v>650</v>
      </c>
      <c r="H1379">
        <v>76</v>
      </c>
      <c r="I1379" t="s">
        <v>647</v>
      </c>
      <c r="J1379">
        <v>7500</v>
      </c>
      <c r="K1379" s="1">
        <v>44073</v>
      </c>
      <c r="L1379">
        <v>2020</v>
      </c>
      <c r="M1379" t="str">
        <f>UPPER(TEXT(_2020_2022[[#This Row],[Data da Venda]],"mmm"))</f>
        <v>AGO</v>
      </c>
    </row>
    <row r="1380" spans="1:13" x14ac:dyDescent="0.25">
      <c r="A1380" t="s">
        <v>20</v>
      </c>
      <c r="B1380">
        <v>2600</v>
      </c>
      <c r="C1380">
        <v>3</v>
      </c>
      <c r="D1380" t="s">
        <v>39</v>
      </c>
      <c r="E1380" t="s">
        <v>641</v>
      </c>
      <c r="F1380" t="s">
        <v>1290</v>
      </c>
      <c r="G1380" t="s">
        <v>650</v>
      </c>
      <c r="H1380">
        <v>39</v>
      </c>
      <c r="I1380" t="s">
        <v>644</v>
      </c>
      <c r="J1380">
        <v>7800</v>
      </c>
      <c r="K1380" s="1">
        <v>44114</v>
      </c>
      <c r="L1380">
        <v>2020</v>
      </c>
      <c r="M1380" t="str">
        <f>UPPER(TEXT(_2020_2022[[#This Row],[Data da Venda]],"mmm"))</f>
        <v>OUT</v>
      </c>
    </row>
    <row r="1381" spans="1:13" x14ac:dyDescent="0.25">
      <c r="A1381" t="s">
        <v>8</v>
      </c>
      <c r="B1381">
        <v>5500</v>
      </c>
      <c r="C1381">
        <v>1</v>
      </c>
      <c r="D1381" t="s">
        <v>35</v>
      </c>
      <c r="E1381" t="s">
        <v>666</v>
      </c>
      <c r="F1381" t="s">
        <v>1291</v>
      </c>
      <c r="G1381" t="s">
        <v>643</v>
      </c>
      <c r="H1381">
        <v>25</v>
      </c>
      <c r="I1381" t="s">
        <v>651</v>
      </c>
      <c r="J1381">
        <v>5500</v>
      </c>
      <c r="K1381" s="1">
        <v>44074</v>
      </c>
      <c r="L1381">
        <v>2020</v>
      </c>
      <c r="M1381" t="str">
        <f>UPPER(TEXT(_2020_2022[[#This Row],[Data da Venda]],"mmm"))</f>
        <v>AGO</v>
      </c>
    </row>
    <row r="1382" spans="1:13" x14ac:dyDescent="0.25">
      <c r="A1382" t="s">
        <v>1442</v>
      </c>
      <c r="B1382">
        <v>1200</v>
      </c>
      <c r="C1382">
        <v>1</v>
      </c>
      <c r="D1382" t="s">
        <v>29</v>
      </c>
      <c r="E1382" t="s">
        <v>641</v>
      </c>
      <c r="F1382" t="s">
        <v>665</v>
      </c>
      <c r="G1382" t="s">
        <v>650</v>
      </c>
      <c r="H1382">
        <v>34</v>
      </c>
      <c r="I1382" t="s">
        <v>644</v>
      </c>
      <c r="J1382">
        <v>1200</v>
      </c>
      <c r="K1382" s="1">
        <v>44173</v>
      </c>
      <c r="L1382">
        <v>2020</v>
      </c>
      <c r="M1382" t="str">
        <f>UPPER(TEXT(_2020_2022[[#This Row],[Data da Venda]],"mmm"))</f>
        <v>DEZ</v>
      </c>
    </row>
    <row r="1383" spans="1:13" x14ac:dyDescent="0.25">
      <c r="A1383" t="s">
        <v>14</v>
      </c>
      <c r="B1383">
        <v>2000</v>
      </c>
      <c r="C1383">
        <v>3</v>
      </c>
      <c r="D1383" t="s">
        <v>39</v>
      </c>
      <c r="E1383" t="s">
        <v>641</v>
      </c>
      <c r="F1383" t="s">
        <v>1292</v>
      </c>
      <c r="G1383" t="s">
        <v>643</v>
      </c>
      <c r="H1383">
        <v>65</v>
      </c>
      <c r="I1383" t="s">
        <v>647</v>
      </c>
      <c r="J1383">
        <v>6000</v>
      </c>
      <c r="K1383" s="1">
        <v>44078</v>
      </c>
      <c r="L1383">
        <v>2020</v>
      </c>
      <c r="M1383" t="str">
        <f>UPPER(TEXT(_2020_2022[[#This Row],[Data da Venda]],"mmm"))</f>
        <v>SET</v>
      </c>
    </row>
    <row r="1384" spans="1:13" x14ac:dyDescent="0.25">
      <c r="A1384" t="s">
        <v>14</v>
      </c>
      <c r="B1384">
        <v>2000</v>
      </c>
      <c r="C1384">
        <v>1</v>
      </c>
      <c r="D1384" t="s">
        <v>36</v>
      </c>
      <c r="E1384" t="s">
        <v>677</v>
      </c>
      <c r="F1384" t="s">
        <v>1253</v>
      </c>
      <c r="G1384" t="s">
        <v>650</v>
      </c>
      <c r="H1384">
        <v>54</v>
      </c>
      <c r="I1384" t="s">
        <v>647</v>
      </c>
      <c r="J1384">
        <v>2000</v>
      </c>
      <c r="K1384" s="1">
        <v>44155</v>
      </c>
      <c r="L1384">
        <v>2020</v>
      </c>
      <c r="M1384" t="str">
        <f>UPPER(TEXT(_2020_2022[[#This Row],[Data da Venda]],"mmm"))</f>
        <v>NOV</v>
      </c>
    </row>
    <row r="1385" spans="1:13" x14ac:dyDescent="0.25">
      <c r="A1385" t="s">
        <v>26</v>
      </c>
      <c r="B1385">
        <v>1100</v>
      </c>
      <c r="C1385">
        <v>3</v>
      </c>
      <c r="D1385" t="s">
        <v>33</v>
      </c>
      <c r="E1385" t="s">
        <v>641</v>
      </c>
      <c r="F1385" t="s">
        <v>1032</v>
      </c>
      <c r="G1385" t="s">
        <v>650</v>
      </c>
      <c r="H1385">
        <v>33</v>
      </c>
      <c r="I1385" t="s">
        <v>644</v>
      </c>
      <c r="J1385">
        <v>3300</v>
      </c>
      <c r="K1385" s="1">
        <v>43907</v>
      </c>
      <c r="L1385">
        <v>2020</v>
      </c>
      <c r="M1385" t="str">
        <f>UPPER(TEXT(_2020_2022[[#This Row],[Data da Venda]],"mmm"))</f>
        <v>MAR</v>
      </c>
    </row>
    <row r="1386" spans="1:13" x14ac:dyDescent="0.25">
      <c r="A1386" t="s">
        <v>9</v>
      </c>
      <c r="B1386">
        <v>1500</v>
      </c>
      <c r="C1386">
        <v>4</v>
      </c>
      <c r="D1386" t="s">
        <v>38</v>
      </c>
      <c r="E1386" t="s">
        <v>648</v>
      </c>
      <c r="F1386" t="s">
        <v>1223</v>
      </c>
      <c r="G1386" t="s">
        <v>643</v>
      </c>
      <c r="H1386">
        <v>50</v>
      </c>
      <c r="I1386" t="s">
        <v>644</v>
      </c>
      <c r="J1386">
        <v>6000</v>
      </c>
      <c r="K1386" s="1">
        <v>44067</v>
      </c>
      <c r="L1386">
        <v>2020</v>
      </c>
      <c r="M1386" t="str">
        <f>UPPER(TEXT(_2020_2022[[#This Row],[Data da Venda]],"mmm"))</f>
        <v>AGO</v>
      </c>
    </row>
    <row r="1387" spans="1:13" x14ac:dyDescent="0.25">
      <c r="A1387" t="s">
        <v>1440</v>
      </c>
      <c r="B1387">
        <v>700</v>
      </c>
      <c r="C1387">
        <v>5</v>
      </c>
      <c r="D1387" t="s">
        <v>38</v>
      </c>
      <c r="E1387" t="s">
        <v>648</v>
      </c>
      <c r="F1387" t="s">
        <v>649</v>
      </c>
      <c r="G1387" t="s">
        <v>650</v>
      </c>
      <c r="H1387">
        <v>27</v>
      </c>
      <c r="I1387" t="s">
        <v>651</v>
      </c>
      <c r="J1387">
        <v>3500</v>
      </c>
      <c r="K1387" s="1">
        <v>44114</v>
      </c>
      <c r="L1387">
        <v>2020</v>
      </c>
      <c r="M1387" t="str">
        <f>UPPER(TEXT(_2020_2022[[#This Row],[Data da Venda]],"mmm"))</f>
        <v>OUT</v>
      </c>
    </row>
    <row r="1388" spans="1:13" x14ac:dyDescent="0.25">
      <c r="A1388" t="s">
        <v>9</v>
      </c>
      <c r="B1388">
        <v>1500</v>
      </c>
      <c r="C1388">
        <v>1</v>
      </c>
      <c r="D1388" t="s">
        <v>32</v>
      </c>
      <c r="E1388" t="s">
        <v>652</v>
      </c>
      <c r="F1388" t="s">
        <v>1053</v>
      </c>
      <c r="G1388" t="s">
        <v>643</v>
      </c>
      <c r="H1388">
        <v>27</v>
      </c>
      <c r="I1388" t="s">
        <v>651</v>
      </c>
      <c r="J1388">
        <v>1500</v>
      </c>
      <c r="K1388" s="1">
        <v>44164</v>
      </c>
      <c r="L1388">
        <v>2020</v>
      </c>
      <c r="M1388" t="str">
        <f>UPPER(TEXT(_2020_2022[[#This Row],[Data da Venda]],"mmm"))</f>
        <v>NOV</v>
      </c>
    </row>
    <row r="1389" spans="1:13" x14ac:dyDescent="0.25">
      <c r="A1389" t="s">
        <v>14</v>
      </c>
      <c r="B1389">
        <v>2000</v>
      </c>
      <c r="C1389">
        <v>1</v>
      </c>
      <c r="D1389" t="s">
        <v>38</v>
      </c>
      <c r="E1389" t="s">
        <v>648</v>
      </c>
      <c r="F1389" t="s">
        <v>659</v>
      </c>
      <c r="G1389" t="s">
        <v>643</v>
      </c>
      <c r="H1389">
        <v>50</v>
      </c>
      <c r="I1389" t="s">
        <v>644</v>
      </c>
      <c r="J1389">
        <v>2000</v>
      </c>
      <c r="K1389" s="1">
        <v>43915</v>
      </c>
      <c r="L1389">
        <v>2020</v>
      </c>
      <c r="M1389" t="str">
        <f>UPPER(TEXT(_2020_2022[[#This Row],[Data da Venda]],"mmm"))</f>
        <v>MAR</v>
      </c>
    </row>
    <row r="1390" spans="1:13" x14ac:dyDescent="0.25">
      <c r="A1390" t="s">
        <v>1441</v>
      </c>
      <c r="B1390">
        <v>1450</v>
      </c>
      <c r="C1390">
        <v>5</v>
      </c>
      <c r="D1390" t="s">
        <v>34</v>
      </c>
      <c r="E1390" t="s">
        <v>679</v>
      </c>
      <c r="F1390" t="s">
        <v>1235</v>
      </c>
      <c r="G1390" t="s">
        <v>643</v>
      </c>
      <c r="H1390">
        <v>67</v>
      </c>
      <c r="I1390" t="s">
        <v>647</v>
      </c>
      <c r="J1390">
        <v>7250</v>
      </c>
      <c r="K1390" s="1">
        <v>43871</v>
      </c>
      <c r="L1390">
        <v>2020</v>
      </c>
      <c r="M1390" t="str">
        <f>UPPER(TEXT(_2020_2022[[#This Row],[Data da Venda]],"mmm"))</f>
        <v>FEV</v>
      </c>
    </row>
    <row r="1391" spans="1:13" x14ac:dyDescent="0.25">
      <c r="A1391" t="s">
        <v>26</v>
      </c>
      <c r="B1391">
        <v>1100</v>
      </c>
      <c r="C1391">
        <v>4</v>
      </c>
      <c r="D1391" t="s">
        <v>33</v>
      </c>
      <c r="E1391" t="s">
        <v>641</v>
      </c>
      <c r="F1391" t="s">
        <v>917</v>
      </c>
      <c r="G1391" t="s">
        <v>643</v>
      </c>
      <c r="H1391">
        <v>45</v>
      </c>
      <c r="I1391" t="s">
        <v>644</v>
      </c>
      <c r="J1391">
        <v>4400</v>
      </c>
      <c r="K1391" s="1">
        <v>43898</v>
      </c>
      <c r="L1391">
        <v>2020</v>
      </c>
      <c r="M1391" t="str">
        <f>UPPER(TEXT(_2020_2022[[#This Row],[Data da Venda]],"mmm"))</f>
        <v>MAR</v>
      </c>
    </row>
    <row r="1392" spans="1:13" x14ac:dyDescent="0.25">
      <c r="A1392" t="s">
        <v>18</v>
      </c>
      <c r="B1392">
        <v>3000</v>
      </c>
      <c r="C1392">
        <v>3</v>
      </c>
      <c r="D1392" t="s">
        <v>29</v>
      </c>
      <c r="E1392" t="s">
        <v>641</v>
      </c>
      <c r="F1392" t="s">
        <v>787</v>
      </c>
      <c r="G1392" t="s">
        <v>650</v>
      </c>
      <c r="H1392">
        <v>68</v>
      </c>
      <c r="I1392" t="s">
        <v>647</v>
      </c>
      <c r="J1392">
        <v>9000</v>
      </c>
      <c r="K1392" s="1">
        <v>43967</v>
      </c>
      <c r="L1392">
        <v>2020</v>
      </c>
      <c r="M1392" t="str">
        <f>UPPER(TEXT(_2020_2022[[#This Row],[Data da Venda]],"mmm"))</f>
        <v>MAI</v>
      </c>
    </row>
    <row r="1393" spans="1:13" x14ac:dyDescent="0.25">
      <c r="A1393" t="s">
        <v>9</v>
      </c>
      <c r="B1393">
        <v>1500</v>
      </c>
      <c r="C1393">
        <v>3</v>
      </c>
      <c r="D1393" t="s">
        <v>31</v>
      </c>
      <c r="E1393" t="s">
        <v>645</v>
      </c>
      <c r="F1393" t="s">
        <v>1293</v>
      </c>
      <c r="G1393" t="s">
        <v>650</v>
      </c>
      <c r="H1393">
        <v>38</v>
      </c>
      <c r="I1393" t="s">
        <v>644</v>
      </c>
      <c r="J1393">
        <v>4500</v>
      </c>
      <c r="K1393" s="1">
        <v>43969</v>
      </c>
      <c r="L1393">
        <v>2020</v>
      </c>
      <c r="M1393" t="str">
        <f>UPPER(TEXT(_2020_2022[[#This Row],[Data da Venda]],"mmm"))</f>
        <v>MAI</v>
      </c>
    </row>
    <row r="1394" spans="1:13" x14ac:dyDescent="0.25">
      <c r="A1394" t="s">
        <v>7</v>
      </c>
      <c r="B1394">
        <v>750</v>
      </c>
      <c r="C1394">
        <v>1</v>
      </c>
      <c r="D1394" t="s">
        <v>41</v>
      </c>
      <c r="E1394" t="s">
        <v>681</v>
      </c>
      <c r="F1394" t="s">
        <v>1260</v>
      </c>
      <c r="G1394" t="s">
        <v>650</v>
      </c>
      <c r="H1394">
        <v>38</v>
      </c>
      <c r="I1394" t="s">
        <v>644</v>
      </c>
      <c r="J1394">
        <v>750</v>
      </c>
      <c r="K1394" s="1">
        <v>43978</v>
      </c>
      <c r="L1394">
        <v>2020</v>
      </c>
      <c r="M1394" t="str">
        <f>UPPER(TEXT(_2020_2022[[#This Row],[Data da Venda]],"mmm"))</f>
        <v>MAI</v>
      </c>
    </row>
    <row r="1395" spans="1:13" x14ac:dyDescent="0.25">
      <c r="A1395" t="s">
        <v>12</v>
      </c>
      <c r="B1395">
        <v>6500</v>
      </c>
      <c r="C1395">
        <v>1</v>
      </c>
      <c r="D1395" t="s">
        <v>39</v>
      </c>
      <c r="E1395" t="s">
        <v>641</v>
      </c>
      <c r="F1395" t="s">
        <v>1173</v>
      </c>
      <c r="G1395" t="s">
        <v>650</v>
      </c>
      <c r="H1395">
        <v>41</v>
      </c>
      <c r="I1395" t="s">
        <v>644</v>
      </c>
      <c r="J1395">
        <v>6500</v>
      </c>
      <c r="K1395" s="1">
        <v>44111</v>
      </c>
      <c r="L1395">
        <v>2020</v>
      </c>
      <c r="M1395" t="str">
        <f>UPPER(TEXT(_2020_2022[[#This Row],[Data da Venda]],"mmm"))</f>
        <v>OUT</v>
      </c>
    </row>
    <row r="1396" spans="1:13" x14ac:dyDescent="0.25">
      <c r="A1396" t="s">
        <v>21</v>
      </c>
      <c r="B1396">
        <v>2400</v>
      </c>
      <c r="C1396">
        <v>4</v>
      </c>
      <c r="D1396" t="s">
        <v>29</v>
      </c>
      <c r="E1396" t="s">
        <v>641</v>
      </c>
      <c r="F1396" t="s">
        <v>1033</v>
      </c>
      <c r="G1396" t="s">
        <v>650</v>
      </c>
      <c r="H1396">
        <v>44</v>
      </c>
      <c r="I1396" t="s">
        <v>644</v>
      </c>
      <c r="J1396">
        <v>9600</v>
      </c>
      <c r="K1396" s="1">
        <v>44192</v>
      </c>
      <c r="L1396">
        <v>2020</v>
      </c>
      <c r="M1396" t="str">
        <f>UPPER(TEXT(_2020_2022[[#This Row],[Data da Venda]],"mmm"))</f>
        <v>DEZ</v>
      </c>
    </row>
    <row r="1397" spans="1:13" x14ac:dyDescent="0.25">
      <c r="A1397" t="s">
        <v>20</v>
      </c>
      <c r="B1397">
        <v>2600</v>
      </c>
      <c r="C1397">
        <v>1</v>
      </c>
      <c r="D1397" t="s">
        <v>35</v>
      </c>
      <c r="E1397" t="s">
        <v>666</v>
      </c>
      <c r="F1397" t="s">
        <v>767</v>
      </c>
      <c r="G1397" t="s">
        <v>643</v>
      </c>
      <c r="H1397">
        <v>62</v>
      </c>
      <c r="I1397" t="s">
        <v>647</v>
      </c>
      <c r="J1397">
        <v>2600</v>
      </c>
      <c r="K1397" s="1">
        <v>44046</v>
      </c>
      <c r="L1397">
        <v>2020</v>
      </c>
      <c r="M1397" t="str">
        <f>UPPER(TEXT(_2020_2022[[#This Row],[Data da Venda]],"mmm"))</f>
        <v>AGO</v>
      </c>
    </row>
    <row r="1398" spans="1:13" x14ac:dyDescent="0.25">
      <c r="A1398" t="s">
        <v>5</v>
      </c>
      <c r="B1398">
        <v>1750</v>
      </c>
      <c r="C1398">
        <v>5</v>
      </c>
      <c r="D1398" t="s">
        <v>37</v>
      </c>
      <c r="E1398" t="s">
        <v>645</v>
      </c>
      <c r="F1398" t="s">
        <v>1294</v>
      </c>
      <c r="G1398" t="s">
        <v>643</v>
      </c>
      <c r="H1398">
        <v>59</v>
      </c>
      <c r="I1398" t="s">
        <v>647</v>
      </c>
      <c r="J1398">
        <v>8750</v>
      </c>
      <c r="K1398" s="1">
        <v>43883</v>
      </c>
      <c r="L1398">
        <v>2020</v>
      </c>
      <c r="M1398" t="str">
        <f>UPPER(TEXT(_2020_2022[[#This Row],[Data da Venda]],"mmm"))</f>
        <v>FEV</v>
      </c>
    </row>
    <row r="1399" spans="1:13" x14ac:dyDescent="0.25">
      <c r="A1399" t="s">
        <v>18</v>
      </c>
      <c r="B1399">
        <v>3000</v>
      </c>
      <c r="C1399">
        <v>4</v>
      </c>
      <c r="D1399" t="s">
        <v>33</v>
      </c>
      <c r="E1399" t="s">
        <v>641</v>
      </c>
      <c r="F1399" t="s">
        <v>1287</v>
      </c>
      <c r="G1399" t="s">
        <v>650</v>
      </c>
      <c r="H1399">
        <v>57</v>
      </c>
      <c r="I1399" t="s">
        <v>647</v>
      </c>
      <c r="J1399">
        <v>12000</v>
      </c>
      <c r="K1399" s="1">
        <v>44052</v>
      </c>
      <c r="L1399">
        <v>2020</v>
      </c>
      <c r="M1399" t="str">
        <f>UPPER(TEXT(_2020_2022[[#This Row],[Data da Venda]],"mmm"))</f>
        <v>AGO</v>
      </c>
    </row>
    <row r="1400" spans="1:13" x14ac:dyDescent="0.25">
      <c r="A1400" t="s">
        <v>1445</v>
      </c>
      <c r="B1400">
        <v>1500</v>
      </c>
      <c r="C1400">
        <v>3</v>
      </c>
      <c r="D1400" t="s">
        <v>40</v>
      </c>
      <c r="E1400" t="s">
        <v>657</v>
      </c>
      <c r="F1400" t="s">
        <v>1295</v>
      </c>
      <c r="G1400" t="s">
        <v>643</v>
      </c>
      <c r="H1400">
        <v>47</v>
      </c>
      <c r="I1400" t="s">
        <v>644</v>
      </c>
      <c r="J1400">
        <v>4500</v>
      </c>
      <c r="K1400" s="1">
        <v>44111</v>
      </c>
      <c r="L1400">
        <v>2020</v>
      </c>
      <c r="M1400" t="str">
        <f>UPPER(TEXT(_2020_2022[[#This Row],[Data da Venda]],"mmm"))</f>
        <v>OUT</v>
      </c>
    </row>
    <row r="1401" spans="1:13" x14ac:dyDescent="0.25">
      <c r="A1401" t="s">
        <v>20</v>
      </c>
      <c r="B1401">
        <v>2600</v>
      </c>
      <c r="C1401">
        <v>2</v>
      </c>
      <c r="D1401" t="s">
        <v>33</v>
      </c>
      <c r="E1401" t="s">
        <v>641</v>
      </c>
      <c r="F1401" t="s">
        <v>1263</v>
      </c>
      <c r="G1401" t="s">
        <v>650</v>
      </c>
      <c r="H1401">
        <v>51</v>
      </c>
      <c r="I1401" t="s">
        <v>647</v>
      </c>
      <c r="J1401">
        <v>5200</v>
      </c>
      <c r="K1401" s="1">
        <v>43912</v>
      </c>
      <c r="L1401">
        <v>2020</v>
      </c>
      <c r="M1401" t="str">
        <f>UPPER(TEXT(_2020_2022[[#This Row],[Data da Venda]],"mmm"))</f>
        <v>MAR</v>
      </c>
    </row>
    <row r="1402" spans="1:13" x14ac:dyDescent="0.25">
      <c r="A1402" t="s">
        <v>7</v>
      </c>
      <c r="B1402">
        <v>750</v>
      </c>
      <c r="C1402">
        <v>1</v>
      </c>
      <c r="D1402" t="s">
        <v>37</v>
      </c>
      <c r="E1402" t="s">
        <v>645</v>
      </c>
      <c r="F1402" t="s">
        <v>1019</v>
      </c>
      <c r="G1402" t="s">
        <v>643</v>
      </c>
      <c r="H1402">
        <v>48</v>
      </c>
      <c r="I1402" t="s">
        <v>644</v>
      </c>
      <c r="J1402">
        <v>750</v>
      </c>
      <c r="K1402" s="1">
        <v>44100</v>
      </c>
      <c r="L1402">
        <v>2020</v>
      </c>
      <c r="M1402" t="str">
        <f>UPPER(TEXT(_2020_2022[[#This Row],[Data da Venda]],"mmm"))</f>
        <v>SET</v>
      </c>
    </row>
    <row r="1403" spans="1:13" x14ac:dyDescent="0.25">
      <c r="A1403" t="s">
        <v>22</v>
      </c>
      <c r="B1403">
        <v>5200</v>
      </c>
      <c r="C1403">
        <v>4</v>
      </c>
      <c r="D1403" t="s">
        <v>35</v>
      </c>
      <c r="E1403" t="s">
        <v>666</v>
      </c>
      <c r="F1403" t="s">
        <v>974</v>
      </c>
      <c r="G1403" t="s">
        <v>643</v>
      </c>
      <c r="H1403">
        <v>54</v>
      </c>
      <c r="I1403" t="s">
        <v>647</v>
      </c>
      <c r="J1403">
        <v>20800</v>
      </c>
      <c r="K1403" s="1">
        <v>43844</v>
      </c>
      <c r="L1403">
        <v>2020</v>
      </c>
      <c r="M1403" t="str">
        <f>UPPER(TEXT(_2020_2022[[#This Row],[Data da Venda]],"mmm"))</f>
        <v>JAN</v>
      </c>
    </row>
    <row r="1404" spans="1:13" x14ac:dyDescent="0.25">
      <c r="A1404" t="s">
        <v>9</v>
      </c>
      <c r="B1404">
        <v>1500</v>
      </c>
      <c r="C1404">
        <v>1</v>
      </c>
      <c r="D1404" t="s">
        <v>29</v>
      </c>
      <c r="E1404" t="s">
        <v>641</v>
      </c>
      <c r="F1404" t="s">
        <v>924</v>
      </c>
      <c r="G1404" t="s">
        <v>643</v>
      </c>
      <c r="H1404">
        <v>57</v>
      </c>
      <c r="I1404" t="s">
        <v>647</v>
      </c>
      <c r="J1404">
        <v>1500</v>
      </c>
      <c r="K1404" s="1">
        <v>44108</v>
      </c>
      <c r="L1404">
        <v>2020</v>
      </c>
      <c r="M1404" t="str">
        <f>UPPER(TEXT(_2020_2022[[#This Row],[Data da Venda]],"mmm"))</f>
        <v>OUT</v>
      </c>
    </row>
    <row r="1405" spans="1:13" x14ac:dyDescent="0.25">
      <c r="A1405" t="s">
        <v>15</v>
      </c>
      <c r="B1405">
        <v>1900</v>
      </c>
      <c r="C1405">
        <v>4</v>
      </c>
      <c r="D1405" t="s">
        <v>41</v>
      </c>
      <c r="E1405" t="s">
        <v>681</v>
      </c>
      <c r="F1405" t="s">
        <v>1296</v>
      </c>
      <c r="G1405" t="s">
        <v>643</v>
      </c>
      <c r="H1405">
        <v>70</v>
      </c>
      <c r="I1405" t="s">
        <v>647</v>
      </c>
      <c r="J1405">
        <v>7600</v>
      </c>
      <c r="K1405" s="1">
        <v>43936</v>
      </c>
      <c r="L1405">
        <v>2020</v>
      </c>
      <c r="M1405" t="str">
        <f>UPPER(TEXT(_2020_2022[[#This Row],[Data da Venda]],"mmm"))</f>
        <v>ABR</v>
      </c>
    </row>
    <row r="1406" spans="1:13" x14ac:dyDescent="0.25">
      <c r="A1406" t="s">
        <v>28</v>
      </c>
      <c r="B1406">
        <v>1400</v>
      </c>
      <c r="C1406">
        <v>2</v>
      </c>
      <c r="D1406" t="s">
        <v>30</v>
      </c>
      <c r="E1406" t="s">
        <v>645</v>
      </c>
      <c r="F1406" t="s">
        <v>1082</v>
      </c>
      <c r="G1406" t="s">
        <v>650</v>
      </c>
      <c r="H1406">
        <v>53</v>
      </c>
      <c r="I1406" t="s">
        <v>647</v>
      </c>
      <c r="J1406">
        <v>2800</v>
      </c>
      <c r="K1406" s="1">
        <v>43866</v>
      </c>
      <c r="L1406">
        <v>2020</v>
      </c>
      <c r="M1406" t="str">
        <f>UPPER(TEXT(_2020_2022[[#This Row],[Data da Venda]],"mmm"))</f>
        <v>FEV</v>
      </c>
    </row>
    <row r="1407" spans="1:13" x14ac:dyDescent="0.25">
      <c r="A1407" t="s">
        <v>5</v>
      </c>
      <c r="B1407">
        <v>1750</v>
      </c>
      <c r="C1407">
        <v>4</v>
      </c>
      <c r="D1407" t="s">
        <v>29</v>
      </c>
      <c r="E1407" t="s">
        <v>641</v>
      </c>
      <c r="F1407" t="s">
        <v>1297</v>
      </c>
      <c r="G1407" t="s">
        <v>643</v>
      </c>
      <c r="H1407">
        <v>43</v>
      </c>
      <c r="I1407" t="s">
        <v>644</v>
      </c>
      <c r="J1407">
        <v>7000</v>
      </c>
      <c r="K1407" s="1">
        <v>43839</v>
      </c>
      <c r="L1407">
        <v>2020</v>
      </c>
      <c r="M1407" t="str">
        <f>UPPER(TEXT(_2020_2022[[#This Row],[Data da Venda]],"mmm"))</f>
        <v>JAN</v>
      </c>
    </row>
    <row r="1408" spans="1:13" x14ac:dyDescent="0.25">
      <c r="A1408" t="s">
        <v>9</v>
      </c>
      <c r="B1408">
        <v>1500</v>
      </c>
      <c r="C1408">
        <v>1</v>
      </c>
      <c r="D1408" t="s">
        <v>34</v>
      </c>
      <c r="E1408" t="s">
        <v>679</v>
      </c>
      <c r="F1408" t="s">
        <v>1271</v>
      </c>
      <c r="G1408" t="s">
        <v>643</v>
      </c>
      <c r="H1408">
        <v>36</v>
      </c>
      <c r="I1408" t="s">
        <v>644</v>
      </c>
      <c r="J1408">
        <v>1500</v>
      </c>
      <c r="K1408" s="1">
        <v>44175</v>
      </c>
      <c r="L1408">
        <v>2020</v>
      </c>
      <c r="M1408" t="str">
        <f>UPPER(TEXT(_2020_2022[[#This Row],[Data da Venda]],"mmm"))</f>
        <v>DEZ</v>
      </c>
    </row>
    <row r="1409" spans="1:13" x14ac:dyDescent="0.25">
      <c r="A1409" t="s">
        <v>11</v>
      </c>
      <c r="B1409">
        <v>4500</v>
      </c>
      <c r="C1409">
        <v>3</v>
      </c>
      <c r="D1409" t="s">
        <v>35</v>
      </c>
      <c r="E1409" t="s">
        <v>666</v>
      </c>
      <c r="F1409" t="s">
        <v>1181</v>
      </c>
      <c r="G1409" t="s">
        <v>643</v>
      </c>
      <c r="H1409">
        <v>69</v>
      </c>
      <c r="I1409" t="s">
        <v>647</v>
      </c>
      <c r="J1409">
        <v>13500</v>
      </c>
      <c r="K1409" s="1">
        <v>43917</v>
      </c>
      <c r="L1409">
        <v>2020</v>
      </c>
      <c r="M1409" t="str">
        <f>UPPER(TEXT(_2020_2022[[#This Row],[Data da Venda]],"mmm"))</f>
        <v>MAR</v>
      </c>
    </row>
    <row r="1410" spans="1:13" x14ac:dyDescent="0.25">
      <c r="A1410" t="s">
        <v>18</v>
      </c>
      <c r="B1410">
        <v>3000</v>
      </c>
      <c r="C1410">
        <v>2</v>
      </c>
      <c r="D1410" t="s">
        <v>31</v>
      </c>
      <c r="E1410" t="s">
        <v>645</v>
      </c>
      <c r="F1410" t="s">
        <v>885</v>
      </c>
      <c r="G1410" t="s">
        <v>643</v>
      </c>
      <c r="H1410">
        <v>46</v>
      </c>
      <c r="I1410" t="s">
        <v>644</v>
      </c>
      <c r="J1410">
        <v>6000</v>
      </c>
      <c r="K1410" s="1">
        <v>44039</v>
      </c>
      <c r="L1410">
        <v>2020</v>
      </c>
      <c r="M1410" t="str">
        <f>UPPER(TEXT(_2020_2022[[#This Row],[Data da Venda]],"mmm"))</f>
        <v>JUL</v>
      </c>
    </row>
    <row r="1411" spans="1:13" x14ac:dyDescent="0.25">
      <c r="A1411" t="s">
        <v>16</v>
      </c>
      <c r="B1411">
        <v>1400</v>
      </c>
      <c r="C1411">
        <v>4</v>
      </c>
      <c r="D1411" t="s">
        <v>31</v>
      </c>
      <c r="E1411" t="s">
        <v>645</v>
      </c>
      <c r="F1411" t="s">
        <v>791</v>
      </c>
      <c r="G1411" t="s">
        <v>643</v>
      </c>
      <c r="H1411">
        <v>73</v>
      </c>
      <c r="I1411" t="s">
        <v>647</v>
      </c>
      <c r="J1411">
        <v>5600</v>
      </c>
      <c r="K1411" s="1">
        <v>44014</v>
      </c>
      <c r="L1411">
        <v>2020</v>
      </c>
      <c r="M1411" t="str">
        <f>UPPER(TEXT(_2020_2022[[#This Row],[Data da Venda]],"mmm"))</f>
        <v>JUL</v>
      </c>
    </row>
    <row r="1412" spans="1:13" x14ac:dyDescent="0.25">
      <c r="A1412" t="s">
        <v>8</v>
      </c>
      <c r="B1412">
        <v>5500</v>
      </c>
      <c r="C1412">
        <v>2</v>
      </c>
      <c r="D1412" t="s">
        <v>37</v>
      </c>
      <c r="E1412" t="s">
        <v>645</v>
      </c>
      <c r="F1412" t="s">
        <v>1298</v>
      </c>
      <c r="G1412" t="s">
        <v>643</v>
      </c>
      <c r="H1412">
        <v>61</v>
      </c>
      <c r="I1412" t="s">
        <v>647</v>
      </c>
      <c r="J1412">
        <v>11000</v>
      </c>
      <c r="K1412" s="1">
        <v>43957</v>
      </c>
      <c r="L1412">
        <v>2020</v>
      </c>
      <c r="M1412" t="str">
        <f>UPPER(TEXT(_2020_2022[[#This Row],[Data da Venda]],"mmm"))</f>
        <v>MAI</v>
      </c>
    </row>
    <row r="1413" spans="1:13" x14ac:dyDescent="0.25">
      <c r="A1413" t="s">
        <v>1443</v>
      </c>
      <c r="B1413">
        <v>1550</v>
      </c>
      <c r="C1413">
        <v>1</v>
      </c>
      <c r="D1413" t="s">
        <v>34</v>
      </c>
      <c r="E1413" t="s">
        <v>679</v>
      </c>
      <c r="F1413" t="s">
        <v>873</v>
      </c>
      <c r="G1413" t="s">
        <v>643</v>
      </c>
      <c r="H1413">
        <v>62</v>
      </c>
      <c r="I1413" t="s">
        <v>647</v>
      </c>
      <c r="J1413">
        <v>1550</v>
      </c>
      <c r="K1413" s="1">
        <v>43923</v>
      </c>
      <c r="L1413">
        <v>2020</v>
      </c>
      <c r="M1413" t="str">
        <f>UPPER(TEXT(_2020_2022[[#This Row],[Data da Venda]],"mmm"))</f>
        <v>ABR</v>
      </c>
    </row>
    <row r="1414" spans="1:13" x14ac:dyDescent="0.25">
      <c r="A1414" t="s">
        <v>11</v>
      </c>
      <c r="B1414">
        <v>4500</v>
      </c>
      <c r="C1414">
        <v>5</v>
      </c>
      <c r="D1414" t="s">
        <v>37</v>
      </c>
      <c r="E1414" t="s">
        <v>645</v>
      </c>
      <c r="F1414" t="s">
        <v>1059</v>
      </c>
      <c r="G1414" t="s">
        <v>643</v>
      </c>
      <c r="H1414">
        <v>49</v>
      </c>
      <c r="I1414" t="s">
        <v>644</v>
      </c>
      <c r="J1414">
        <v>22500</v>
      </c>
      <c r="K1414" s="1">
        <v>43957</v>
      </c>
      <c r="L1414">
        <v>2020</v>
      </c>
      <c r="M1414" t="str">
        <f>UPPER(TEXT(_2020_2022[[#This Row],[Data da Venda]],"mmm"))</f>
        <v>MAI</v>
      </c>
    </row>
    <row r="1415" spans="1:13" x14ac:dyDescent="0.25">
      <c r="A1415" t="s">
        <v>25</v>
      </c>
      <c r="B1415">
        <v>2500</v>
      </c>
      <c r="C1415">
        <v>2</v>
      </c>
      <c r="D1415" t="s">
        <v>32</v>
      </c>
      <c r="E1415" t="s">
        <v>652</v>
      </c>
      <c r="F1415" t="s">
        <v>1101</v>
      </c>
      <c r="G1415" t="s">
        <v>643</v>
      </c>
      <c r="H1415">
        <v>72</v>
      </c>
      <c r="I1415" t="s">
        <v>647</v>
      </c>
      <c r="J1415">
        <v>5000</v>
      </c>
      <c r="K1415" s="1">
        <v>43923</v>
      </c>
      <c r="L1415">
        <v>2020</v>
      </c>
      <c r="M1415" t="str">
        <f>UPPER(TEXT(_2020_2022[[#This Row],[Data da Venda]],"mmm"))</f>
        <v>ABR</v>
      </c>
    </row>
    <row r="1416" spans="1:13" x14ac:dyDescent="0.25">
      <c r="A1416" t="s">
        <v>16</v>
      </c>
      <c r="B1416">
        <v>1400</v>
      </c>
      <c r="C1416">
        <v>1</v>
      </c>
      <c r="D1416" t="s">
        <v>39</v>
      </c>
      <c r="E1416" t="s">
        <v>641</v>
      </c>
      <c r="F1416" t="s">
        <v>1299</v>
      </c>
      <c r="G1416" t="s">
        <v>650</v>
      </c>
      <c r="H1416">
        <v>34</v>
      </c>
      <c r="I1416" t="s">
        <v>644</v>
      </c>
      <c r="J1416">
        <v>1400</v>
      </c>
      <c r="K1416" s="1">
        <v>43973</v>
      </c>
      <c r="L1416">
        <v>2020</v>
      </c>
      <c r="M1416" t="str">
        <f>UPPER(TEXT(_2020_2022[[#This Row],[Data da Venda]],"mmm"))</f>
        <v>MAI</v>
      </c>
    </row>
    <row r="1417" spans="1:13" x14ac:dyDescent="0.25">
      <c r="A1417" t="s">
        <v>22</v>
      </c>
      <c r="B1417">
        <v>5200</v>
      </c>
      <c r="C1417">
        <v>3</v>
      </c>
      <c r="D1417" t="s">
        <v>31</v>
      </c>
      <c r="E1417" t="s">
        <v>645</v>
      </c>
      <c r="F1417" t="s">
        <v>1075</v>
      </c>
      <c r="G1417" t="s">
        <v>643</v>
      </c>
      <c r="H1417">
        <v>73</v>
      </c>
      <c r="I1417" t="s">
        <v>647</v>
      </c>
      <c r="J1417">
        <v>15600</v>
      </c>
      <c r="K1417" s="1">
        <v>44127</v>
      </c>
      <c r="L1417">
        <v>2020</v>
      </c>
      <c r="M1417" t="str">
        <f>UPPER(TEXT(_2020_2022[[#This Row],[Data da Venda]],"mmm"))</f>
        <v>OUT</v>
      </c>
    </row>
    <row r="1418" spans="1:13" x14ac:dyDescent="0.25">
      <c r="A1418" t="s">
        <v>11</v>
      </c>
      <c r="B1418">
        <v>4500</v>
      </c>
      <c r="C1418">
        <v>4</v>
      </c>
      <c r="D1418" t="s">
        <v>37</v>
      </c>
      <c r="E1418" t="s">
        <v>645</v>
      </c>
      <c r="F1418" t="s">
        <v>1300</v>
      </c>
      <c r="G1418" t="s">
        <v>650</v>
      </c>
      <c r="H1418">
        <v>66</v>
      </c>
      <c r="I1418" t="s">
        <v>647</v>
      </c>
      <c r="J1418">
        <v>18000</v>
      </c>
      <c r="K1418" s="1">
        <v>44193</v>
      </c>
      <c r="L1418">
        <v>2020</v>
      </c>
      <c r="M1418" t="str">
        <f>UPPER(TEXT(_2020_2022[[#This Row],[Data da Venda]],"mmm"))</f>
        <v>DEZ</v>
      </c>
    </row>
    <row r="1419" spans="1:13" x14ac:dyDescent="0.25">
      <c r="A1419" t="s">
        <v>25</v>
      </c>
      <c r="B1419">
        <v>2500</v>
      </c>
      <c r="C1419">
        <v>2</v>
      </c>
      <c r="D1419" t="s">
        <v>31</v>
      </c>
      <c r="E1419" t="s">
        <v>645</v>
      </c>
      <c r="F1419" t="s">
        <v>947</v>
      </c>
      <c r="G1419" t="s">
        <v>650</v>
      </c>
      <c r="H1419">
        <v>32</v>
      </c>
      <c r="I1419" t="s">
        <v>644</v>
      </c>
      <c r="J1419">
        <v>5000</v>
      </c>
      <c r="K1419" s="1">
        <v>43843</v>
      </c>
      <c r="L1419">
        <v>2020</v>
      </c>
      <c r="M1419" t="str">
        <f>UPPER(TEXT(_2020_2022[[#This Row],[Data da Venda]],"mmm"))</f>
        <v>JAN</v>
      </c>
    </row>
    <row r="1420" spans="1:13" x14ac:dyDescent="0.25">
      <c r="A1420" t="s">
        <v>25</v>
      </c>
      <c r="B1420">
        <v>2500</v>
      </c>
      <c r="C1420">
        <v>3</v>
      </c>
      <c r="D1420" t="s">
        <v>40</v>
      </c>
      <c r="E1420" t="s">
        <v>657</v>
      </c>
      <c r="F1420" t="s">
        <v>1150</v>
      </c>
      <c r="G1420" t="s">
        <v>643</v>
      </c>
      <c r="H1420">
        <v>25</v>
      </c>
      <c r="I1420" t="s">
        <v>651</v>
      </c>
      <c r="J1420">
        <v>7500</v>
      </c>
      <c r="K1420" s="1">
        <v>44182</v>
      </c>
      <c r="L1420">
        <v>2020</v>
      </c>
      <c r="M1420" t="str">
        <f>UPPER(TEXT(_2020_2022[[#This Row],[Data da Venda]],"mmm"))</f>
        <v>DEZ</v>
      </c>
    </row>
    <row r="1421" spans="1:13" x14ac:dyDescent="0.25">
      <c r="A1421" t="s">
        <v>22</v>
      </c>
      <c r="B1421">
        <v>5200</v>
      </c>
      <c r="C1421">
        <v>3</v>
      </c>
      <c r="D1421" t="s">
        <v>41</v>
      </c>
      <c r="E1421" t="s">
        <v>681</v>
      </c>
      <c r="F1421" t="s">
        <v>1066</v>
      </c>
      <c r="G1421" t="s">
        <v>643</v>
      </c>
      <c r="H1421">
        <v>61</v>
      </c>
      <c r="I1421" t="s">
        <v>647</v>
      </c>
      <c r="J1421">
        <v>15600</v>
      </c>
      <c r="K1421" s="1">
        <v>44122</v>
      </c>
      <c r="L1421">
        <v>2020</v>
      </c>
      <c r="M1421" t="str">
        <f>UPPER(TEXT(_2020_2022[[#This Row],[Data da Venda]],"mmm"))</f>
        <v>OUT</v>
      </c>
    </row>
    <row r="1422" spans="1:13" x14ac:dyDescent="0.25">
      <c r="A1422" t="s">
        <v>1445</v>
      </c>
      <c r="B1422">
        <v>1500</v>
      </c>
      <c r="C1422">
        <v>4</v>
      </c>
      <c r="D1422" t="s">
        <v>30</v>
      </c>
      <c r="E1422" t="s">
        <v>645</v>
      </c>
      <c r="F1422" t="s">
        <v>864</v>
      </c>
      <c r="G1422" t="s">
        <v>650</v>
      </c>
      <c r="H1422">
        <v>29</v>
      </c>
      <c r="I1422" t="s">
        <v>651</v>
      </c>
      <c r="J1422">
        <v>6000</v>
      </c>
      <c r="K1422" s="1">
        <v>44063</v>
      </c>
      <c r="L1422">
        <v>2020</v>
      </c>
      <c r="M1422" t="str">
        <f>UPPER(TEXT(_2020_2022[[#This Row],[Data da Venda]],"mmm"))</f>
        <v>AGO</v>
      </c>
    </row>
    <row r="1423" spans="1:13" x14ac:dyDescent="0.25">
      <c r="A1423" t="s">
        <v>5</v>
      </c>
      <c r="B1423">
        <v>1750</v>
      </c>
      <c r="C1423">
        <v>4</v>
      </c>
      <c r="D1423" t="s">
        <v>35</v>
      </c>
      <c r="E1423" t="s">
        <v>666</v>
      </c>
      <c r="F1423" t="s">
        <v>993</v>
      </c>
      <c r="G1423" t="s">
        <v>643</v>
      </c>
      <c r="H1423">
        <v>25</v>
      </c>
      <c r="I1423" t="s">
        <v>651</v>
      </c>
      <c r="J1423">
        <v>7000</v>
      </c>
      <c r="K1423" s="1">
        <v>44100</v>
      </c>
      <c r="L1423">
        <v>2020</v>
      </c>
      <c r="M1423" t="str">
        <f>UPPER(TEXT(_2020_2022[[#This Row],[Data da Venda]],"mmm"))</f>
        <v>SET</v>
      </c>
    </row>
    <row r="1424" spans="1:13" x14ac:dyDescent="0.25">
      <c r="A1424" t="s">
        <v>1445</v>
      </c>
      <c r="B1424">
        <v>1500</v>
      </c>
      <c r="C1424">
        <v>5</v>
      </c>
      <c r="D1424" t="s">
        <v>40</v>
      </c>
      <c r="E1424" t="s">
        <v>657</v>
      </c>
      <c r="F1424" t="s">
        <v>784</v>
      </c>
      <c r="G1424" t="s">
        <v>650</v>
      </c>
      <c r="H1424">
        <v>41</v>
      </c>
      <c r="I1424" t="s">
        <v>644</v>
      </c>
      <c r="J1424">
        <v>7500</v>
      </c>
      <c r="K1424" s="1">
        <v>44191</v>
      </c>
      <c r="L1424">
        <v>2020</v>
      </c>
      <c r="M1424" t="str">
        <f>UPPER(TEXT(_2020_2022[[#This Row],[Data da Venda]],"mmm"))</f>
        <v>DEZ</v>
      </c>
    </row>
    <row r="1425" spans="1:13" x14ac:dyDescent="0.25">
      <c r="A1425" t="s">
        <v>7</v>
      </c>
      <c r="B1425">
        <v>750</v>
      </c>
      <c r="C1425">
        <v>5</v>
      </c>
      <c r="D1425" t="s">
        <v>29</v>
      </c>
      <c r="E1425" t="s">
        <v>641</v>
      </c>
      <c r="F1425" t="s">
        <v>868</v>
      </c>
      <c r="G1425" t="s">
        <v>643</v>
      </c>
      <c r="H1425">
        <v>71</v>
      </c>
      <c r="I1425" t="s">
        <v>647</v>
      </c>
      <c r="J1425">
        <v>3750</v>
      </c>
      <c r="K1425" s="1">
        <v>43950</v>
      </c>
      <c r="L1425">
        <v>2020</v>
      </c>
      <c r="M1425" t="str">
        <f>UPPER(TEXT(_2020_2022[[#This Row],[Data da Venda]],"mmm"))</f>
        <v>ABR</v>
      </c>
    </row>
    <row r="1426" spans="1:13" x14ac:dyDescent="0.25">
      <c r="A1426" t="s">
        <v>1445</v>
      </c>
      <c r="B1426">
        <v>1500</v>
      </c>
      <c r="C1426">
        <v>4</v>
      </c>
      <c r="D1426" t="s">
        <v>33</v>
      </c>
      <c r="E1426" t="s">
        <v>641</v>
      </c>
      <c r="F1426" t="s">
        <v>1123</v>
      </c>
      <c r="G1426" t="s">
        <v>650</v>
      </c>
      <c r="H1426">
        <v>41</v>
      </c>
      <c r="I1426" t="s">
        <v>644</v>
      </c>
      <c r="J1426">
        <v>6000</v>
      </c>
      <c r="K1426" s="1">
        <v>43986</v>
      </c>
      <c r="L1426">
        <v>2020</v>
      </c>
      <c r="M1426" t="str">
        <f>UPPER(TEXT(_2020_2022[[#This Row],[Data da Venda]],"mmm"))</f>
        <v>JUN</v>
      </c>
    </row>
    <row r="1427" spans="1:13" x14ac:dyDescent="0.25">
      <c r="A1427" t="s">
        <v>25</v>
      </c>
      <c r="B1427">
        <v>2500</v>
      </c>
      <c r="C1427">
        <v>3</v>
      </c>
      <c r="D1427" t="s">
        <v>41</v>
      </c>
      <c r="E1427" t="s">
        <v>681</v>
      </c>
      <c r="F1427" t="s">
        <v>1149</v>
      </c>
      <c r="G1427" t="s">
        <v>643</v>
      </c>
      <c r="H1427">
        <v>53</v>
      </c>
      <c r="I1427" t="s">
        <v>647</v>
      </c>
      <c r="J1427">
        <v>7500</v>
      </c>
      <c r="K1427" s="1">
        <v>44101</v>
      </c>
      <c r="L1427">
        <v>2020</v>
      </c>
      <c r="M1427" t="str">
        <f>UPPER(TEXT(_2020_2022[[#This Row],[Data da Venda]],"mmm"))</f>
        <v>SET</v>
      </c>
    </row>
    <row r="1428" spans="1:13" x14ac:dyDescent="0.25">
      <c r="A1428" t="s">
        <v>22</v>
      </c>
      <c r="B1428">
        <v>5200</v>
      </c>
      <c r="C1428">
        <v>3</v>
      </c>
      <c r="D1428" t="s">
        <v>40</v>
      </c>
      <c r="E1428" t="s">
        <v>657</v>
      </c>
      <c r="F1428" t="s">
        <v>1199</v>
      </c>
      <c r="G1428" t="s">
        <v>643</v>
      </c>
      <c r="H1428">
        <v>71</v>
      </c>
      <c r="I1428" t="s">
        <v>647</v>
      </c>
      <c r="J1428">
        <v>15600</v>
      </c>
      <c r="K1428" s="1">
        <v>44165</v>
      </c>
      <c r="L1428">
        <v>2020</v>
      </c>
      <c r="M1428" t="str">
        <f>UPPER(TEXT(_2020_2022[[#This Row],[Data da Venda]],"mmm"))</f>
        <v>NOV</v>
      </c>
    </row>
    <row r="1429" spans="1:13" x14ac:dyDescent="0.25">
      <c r="A1429" t="s">
        <v>1444</v>
      </c>
      <c r="B1429">
        <v>1500</v>
      </c>
      <c r="C1429">
        <v>2</v>
      </c>
      <c r="D1429" t="s">
        <v>38</v>
      </c>
      <c r="E1429" t="s">
        <v>648</v>
      </c>
      <c r="F1429" t="s">
        <v>649</v>
      </c>
      <c r="G1429" t="s">
        <v>650</v>
      </c>
      <c r="H1429">
        <v>27</v>
      </c>
      <c r="I1429" t="s">
        <v>651</v>
      </c>
      <c r="J1429">
        <v>3000</v>
      </c>
      <c r="K1429" s="1">
        <v>43909</v>
      </c>
      <c r="L1429">
        <v>2020</v>
      </c>
      <c r="M1429" t="str">
        <f>UPPER(TEXT(_2020_2022[[#This Row],[Data da Venda]],"mmm"))</f>
        <v>MAR</v>
      </c>
    </row>
    <row r="1430" spans="1:13" x14ac:dyDescent="0.25">
      <c r="A1430" t="s">
        <v>14</v>
      </c>
      <c r="B1430">
        <v>2000</v>
      </c>
      <c r="C1430">
        <v>5</v>
      </c>
      <c r="D1430" t="s">
        <v>30</v>
      </c>
      <c r="E1430" t="s">
        <v>645</v>
      </c>
      <c r="F1430" t="s">
        <v>722</v>
      </c>
      <c r="G1430" t="s">
        <v>643</v>
      </c>
      <c r="H1430">
        <v>64</v>
      </c>
      <c r="I1430" t="s">
        <v>647</v>
      </c>
      <c r="J1430">
        <v>10000</v>
      </c>
      <c r="K1430" s="1">
        <v>43868</v>
      </c>
      <c r="L1430">
        <v>2020</v>
      </c>
      <c r="M1430" t="str">
        <f>UPPER(TEXT(_2020_2022[[#This Row],[Data da Venda]],"mmm"))</f>
        <v>FEV</v>
      </c>
    </row>
    <row r="1431" spans="1:13" x14ac:dyDescent="0.25">
      <c r="A1431" t="s">
        <v>1440</v>
      </c>
      <c r="B1431">
        <v>700</v>
      </c>
      <c r="C1431">
        <v>4</v>
      </c>
      <c r="D1431" t="s">
        <v>29</v>
      </c>
      <c r="E1431" t="s">
        <v>641</v>
      </c>
      <c r="F1431" t="s">
        <v>1301</v>
      </c>
      <c r="G1431" t="s">
        <v>650</v>
      </c>
      <c r="H1431">
        <v>55</v>
      </c>
      <c r="I1431" t="s">
        <v>647</v>
      </c>
      <c r="J1431">
        <v>2800</v>
      </c>
      <c r="K1431" s="1">
        <v>43836</v>
      </c>
      <c r="L1431">
        <v>2020</v>
      </c>
      <c r="M1431" t="str">
        <f>UPPER(TEXT(_2020_2022[[#This Row],[Data da Venda]],"mmm"))</f>
        <v>JAN</v>
      </c>
    </row>
    <row r="1432" spans="1:13" x14ac:dyDescent="0.25">
      <c r="A1432" t="s">
        <v>18</v>
      </c>
      <c r="B1432">
        <v>3000</v>
      </c>
      <c r="C1432">
        <v>4</v>
      </c>
      <c r="D1432" t="s">
        <v>31</v>
      </c>
      <c r="E1432" t="s">
        <v>645</v>
      </c>
      <c r="F1432" t="s">
        <v>1302</v>
      </c>
      <c r="G1432" t="s">
        <v>643</v>
      </c>
      <c r="H1432">
        <v>73</v>
      </c>
      <c r="I1432" t="s">
        <v>647</v>
      </c>
      <c r="J1432">
        <v>12000</v>
      </c>
      <c r="K1432" s="1">
        <v>44042</v>
      </c>
      <c r="L1432">
        <v>2020</v>
      </c>
      <c r="M1432" t="str">
        <f>UPPER(TEXT(_2020_2022[[#This Row],[Data da Venda]],"mmm"))</f>
        <v>JUL</v>
      </c>
    </row>
    <row r="1433" spans="1:13" x14ac:dyDescent="0.25">
      <c r="A1433" t="s">
        <v>18</v>
      </c>
      <c r="B1433">
        <v>3000</v>
      </c>
      <c r="C1433">
        <v>1</v>
      </c>
      <c r="D1433" t="s">
        <v>41</v>
      </c>
      <c r="E1433" t="s">
        <v>681</v>
      </c>
      <c r="F1433" t="s">
        <v>1303</v>
      </c>
      <c r="G1433" t="s">
        <v>650</v>
      </c>
      <c r="H1433">
        <v>70</v>
      </c>
      <c r="I1433" t="s">
        <v>647</v>
      </c>
      <c r="J1433">
        <v>3000</v>
      </c>
      <c r="K1433" s="1">
        <v>44139</v>
      </c>
      <c r="L1433">
        <v>2020</v>
      </c>
      <c r="M1433" t="str">
        <f>UPPER(TEXT(_2020_2022[[#This Row],[Data da Venda]],"mmm"))</f>
        <v>NOV</v>
      </c>
    </row>
    <row r="1434" spans="1:13" x14ac:dyDescent="0.25">
      <c r="A1434" t="s">
        <v>1442</v>
      </c>
      <c r="B1434">
        <v>1200</v>
      </c>
      <c r="C1434">
        <v>5</v>
      </c>
      <c r="D1434" t="s">
        <v>31</v>
      </c>
      <c r="E1434" t="s">
        <v>645</v>
      </c>
      <c r="F1434" t="s">
        <v>1256</v>
      </c>
      <c r="G1434" t="s">
        <v>650</v>
      </c>
      <c r="H1434">
        <v>67</v>
      </c>
      <c r="I1434" t="s">
        <v>647</v>
      </c>
      <c r="J1434">
        <v>6000</v>
      </c>
      <c r="K1434" s="1">
        <v>44104</v>
      </c>
      <c r="L1434">
        <v>2020</v>
      </c>
      <c r="M1434" t="str">
        <f>UPPER(TEXT(_2020_2022[[#This Row],[Data da Venda]],"mmm"))</f>
        <v>SET</v>
      </c>
    </row>
    <row r="1435" spans="1:13" x14ac:dyDescent="0.25">
      <c r="A1435" t="s">
        <v>24</v>
      </c>
      <c r="B1435">
        <v>2000</v>
      </c>
      <c r="C1435">
        <v>5</v>
      </c>
      <c r="D1435" t="s">
        <v>36</v>
      </c>
      <c r="E1435" t="s">
        <v>677</v>
      </c>
      <c r="F1435" t="s">
        <v>882</v>
      </c>
      <c r="G1435" t="s">
        <v>643</v>
      </c>
      <c r="H1435">
        <v>35</v>
      </c>
      <c r="I1435" t="s">
        <v>644</v>
      </c>
      <c r="J1435">
        <v>10000</v>
      </c>
      <c r="K1435" s="1">
        <v>43915</v>
      </c>
      <c r="L1435">
        <v>2020</v>
      </c>
      <c r="M1435" t="str">
        <f>UPPER(TEXT(_2020_2022[[#This Row],[Data da Venda]],"mmm"))</f>
        <v>MAR</v>
      </c>
    </row>
    <row r="1436" spans="1:13" x14ac:dyDescent="0.25">
      <c r="A1436" t="s">
        <v>22</v>
      </c>
      <c r="B1436">
        <v>5200</v>
      </c>
      <c r="C1436">
        <v>1</v>
      </c>
      <c r="D1436" t="s">
        <v>31</v>
      </c>
      <c r="E1436" t="s">
        <v>645</v>
      </c>
      <c r="F1436" t="s">
        <v>1026</v>
      </c>
      <c r="G1436" t="s">
        <v>643</v>
      </c>
      <c r="H1436">
        <v>53</v>
      </c>
      <c r="I1436" t="s">
        <v>647</v>
      </c>
      <c r="J1436">
        <v>5200</v>
      </c>
      <c r="K1436" s="1">
        <v>43983</v>
      </c>
      <c r="L1436">
        <v>2020</v>
      </c>
      <c r="M1436" t="str">
        <f>UPPER(TEXT(_2020_2022[[#This Row],[Data da Venda]],"mmm"))</f>
        <v>JUN</v>
      </c>
    </row>
    <row r="1437" spans="1:13" x14ac:dyDescent="0.25">
      <c r="A1437" t="s">
        <v>1442</v>
      </c>
      <c r="B1437">
        <v>1200</v>
      </c>
      <c r="C1437">
        <v>5</v>
      </c>
      <c r="D1437" t="s">
        <v>35</v>
      </c>
      <c r="E1437" t="s">
        <v>666</v>
      </c>
      <c r="F1437" t="s">
        <v>1291</v>
      </c>
      <c r="G1437" t="s">
        <v>643</v>
      </c>
      <c r="H1437">
        <v>25</v>
      </c>
      <c r="I1437" t="s">
        <v>651</v>
      </c>
      <c r="J1437">
        <v>6000</v>
      </c>
      <c r="K1437" s="1">
        <v>44140</v>
      </c>
      <c r="L1437">
        <v>2020</v>
      </c>
      <c r="M1437" t="str">
        <f>UPPER(TEXT(_2020_2022[[#This Row],[Data da Venda]],"mmm"))</f>
        <v>NOV</v>
      </c>
    </row>
    <row r="1438" spans="1:13" x14ac:dyDescent="0.25">
      <c r="A1438" t="s">
        <v>1445</v>
      </c>
      <c r="B1438">
        <v>1500</v>
      </c>
      <c r="C1438">
        <v>3</v>
      </c>
      <c r="D1438" t="s">
        <v>33</v>
      </c>
      <c r="E1438" t="s">
        <v>641</v>
      </c>
      <c r="F1438" t="s">
        <v>1241</v>
      </c>
      <c r="G1438" t="s">
        <v>650</v>
      </c>
      <c r="H1438">
        <v>59</v>
      </c>
      <c r="I1438" t="s">
        <v>647</v>
      </c>
      <c r="J1438">
        <v>4500</v>
      </c>
      <c r="K1438" s="1">
        <v>44103</v>
      </c>
      <c r="L1438">
        <v>2020</v>
      </c>
      <c r="M1438" t="str">
        <f>UPPER(TEXT(_2020_2022[[#This Row],[Data da Venda]],"mmm"))</f>
        <v>SET</v>
      </c>
    </row>
    <row r="1439" spans="1:13" x14ac:dyDescent="0.25">
      <c r="A1439" t="s">
        <v>1441</v>
      </c>
      <c r="B1439">
        <v>1450</v>
      </c>
      <c r="C1439">
        <v>2</v>
      </c>
      <c r="D1439" t="s">
        <v>38</v>
      </c>
      <c r="E1439" t="s">
        <v>648</v>
      </c>
      <c r="F1439" t="s">
        <v>775</v>
      </c>
      <c r="G1439" t="s">
        <v>643</v>
      </c>
      <c r="H1439">
        <v>28</v>
      </c>
      <c r="I1439" t="s">
        <v>651</v>
      </c>
      <c r="J1439">
        <v>2900</v>
      </c>
      <c r="K1439" s="1">
        <v>44159</v>
      </c>
      <c r="L1439">
        <v>2020</v>
      </c>
      <c r="M1439" t="str">
        <f>UPPER(TEXT(_2020_2022[[#This Row],[Data da Venda]],"mmm"))</f>
        <v>NOV</v>
      </c>
    </row>
    <row r="1440" spans="1:13" x14ac:dyDescent="0.25">
      <c r="A1440" t="s">
        <v>18</v>
      </c>
      <c r="B1440">
        <v>3000</v>
      </c>
      <c r="C1440">
        <v>3</v>
      </c>
      <c r="D1440" t="s">
        <v>40</v>
      </c>
      <c r="E1440" t="s">
        <v>657</v>
      </c>
      <c r="F1440" t="s">
        <v>1104</v>
      </c>
      <c r="G1440" t="s">
        <v>643</v>
      </c>
      <c r="H1440">
        <v>48</v>
      </c>
      <c r="I1440" t="s">
        <v>644</v>
      </c>
      <c r="J1440">
        <v>9000</v>
      </c>
      <c r="K1440" s="1">
        <v>43995</v>
      </c>
      <c r="L1440">
        <v>2020</v>
      </c>
      <c r="M1440" t="str">
        <f>UPPER(TEXT(_2020_2022[[#This Row],[Data da Venda]],"mmm"))</f>
        <v>JUN</v>
      </c>
    </row>
    <row r="1441" spans="1:13" x14ac:dyDescent="0.25">
      <c r="A1441" t="s">
        <v>14</v>
      </c>
      <c r="B1441">
        <v>2000</v>
      </c>
      <c r="C1441">
        <v>5</v>
      </c>
      <c r="D1441" t="s">
        <v>35</v>
      </c>
      <c r="E1441" t="s">
        <v>666</v>
      </c>
      <c r="F1441" t="s">
        <v>751</v>
      </c>
      <c r="G1441" t="s">
        <v>650</v>
      </c>
      <c r="H1441">
        <v>67</v>
      </c>
      <c r="I1441" t="s">
        <v>647</v>
      </c>
      <c r="J1441">
        <v>10000</v>
      </c>
      <c r="K1441" s="1">
        <v>44138</v>
      </c>
      <c r="L1441">
        <v>2020</v>
      </c>
      <c r="M1441" t="str">
        <f>UPPER(TEXT(_2020_2022[[#This Row],[Data da Venda]],"mmm"))</f>
        <v>NOV</v>
      </c>
    </row>
    <row r="1442" spans="1:13" x14ac:dyDescent="0.25">
      <c r="A1442" t="s">
        <v>8</v>
      </c>
      <c r="B1442">
        <v>5500</v>
      </c>
      <c r="C1442">
        <v>2</v>
      </c>
      <c r="D1442" t="s">
        <v>38</v>
      </c>
      <c r="E1442" t="s">
        <v>648</v>
      </c>
      <c r="F1442" t="s">
        <v>1170</v>
      </c>
      <c r="G1442" t="s">
        <v>650</v>
      </c>
      <c r="H1442">
        <v>62</v>
      </c>
      <c r="I1442" t="s">
        <v>647</v>
      </c>
      <c r="J1442">
        <v>11000</v>
      </c>
      <c r="K1442" s="1">
        <v>43892</v>
      </c>
      <c r="L1442">
        <v>2020</v>
      </c>
      <c r="M1442" t="str">
        <f>UPPER(TEXT(_2020_2022[[#This Row],[Data da Venda]],"mmm"))</f>
        <v>MAR</v>
      </c>
    </row>
    <row r="1443" spans="1:13" x14ac:dyDescent="0.25">
      <c r="A1443" t="s">
        <v>5</v>
      </c>
      <c r="B1443">
        <v>1750</v>
      </c>
      <c r="C1443">
        <v>1</v>
      </c>
      <c r="D1443" t="s">
        <v>35</v>
      </c>
      <c r="E1443" t="s">
        <v>666</v>
      </c>
      <c r="F1443" t="s">
        <v>1052</v>
      </c>
      <c r="G1443" t="s">
        <v>650</v>
      </c>
      <c r="H1443">
        <v>31</v>
      </c>
      <c r="I1443" t="s">
        <v>644</v>
      </c>
      <c r="J1443">
        <v>1750</v>
      </c>
      <c r="K1443" s="1">
        <v>43879</v>
      </c>
      <c r="L1443">
        <v>2020</v>
      </c>
      <c r="M1443" t="str">
        <f>UPPER(TEXT(_2020_2022[[#This Row],[Data da Venda]],"mmm"))</f>
        <v>FEV</v>
      </c>
    </row>
    <row r="1444" spans="1:13" x14ac:dyDescent="0.25">
      <c r="A1444" t="s">
        <v>14</v>
      </c>
      <c r="B1444">
        <v>2000</v>
      </c>
      <c r="C1444">
        <v>4</v>
      </c>
      <c r="D1444" t="s">
        <v>37</v>
      </c>
      <c r="E1444" t="s">
        <v>645</v>
      </c>
      <c r="F1444" t="s">
        <v>838</v>
      </c>
      <c r="G1444" t="s">
        <v>643</v>
      </c>
      <c r="H1444">
        <v>54</v>
      </c>
      <c r="I1444" t="s">
        <v>647</v>
      </c>
      <c r="J1444">
        <v>8000</v>
      </c>
      <c r="K1444" s="1">
        <v>43842</v>
      </c>
      <c r="L1444">
        <v>2020</v>
      </c>
      <c r="M1444" t="str">
        <f>UPPER(TEXT(_2020_2022[[#This Row],[Data da Venda]],"mmm"))</f>
        <v>JAN</v>
      </c>
    </row>
    <row r="1445" spans="1:13" x14ac:dyDescent="0.25">
      <c r="A1445" t="s">
        <v>24</v>
      </c>
      <c r="B1445">
        <v>2000</v>
      </c>
      <c r="C1445">
        <v>4</v>
      </c>
      <c r="D1445" t="s">
        <v>32</v>
      </c>
      <c r="E1445" t="s">
        <v>652</v>
      </c>
      <c r="F1445" t="s">
        <v>893</v>
      </c>
      <c r="G1445" t="s">
        <v>650</v>
      </c>
      <c r="H1445">
        <v>69</v>
      </c>
      <c r="I1445" t="s">
        <v>647</v>
      </c>
      <c r="J1445">
        <v>8000</v>
      </c>
      <c r="K1445" s="1">
        <v>44024</v>
      </c>
      <c r="L1445">
        <v>2020</v>
      </c>
      <c r="M1445" t="str">
        <f>UPPER(TEXT(_2020_2022[[#This Row],[Data da Venda]],"mmm"))</f>
        <v>JUL</v>
      </c>
    </row>
    <row r="1446" spans="1:13" x14ac:dyDescent="0.25">
      <c r="A1446" t="s">
        <v>28</v>
      </c>
      <c r="B1446">
        <v>1400</v>
      </c>
      <c r="C1446">
        <v>2</v>
      </c>
      <c r="D1446" t="s">
        <v>33</v>
      </c>
      <c r="E1446" t="s">
        <v>641</v>
      </c>
      <c r="F1446" t="s">
        <v>1304</v>
      </c>
      <c r="G1446" t="s">
        <v>643</v>
      </c>
      <c r="H1446">
        <v>49</v>
      </c>
      <c r="I1446" t="s">
        <v>644</v>
      </c>
      <c r="J1446">
        <v>2800</v>
      </c>
      <c r="K1446" s="1">
        <v>44031</v>
      </c>
      <c r="L1446">
        <v>2020</v>
      </c>
      <c r="M1446" t="str">
        <f>UPPER(TEXT(_2020_2022[[#This Row],[Data da Venda]],"mmm"))</f>
        <v>JUL</v>
      </c>
    </row>
    <row r="1447" spans="1:13" x14ac:dyDescent="0.25">
      <c r="A1447" t="s">
        <v>8</v>
      </c>
      <c r="B1447">
        <v>5500</v>
      </c>
      <c r="C1447">
        <v>4</v>
      </c>
      <c r="D1447" t="s">
        <v>33</v>
      </c>
      <c r="E1447" t="s">
        <v>641</v>
      </c>
      <c r="F1447" t="s">
        <v>863</v>
      </c>
      <c r="G1447" t="s">
        <v>643</v>
      </c>
      <c r="H1447">
        <v>48</v>
      </c>
      <c r="I1447" t="s">
        <v>644</v>
      </c>
      <c r="J1447">
        <v>22000</v>
      </c>
      <c r="K1447" s="1">
        <v>44162</v>
      </c>
      <c r="L1447">
        <v>2020</v>
      </c>
      <c r="M1447" t="str">
        <f>UPPER(TEXT(_2020_2022[[#This Row],[Data da Venda]],"mmm"))</f>
        <v>NOV</v>
      </c>
    </row>
    <row r="1448" spans="1:13" x14ac:dyDescent="0.25">
      <c r="A1448" t="s">
        <v>1441</v>
      </c>
      <c r="B1448">
        <v>1450</v>
      </c>
      <c r="C1448">
        <v>5</v>
      </c>
      <c r="D1448" t="s">
        <v>32</v>
      </c>
      <c r="E1448" t="s">
        <v>652</v>
      </c>
      <c r="F1448" t="s">
        <v>1115</v>
      </c>
      <c r="G1448" t="s">
        <v>650</v>
      </c>
      <c r="H1448">
        <v>35</v>
      </c>
      <c r="I1448" t="s">
        <v>644</v>
      </c>
      <c r="J1448">
        <v>7250</v>
      </c>
      <c r="K1448" s="1">
        <v>43901</v>
      </c>
      <c r="L1448">
        <v>2020</v>
      </c>
      <c r="M1448" t="str">
        <f>UPPER(TEXT(_2020_2022[[#This Row],[Data da Venda]],"mmm"))</f>
        <v>MAR</v>
      </c>
    </row>
    <row r="1449" spans="1:13" x14ac:dyDescent="0.25">
      <c r="A1449" t="s">
        <v>18</v>
      </c>
      <c r="B1449">
        <v>3000</v>
      </c>
      <c r="C1449">
        <v>4</v>
      </c>
      <c r="D1449" t="s">
        <v>30</v>
      </c>
      <c r="E1449" t="s">
        <v>645</v>
      </c>
      <c r="F1449" t="s">
        <v>1185</v>
      </c>
      <c r="G1449" t="s">
        <v>650</v>
      </c>
      <c r="H1449">
        <v>42</v>
      </c>
      <c r="I1449" t="s">
        <v>644</v>
      </c>
      <c r="J1449">
        <v>12000</v>
      </c>
      <c r="K1449" s="1">
        <v>44123</v>
      </c>
      <c r="L1449">
        <v>2020</v>
      </c>
      <c r="M1449" t="str">
        <f>UPPER(TEXT(_2020_2022[[#This Row],[Data da Venda]],"mmm"))</f>
        <v>OUT</v>
      </c>
    </row>
    <row r="1450" spans="1:13" x14ac:dyDescent="0.25">
      <c r="A1450" t="s">
        <v>26</v>
      </c>
      <c r="B1450">
        <v>1100</v>
      </c>
      <c r="C1450">
        <v>5</v>
      </c>
      <c r="D1450" t="s">
        <v>31</v>
      </c>
      <c r="E1450" t="s">
        <v>645</v>
      </c>
      <c r="F1450" t="s">
        <v>923</v>
      </c>
      <c r="G1450" t="s">
        <v>650</v>
      </c>
      <c r="H1450">
        <v>57</v>
      </c>
      <c r="I1450" t="s">
        <v>647</v>
      </c>
      <c r="J1450">
        <v>5500</v>
      </c>
      <c r="K1450" s="1">
        <v>43922</v>
      </c>
      <c r="L1450">
        <v>2020</v>
      </c>
      <c r="M1450" t="str">
        <f>UPPER(TEXT(_2020_2022[[#This Row],[Data da Venda]],"mmm"))</f>
        <v>ABR</v>
      </c>
    </row>
    <row r="1451" spans="1:13" x14ac:dyDescent="0.25">
      <c r="A1451" t="s">
        <v>13</v>
      </c>
      <c r="B1451">
        <v>2300</v>
      </c>
      <c r="C1451">
        <v>3</v>
      </c>
      <c r="D1451" t="s">
        <v>35</v>
      </c>
      <c r="E1451" t="s">
        <v>666</v>
      </c>
      <c r="F1451" t="s">
        <v>1305</v>
      </c>
      <c r="G1451" t="s">
        <v>650</v>
      </c>
      <c r="H1451">
        <v>53</v>
      </c>
      <c r="I1451" t="s">
        <v>647</v>
      </c>
      <c r="J1451">
        <v>6900</v>
      </c>
      <c r="K1451" s="1">
        <v>43928</v>
      </c>
      <c r="L1451">
        <v>2020</v>
      </c>
      <c r="M1451" t="str">
        <f>UPPER(TEXT(_2020_2022[[#This Row],[Data da Venda]],"mmm"))</f>
        <v>ABR</v>
      </c>
    </row>
    <row r="1452" spans="1:13" x14ac:dyDescent="0.25">
      <c r="A1452" t="s">
        <v>26</v>
      </c>
      <c r="B1452">
        <v>1100</v>
      </c>
      <c r="C1452">
        <v>5</v>
      </c>
      <c r="D1452" t="s">
        <v>38</v>
      </c>
      <c r="E1452" t="s">
        <v>648</v>
      </c>
      <c r="F1452" t="s">
        <v>894</v>
      </c>
      <c r="G1452" t="s">
        <v>643</v>
      </c>
      <c r="H1452">
        <v>73</v>
      </c>
      <c r="I1452" t="s">
        <v>647</v>
      </c>
      <c r="J1452">
        <v>5500</v>
      </c>
      <c r="K1452" s="1">
        <v>43876</v>
      </c>
      <c r="L1452">
        <v>2020</v>
      </c>
      <c r="M1452" t="str">
        <f>UPPER(TEXT(_2020_2022[[#This Row],[Data da Venda]],"mmm"))</f>
        <v>FEV</v>
      </c>
    </row>
    <row r="1453" spans="1:13" x14ac:dyDescent="0.25">
      <c r="A1453" t="s">
        <v>20</v>
      </c>
      <c r="B1453">
        <v>2600</v>
      </c>
      <c r="C1453">
        <v>2</v>
      </c>
      <c r="D1453" t="s">
        <v>39</v>
      </c>
      <c r="E1453" t="s">
        <v>641</v>
      </c>
      <c r="F1453" t="s">
        <v>1255</v>
      </c>
      <c r="G1453" t="s">
        <v>650</v>
      </c>
      <c r="H1453">
        <v>28</v>
      </c>
      <c r="I1453" t="s">
        <v>651</v>
      </c>
      <c r="J1453">
        <v>5200</v>
      </c>
      <c r="K1453" s="1">
        <v>43944</v>
      </c>
      <c r="L1453">
        <v>2020</v>
      </c>
      <c r="M1453" t="str">
        <f>UPPER(TEXT(_2020_2022[[#This Row],[Data da Venda]],"mmm"))</f>
        <v>ABR</v>
      </c>
    </row>
    <row r="1454" spans="1:13" x14ac:dyDescent="0.25">
      <c r="A1454" t="s">
        <v>16</v>
      </c>
      <c r="B1454">
        <v>1400</v>
      </c>
      <c r="C1454">
        <v>1</v>
      </c>
      <c r="D1454" t="s">
        <v>29</v>
      </c>
      <c r="E1454" t="s">
        <v>641</v>
      </c>
      <c r="F1454" t="s">
        <v>1297</v>
      </c>
      <c r="G1454" t="s">
        <v>643</v>
      </c>
      <c r="H1454">
        <v>43</v>
      </c>
      <c r="I1454" t="s">
        <v>644</v>
      </c>
      <c r="J1454">
        <v>1400</v>
      </c>
      <c r="K1454" s="1">
        <v>43834</v>
      </c>
      <c r="L1454">
        <v>2020</v>
      </c>
      <c r="M1454" t="str">
        <f>UPPER(TEXT(_2020_2022[[#This Row],[Data da Venda]],"mmm"))</f>
        <v>JAN</v>
      </c>
    </row>
    <row r="1455" spans="1:13" x14ac:dyDescent="0.25">
      <c r="A1455" t="s">
        <v>1445</v>
      </c>
      <c r="B1455">
        <v>1500</v>
      </c>
      <c r="C1455">
        <v>3</v>
      </c>
      <c r="D1455" t="s">
        <v>33</v>
      </c>
      <c r="E1455" t="s">
        <v>641</v>
      </c>
      <c r="F1455" t="s">
        <v>1306</v>
      </c>
      <c r="G1455" t="s">
        <v>650</v>
      </c>
      <c r="H1455">
        <v>28</v>
      </c>
      <c r="I1455" t="s">
        <v>651</v>
      </c>
      <c r="J1455">
        <v>4500</v>
      </c>
      <c r="K1455" s="1">
        <v>44170</v>
      </c>
      <c r="L1455">
        <v>2020</v>
      </c>
      <c r="M1455" t="str">
        <f>UPPER(TEXT(_2020_2022[[#This Row],[Data da Venda]],"mmm"))</f>
        <v>DEZ</v>
      </c>
    </row>
    <row r="1456" spans="1:13" x14ac:dyDescent="0.25">
      <c r="A1456" t="s">
        <v>15</v>
      </c>
      <c r="B1456">
        <v>1900</v>
      </c>
      <c r="C1456">
        <v>2</v>
      </c>
      <c r="D1456" t="s">
        <v>29</v>
      </c>
      <c r="E1456" t="s">
        <v>641</v>
      </c>
      <c r="F1456" t="s">
        <v>661</v>
      </c>
      <c r="G1456" t="s">
        <v>650</v>
      </c>
      <c r="H1456">
        <v>53</v>
      </c>
      <c r="I1456" t="s">
        <v>647</v>
      </c>
      <c r="J1456">
        <v>3800</v>
      </c>
      <c r="K1456" s="1">
        <v>44146</v>
      </c>
      <c r="L1456">
        <v>2020</v>
      </c>
      <c r="M1456" t="str">
        <f>UPPER(TEXT(_2020_2022[[#This Row],[Data da Venda]],"mmm"))</f>
        <v>NOV</v>
      </c>
    </row>
    <row r="1457" spans="1:13" x14ac:dyDescent="0.25">
      <c r="A1457" t="s">
        <v>22</v>
      </c>
      <c r="B1457">
        <v>5200</v>
      </c>
      <c r="C1457">
        <v>2</v>
      </c>
      <c r="D1457" t="s">
        <v>39</v>
      </c>
      <c r="E1457" t="s">
        <v>641</v>
      </c>
      <c r="F1457" t="s">
        <v>1255</v>
      </c>
      <c r="G1457" t="s">
        <v>650</v>
      </c>
      <c r="H1457">
        <v>28</v>
      </c>
      <c r="I1457" t="s">
        <v>651</v>
      </c>
      <c r="J1457">
        <v>10400</v>
      </c>
      <c r="K1457" s="1">
        <v>43988</v>
      </c>
      <c r="L1457">
        <v>2020</v>
      </c>
      <c r="M1457" t="str">
        <f>UPPER(TEXT(_2020_2022[[#This Row],[Data da Venda]],"mmm"))</f>
        <v>JUN</v>
      </c>
    </row>
    <row r="1458" spans="1:13" x14ac:dyDescent="0.25">
      <c r="A1458" t="s">
        <v>1443</v>
      </c>
      <c r="B1458">
        <v>1550</v>
      </c>
      <c r="C1458">
        <v>1</v>
      </c>
      <c r="D1458" t="s">
        <v>40</v>
      </c>
      <c r="E1458" t="s">
        <v>657</v>
      </c>
      <c r="F1458" t="s">
        <v>1157</v>
      </c>
      <c r="G1458" t="s">
        <v>643</v>
      </c>
      <c r="H1458">
        <v>36</v>
      </c>
      <c r="I1458" t="s">
        <v>644</v>
      </c>
      <c r="J1458">
        <v>1550</v>
      </c>
      <c r="K1458" s="1">
        <v>44178</v>
      </c>
      <c r="L1458">
        <v>2020</v>
      </c>
      <c r="M1458" t="str">
        <f>UPPER(TEXT(_2020_2022[[#This Row],[Data da Venda]],"mmm"))</f>
        <v>DEZ</v>
      </c>
    </row>
    <row r="1459" spans="1:13" x14ac:dyDescent="0.25">
      <c r="A1459" t="s">
        <v>8</v>
      </c>
      <c r="B1459">
        <v>5500</v>
      </c>
      <c r="C1459">
        <v>5</v>
      </c>
      <c r="D1459" t="s">
        <v>38</v>
      </c>
      <c r="E1459" t="s">
        <v>648</v>
      </c>
      <c r="F1459" t="s">
        <v>1017</v>
      </c>
      <c r="G1459" t="s">
        <v>643</v>
      </c>
      <c r="H1459">
        <v>58</v>
      </c>
      <c r="I1459" t="s">
        <v>647</v>
      </c>
      <c r="J1459">
        <v>27500</v>
      </c>
      <c r="K1459" s="1">
        <v>44144</v>
      </c>
      <c r="L1459">
        <v>2020</v>
      </c>
      <c r="M1459" t="str">
        <f>UPPER(TEXT(_2020_2022[[#This Row],[Data da Venda]],"mmm"))</f>
        <v>NOV</v>
      </c>
    </row>
    <row r="1460" spans="1:13" x14ac:dyDescent="0.25">
      <c r="A1460" t="s">
        <v>18</v>
      </c>
      <c r="B1460">
        <v>3000</v>
      </c>
      <c r="C1460">
        <v>5</v>
      </c>
      <c r="D1460" t="s">
        <v>34</v>
      </c>
      <c r="E1460" t="s">
        <v>679</v>
      </c>
      <c r="F1460" t="s">
        <v>1139</v>
      </c>
      <c r="G1460" t="s">
        <v>643</v>
      </c>
      <c r="H1460">
        <v>41</v>
      </c>
      <c r="I1460" t="s">
        <v>644</v>
      </c>
      <c r="J1460">
        <v>15000</v>
      </c>
      <c r="K1460" s="1">
        <v>44050</v>
      </c>
      <c r="L1460">
        <v>2020</v>
      </c>
      <c r="M1460" t="str">
        <f>UPPER(TEXT(_2020_2022[[#This Row],[Data da Venda]],"mmm"))</f>
        <v>AGO</v>
      </c>
    </row>
    <row r="1461" spans="1:13" x14ac:dyDescent="0.25">
      <c r="A1461" t="s">
        <v>1441</v>
      </c>
      <c r="B1461">
        <v>1450</v>
      </c>
      <c r="C1461">
        <v>4</v>
      </c>
      <c r="D1461" t="s">
        <v>35</v>
      </c>
      <c r="E1461" t="s">
        <v>666</v>
      </c>
      <c r="F1461" t="s">
        <v>697</v>
      </c>
      <c r="G1461" t="s">
        <v>650</v>
      </c>
      <c r="H1461">
        <v>41</v>
      </c>
      <c r="I1461" t="s">
        <v>644</v>
      </c>
      <c r="J1461">
        <v>5800</v>
      </c>
      <c r="K1461" s="1">
        <v>43896</v>
      </c>
      <c r="L1461">
        <v>2020</v>
      </c>
      <c r="M1461" t="str">
        <f>UPPER(TEXT(_2020_2022[[#This Row],[Data da Venda]],"mmm"))</f>
        <v>MAR</v>
      </c>
    </row>
    <row r="1462" spans="1:13" x14ac:dyDescent="0.25">
      <c r="A1462" t="s">
        <v>25</v>
      </c>
      <c r="B1462">
        <v>2500</v>
      </c>
      <c r="C1462">
        <v>4</v>
      </c>
      <c r="D1462" t="s">
        <v>40</v>
      </c>
      <c r="E1462" t="s">
        <v>657</v>
      </c>
      <c r="F1462" t="s">
        <v>658</v>
      </c>
      <c r="G1462" t="s">
        <v>643</v>
      </c>
      <c r="H1462">
        <v>56</v>
      </c>
      <c r="I1462" t="s">
        <v>647</v>
      </c>
      <c r="J1462">
        <v>10000</v>
      </c>
      <c r="K1462" s="1">
        <v>44036</v>
      </c>
      <c r="L1462">
        <v>2020</v>
      </c>
      <c r="M1462" t="str">
        <f>UPPER(TEXT(_2020_2022[[#This Row],[Data da Venda]],"mmm"))</f>
        <v>JUL</v>
      </c>
    </row>
    <row r="1463" spans="1:13" x14ac:dyDescent="0.25">
      <c r="A1463" t="s">
        <v>18</v>
      </c>
      <c r="B1463">
        <v>3000</v>
      </c>
      <c r="C1463">
        <v>3</v>
      </c>
      <c r="D1463" t="s">
        <v>41</v>
      </c>
      <c r="E1463" t="s">
        <v>681</v>
      </c>
      <c r="F1463" t="s">
        <v>1303</v>
      </c>
      <c r="G1463" t="s">
        <v>650</v>
      </c>
      <c r="H1463">
        <v>70</v>
      </c>
      <c r="I1463" t="s">
        <v>647</v>
      </c>
      <c r="J1463">
        <v>9000</v>
      </c>
      <c r="K1463" s="1">
        <v>44135</v>
      </c>
      <c r="L1463">
        <v>2020</v>
      </c>
      <c r="M1463" t="str">
        <f>UPPER(TEXT(_2020_2022[[#This Row],[Data da Venda]],"mmm"))</f>
        <v>OUT</v>
      </c>
    </row>
    <row r="1464" spans="1:13" x14ac:dyDescent="0.25">
      <c r="A1464" t="s">
        <v>24</v>
      </c>
      <c r="B1464">
        <v>2000</v>
      </c>
      <c r="C1464">
        <v>4</v>
      </c>
      <c r="D1464" t="s">
        <v>34</v>
      </c>
      <c r="E1464" t="s">
        <v>679</v>
      </c>
      <c r="F1464" t="s">
        <v>700</v>
      </c>
      <c r="G1464" t="s">
        <v>650</v>
      </c>
      <c r="H1464">
        <v>40</v>
      </c>
      <c r="I1464" t="s">
        <v>644</v>
      </c>
      <c r="J1464">
        <v>8000</v>
      </c>
      <c r="K1464" s="1">
        <v>44126</v>
      </c>
      <c r="L1464">
        <v>2020</v>
      </c>
      <c r="M1464" t="str">
        <f>UPPER(TEXT(_2020_2022[[#This Row],[Data da Venda]],"mmm"))</f>
        <v>OUT</v>
      </c>
    </row>
    <row r="1465" spans="1:13" x14ac:dyDescent="0.25">
      <c r="A1465" t="s">
        <v>20</v>
      </c>
      <c r="B1465">
        <v>2600</v>
      </c>
      <c r="C1465">
        <v>1</v>
      </c>
      <c r="D1465" t="s">
        <v>38</v>
      </c>
      <c r="E1465" t="s">
        <v>648</v>
      </c>
      <c r="F1465" t="s">
        <v>1307</v>
      </c>
      <c r="G1465" t="s">
        <v>650</v>
      </c>
      <c r="H1465">
        <v>73</v>
      </c>
      <c r="I1465" t="s">
        <v>647</v>
      </c>
      <c r="J1465">
        <v>2600</v>
      </c>
      <c r="K1465" s="1">
        <v>44014</v>
      </c>
      <c r="L1465">
        <v>2020</v>
      </c>
      <c r="M1465" t="str">
        <f>UPPER(TEXT(_2020_2022[[#This Row],[Data da Venda]],"mmm"))</f>
        <v>JUL</v>
      </c>
    </row>
    <row r="1466" spans="1:13" x14ac:dyDescent="0.25">
      <c r="A1466" t="s">
        <v>26</v>
      </c>
      <c r="B1466">
        <v>1100</v>
      </c>
      <c r="C1466">
        <v>3</v>
      </c>
      <c r="D1466" t="s">
        <v>41</v>
      </c>
      <c r="E1466" t="s">
        <v>681</v>
      </c>
      <c r="F1466" t="s">
        <v>1308</v>
      </c>
      <c r="G1466" t="s">
        <v>650</v>
      </c>
      <c r="H1466">
        <v>32</v>
      </c>
      <c r="I1466" t="s">
        <v>644</v>
      </c>
      <c r="J1466">
        <v>3300</v>
      </c>
      <c r="K1466" s="1">
        <v>44088</v>
      </c>
      <c r="L1466">
        <v>2020</v>
      </c>
      <c r="M1466" t="str">
        <f>UPPER(TEXT(_2020_2022[[#This Row],[Data da Venda]],"mmm"))</f>
        <v>SET</v>
      </c>
    </row>
    <row r="1467" spans="1:13" x14ac:dyDescent="0.25">
      <c r="A1467" t="s">
        <v>1441</v>
      </c>
      <c r="B1467">
        <v>1450</v>
      </c>
      <c r="C1467">
        <v>5</v>
      </c>
      <c r="D1467" t="s">
        <v>39</v>
      </c>
      <c r="E1467" t="s">
        <v>641</v>
      </c>
      <c r="F1467" t="s">
        <v>1309</v>
      </c>
      <c r="G1467" t="s">
        <v>650</v>
      </c>
      <c r="H1467">
        <v>37</v>
      </c>
      <c r="I1467" t="s">
        <v>644</v>
      </c>
      <c r="J1467">
        <v>7250</v>
      </c>
      <c r="K1467" s="1">
        <v>44012</v>
      </c>
      <c r="L1467">
        <v>2020</v>
      </c>
      <c r="M1467" t="str">
        <f>UPPER(TEXT(_2020_2022[[#This Row],[Data da Venda]],"mmm"))</f>
        <v>JUN</v>
      </c>
    </row>
    <row r="1468" spans="1:13" x14ac:dyDescent="0.25">
      <c r="A1468" t="s">
        <v>1440</v>
      </c>
      <c r="B1468">
        <v>700</v>
      </c>
      <c r="C1468">
        <v>3</v>
      </c>
      <c r="D1468" t="s">
        <v>39</v>
      </c>
      <c r="E1468" t="s">
        <v>641</v>
      </c>
      <c r="F1468" t="s">
        <v>1310</v>
      </c>
      <c r="G1468" t="s">
        <v>643</v>
      </c>
      <c r="H1468">
        <v>31</v>
      </c>
      <c r="I1468" t="s">
        <v>644</v>
      </c>
      <c r="J1468">
        <v>2100</v>
      </c>
      <c r="K1468" s="1">
        <v>43935</v>
      </c>
      <c r="L1468">
        <v>2020</v>
      </c>
      <c r="M1468" t="str">
        <f>UPPER(TEXT(_2020_2022[[#This Row],[Data da Venda]],"mmm"))</f>
        <v>ABR</v>
      </c>
    </row>
    <row r="1469" spans="1:13" x14ac:dyDescent="0.25">
      <c r="A1469" t="s">
        <v>1442</v>
      </c>
      <c r="B1469">
        <v>1200</v>
      </c>
      <c r="C1469">
        <v>4</v>
      </c>
      <c r="D1469" t="s">
        <v>37</v>
      </c>
      <c r="E1469" t="s">
        <v>645</v>
      </c>
      <c r="F1469" t="s">
        <v>828</v>
      </c>
      <c r="G1469" t="s">
        <v>650</v>
      </c>
      <c r="H1469">
        <v>63</v>
      </c>
      <c r="I1469" t="s">
        <v>647</v>
      </c>
      <c r="J1469">
        <v>4800</v>
      </c>
      <c r="K1469" s="1">
        <v>44179</v>
      </c>
      <c r="L1469">
        <v>2020</v>
      </c>
      <c r="M1469" t="str">
        <f>UPPER(TEXT(_2020_2022[[#This Row],[Data da Venda]],"mmm"))</f>
        <v>DEZ</v>
      </c>
    </row>
    <row r="1470" spans="1:13" x14ac:dyDescent="0.25">
      <c r="A1470" t="s">
        <v>8</v>
      </c>
      <c r="B1470">
        <v>5500</v>
      </c>
      <c r="C1470">
        <v>5</v>
      </c>
      <c r="D1470" t="s">
        <v>37</v>
      </c>
      <c r="E1470" t="s">
        <v>645</v>
      </c>
      <c r="F1470" t="s">
        <v>1108</v>
      </c>
      <c r="G1470" t="s">
        <v>643</v>
      </c>
      <c r="H1470">
        <v>71</v>
      </c>
      <c r="I1470" t="s">
        <v>647</v>
      </c>
      <c r="J1470">
        <v>27500</v>
      </c>
      <c r="K1470" s="1">
        <v>43845</v>
      </c>
      <c r="L1470">
        <v>2020</v>
      </c>
      <c r="M1470" t="str">
        <f>UPPER(TEXT(_2020_2022[[#This Row],[Data da Venda]],"mmm"))</f>
        <v>JAN</v>
      </c>
    </row>
    <row r="1471" spans="1:13" x14ac:dyDescent="0.25">
      <c r="A1471" t="s">
        <v>16</v>
      </c>
      <c r="B1471">
        <v>1400</v>
      </c>
      <c r="C1471">
        <v>2</v>
      </c>
      <c r="D1471" t="s">
        <v>40</v>
      </c>
      <c r="E1471" t="s">
        <v>657</v>
      </c>
      <c r="F1471" t="s">
        <v>1193</v>
      </c>
      <c r="G1471" t="s">
        <v>650</v>
      </c>
      <c r="H1471">
        <v>53</v>
      </c>
      <c r="I1471" t="s">
        <v>647</v>
      </c>
      <c r="J1471">
        <v>2800</v>
      </c>
      <c r="K1471" s="1">
        <v>44128</v>
      </c>
      <c r="L1471">
        <v>2020</v>
      </c>
      <c r="M1471" t="str">
        <f>UPPER(TEXT(_2020_2022[[#This Row],[Data da Venda]],"mmm"))</f>
        <v>OUT</v>
      </c>
    </row>
    <row r="1472" spans="1:13" x14ac:dyDescent="0.25">
      <c r="A1472" t="s">
        <v>16</v>
      </c>
      <c r="B1472">
        <v>1400</v>
      </c>
      <c r="C1472">
        <v>1</v>
      </c>
      <c r="D1472" t="s">
        <v>33</v>
      </c>
      <c r="E1472" t="s">
        <v>641</v>
      </c>
      <c r="F1472" t="s">
        <v>1067</v>
      </c>
      <c r="G1472" t="s">
        <v>650</v>
      </c>
      <c r="H1472">
        <v>45</v>
      </c>
      <c r="I1472" t="s">
        <v>644</v>
      </c>
      <c r="J1472">
        <v>1400</v>
      </c>
      <c r="K1472" s="1">
        <v>43970</v>
      </c>
      <c r="L1472">
        <v>2020</v>
      </c>
      <c r="M1472" t="str">
        <f>UPPER(TEXT(_2020_2022[[#This Row],[Data da Venda]],"mmm"))</f>
        <v>MAI</v>
      </c>
    </row>
    <row r="1473" spans="1:13" x14ac:dyDescent="0.25">
      <c r="A1473" t="s">
        <v>1444</v>
      </c>
      <c r="B1473">
        <v>1500</v>
      </c>
      <c r="C1473">
        <v>5</v>
      </c>
      <c r="D1473" t="s">
        <v>40</v>
      </c>
      <c r="E1473" t="s">
        <v>657</v>
      </c>
      <c r="F1473" t="s">
        <v>913</v>
      </c>
      <c r="G1473" t="s">
        <v>650</v>
      </c>
      <c r="H1473">
        <v>27</v>
      </c>
      <c r="I1473" t="s">
        <v>651</v>
      </c>
      <c r="J1473">
        <v>7500</v>
      </c>
      <c r="K1473" s="1">
        <v>44012</v>
      </c>
      <c r="L1473">
        <v>2020</v>
      </c>
      <c r="M1473" t="str">
        <f>UPPER(TEXT(_2020_2022[[#This Row],[Data da Venda]],"mmm"))</f>
        <v>JUN</v>
      </c>
    </row>
    <row r="1474" spans="1:13" x14ac:dyDescent="0.25">
      <c r="A1474" t="s">
        <v>16</v>
      </c>
      <c r="B1474">
        <v>1400</v>
      </c>
      <c r="C1474">
        <v>3</v>
      </c>
      <c r="D1474" t="s">
        <v>32</v>
      </c>
      <c r="E1474" t="s">
        <v>652</v>
      </c>
      <c r="F1474" t="s">
        <v>744</v>
      </c>
      <c r="G1474" t="s">
        <v>643</v>
      </c>
      <c r="H1474">
        <v>65</v>
      </c>
      <c r="I1474" t="s">
        <v>647</v>
      </c>
      <c r="J1474">
        <v>4200</v>
      </c>
      <c r="K1474" s="1">
        <v>44106</v>
      </c>
      <c r="L1474">
        <v>2020</v>
      </c>
      <c r="M1474" t="str">
        <f>UPPER(TEXT(_2020_2022[[#This Row],[Data da Venda]],"mmm"))</f>
        <v>OUT</v>
      </c>
    </row>
    <row r="1475" spans="1:13" x14ac:dyDescent="0.25">
      <c r="A1475" t="s">
        <v>15</v>
      </c>
      <c r="B1475">
        <v>1900</v>
      </c>
      <c r="C1475">
        <v>3</v>
      </c>
      <c r="D1475" t="s">
        <v>40</v>
      </c>
      <c r="E1475" t="s">
        <v>657</v>
      </c>
      <c r="F1475" t="s">
        <v>1179</v>
      </c>
      <c r="G1475" t="s">
        <v>643</v>
      </c>
      <c r="H1475">
        <v>55</v>
      </c>
      <c r="I1475" t="s">
        <v>647</v>
      </c>
      <c r="J1475">
        <v>5700</v>
      </c>
      <c r="K1475" s="1">
        <v>44025</v>
      </c>
      <c r="L1475">
        <v>2020</v>
      </c>
      <c r="M1475" t="str">
        <f>UPPER(TEXT(_2020_2022[[#This Row],[Data da Venda]],"mmm"))</f>
        <v>JUL</v>
      </c>
    </row>
    <row r="1476" spans="1:13" x14ac:dyDescent="0.25">
      <c r="A1476" t="s">
        <v>26</v>
      </c>
      <c r="B1476">
        <v>1100</v>
      </c>
      <c r="C1476">
        <v>1</v>
      </c>
      <c r="D1476" t="s">
        <v>36</v>
      </c>
      <c r="E1476" t="s">
        <v>677</v>
      </c>
      <c r="F1476" t="s">
        <v>1274</v>
      </c>
      <c r="G1476" t="s">
        <v>650</v>
      </c>
      <c r="H1476">
        <v>36</v>
      </c>
      <c r="I1476" t="s">
        <v>644</v>
      </c>
      <c r="J1476">
        <v>1100</v>
      </c>
      <c r="K1476" s="1">
        <v>43839</v>
      </c>
      <c r="L1476">
        <v>2020</v>
      </c>
      <c r="M1476" t="str">
        <f>UPPER(TEXT(_2020_2022[[#This Row],[Data da Venda]],"mmm"))</f>
        <v>JAN</v>
      </c>
    </row>
    <row r="1477" spans="1:13" x14ac:dyDescent="0.25">
      <c r="A1477" t="s">
        <v>20</v>
      </c>
      <c r="B1477">
        <v>2600</v>
      </c>
      <c r="C1477">
        <v>3</v>
      </c>
      <c r="D1477" t="s">
        <v>35</v>
      </c>
      <c r="E1477" t="s">
        <v>666</v>
      </c>
      <c r="F1477" t="s">
        <v>878</v>
      </c>
      <c r="G1477" t="s">
        <v>650</v>
      </c>
      <c r="H1477">
        <v>26</v>
      </c>
      <c r="I1477" t="s">
        <v>651</v>
      </c>
      <c r="J1477">
        <v>7800</v>
      </c>
      <c r="K1477" s="1">
        <v>44093</v>
      </c>
      <c r="L1477">
        <v>2020</v>
      </c>
      <c r="M1477" t="str">
        <f>UPPER(TEXT(_2020_2022[[#This Row],[Data da Venda]],"mmm"))</f>
        <v>SET</v>
      </c>
    </row>
    <row r="1478" spans="1:13" x14ac:dyDescent="0.25">
      <c r="A1478" t="s">
        <v>13</v>
      </c>
      <c r="B1478">
        <v>2300</v>
      </c>
      <c r="C1478">
        <v>5</v>
      </c>
      <c r="D1478" t="s">
        <v>31</v>
      </c>
      <c r="E1478" t="s">
        <v>645</v>
      </c>
      <c r="F1478" t="s">
        <v>1252</v>
      </c>
      <c r="G1478" t="s">
        <v>650</v>
      </c>
      <c r="H1478">
        <v>33</v>
      </c>
      <c r="I1478" t="s">
        <v>644</v>
      </c>
      <c r="J1478">
        <v>11500</v>
      </c>
      <c r="K1478" s="1">
        <v>44127</v>
      </c>
      <c r="L1478">
        <v>2020</v>
      </c>
      <c r="M1478" t="str">
        <f>UPPER(TEXT(_2020_2022[[#This Row],[Data da Venda]],"mmm"))</f>
        <v>OUT</v>
      </c>
    </row>
    <row r="1479" spans="1:13" x14ac:dyDescent="0.25">
      <c r="A1479" t="s">
        <v>14</v>
      </c>
      <c r="B1479">
        <v>2000</v>
      </c>
      <c r="C1479">
        <v>5</v>
      </c>
      <c r="D1479" t="s">
        <v>35</v>
      </c>
      <c r="E1479" t="s">
        <v>666</v>
      </c>
      <c r="F1479" t="s">
        <v>1006</v>
      </c>
      <c r="G1479" t="s">
        <v>650</v>
      </c>
      <c r="H1479">
        <v>27</v>
      </c>
      <c r="I1479" t="s">
        <v>651</v>
      </c>
      <c r="J1479">
        <v>10000</v>
      </c>
      <c r="K1479" s="1">
        <v>44097</v>
      </c>
      <c r="L1479">
        <v>2020</v>
      </c>
      <c r="M1479" t="str">
        <f>UPPER(TEXT(_2020_2022[[#This Row],[Data da Venda]],"mmm"))</f>
        <v>SET</v>
      </c>
    </row>
    <row r="1480" spans="1:13" x14ac:dyDescent="0.25">
      <c r="A1480" t="s">
        <v>12</v>
      </c>
      <c r="B1480">
        <v>6500</v>
      </c>
      <c r="C1480">
        <v>1</v>
      </c>
      <c r="D1480" t="s">
        <v>38</v>
      </c>
      <c r="E1480" t="s">
        <v>648</v>
      </c>
      <c r="F1480" t="s">
        <v>649</v>
      </c>
      <c r="G1480" t="s">
        <v>650</v>
      </c>
      <c r="H1480">
        <v>27</v>
      </c>
      <c r="I1480" t="s">
        <v>651</v>
      </c>
      <c r="J1480">
        <v>6500</v>
      </c>
      <c r="K1480" s="1">
        <v>44044</v>
      </c>
      <c r="L1480">
        <v>2020</v>
      </c>
      <c r="M1480" t="str">
        <f>UPPER(TEXT(_2020_2022[[#This Row],[Data da Venda]],"mmm"))</f>
        <v>AGO</v>
      </c>
    </row>
    <row r="1481" spans="1:13" x14ac:dyDescent="0.25">
      <c r="A1481" t="s">
        <v>25</v>
      </c>
      <c r="B1481">
        <v>2500</v>
      </c>
      <c r="C1481">
        <v>5</v>
      </c>
      <c r="D1481" t="s">
        <v>40</v>
      </c>
      <c r="E1481" t="s">
        <v>657</v>
      </c>
      <c r="F1481" t="s">
        <v>1013</v>
      </c>
      <c r="G1481" t="s">
        <v>643</v>
      </c>
      <c r="H1481">
        <v>38</v>
      </c>
      <c r="I1481" t="s">
        <v>644</v>
      </c>
      <c r="J1481">
        <v>12500</v>
      </c>
      <c r="K1481" s="1">
        <v>43971</v>
      </c>
      <c r="L1481">
        <v>2020</v>
      </c>
      <c r="M1481" t="str">
        <f>UPPER(TEXT(_2020_2022[[#This Row],[Data da Venda]],"mmm"))</f>
        <v>MAI</v>
      </c>
    </row>
    <row r="1482" spans="1:13" x14ac:dyDescent="0.25">
      <c r="A1482" t="s">
        <v>1442</v>
      </c>
      <c r="B1482">
        <v>1200</v>
      </c>
      <c r="C1482">
        <v>4</v>
      </c>
      <c r="D1482" t="s">
        <v>39</v>
      </c>
      <c r="E1482" t="s">
        <v>641</v>
      </c>
      <c r="F1482" t="s">
        <v>943</v>
      </c>
      <c r="G1482" t="s">
        <v>650</v>
      </c>
      <c r="H1482">
        <v>32</v>
      </c>
      <c r="I1482" t="s">
        <v>644</v>
      </c>
      <c r="J1482">
        <v>4800</v>
      </c>
      <c r="K1482" s="1">
        <v>43923</v>
      </c>
      <c r="L1482">
        <v>2020</v>
      </c>
      <c r="M1482" t="str">
        <f>UPPER(TEXT(_2020_2022[[#This Row],[Data da Venda]],"mmm"))</f>
        <v>ABR</v>
      </c>
    </row>
    <row r="1483" spans="1:13" x14ac:dyDescent="0.25">
      <c r="A1483" t="s">
        <v>1441</v>
      </c>
      <c r="B1483">
        <v>1450</v>
      </c>
      <c r="C1483">
        <v>5</v>
      </c>
      <c r="D1483" t="s">
        <v>29</v>
      </c>
      <c r="E1483" t="s">
        <v>641</v>
      </c>
      <c r="F1483" t="s">
        <v>675</v>
      </c>
      <c r="G1483" t="s">
        <v>643</v>
      </c>
      <c r="H1483">
        <v>71</v>
      </c>
      <c r="I1483" t="s">
        <v>647</v>
      </c>
      <c r="J1483">
        <v>7250</v>
      </c>
      <c r="K1483" s="1">
        <v>44166</v>
      </c>
      <c r="L1483">
        <v>2020</v>
      </c>
      <c r="M1483" t="str">
        <f>UPPER(TEXT(_2020_2022[[#This Row],[Data da Venda]],"mmm"))</f>
        <v>DEZ</v>
      </c>
    </row>
    <row r="1484" spans="1:13" x14ac:dyDescent="0.25">
      <c r="A1484" t="s">
        <v>7</v>
      </c>
      <c r="B1484">
        <v>750</v>
      </c>
      <c r="C1484">
        <v>5</v>
      </c>
      <c r="D1484" t="s">
        <v>38</v>
      </c>
      <c r="E1484" t="s">
        <v>648</v>
      </c>
      <c r="F1484" t="s">
        <v>845</v>
      </c>
      <c r="G1484" t="s">
        <v>643</v>
      </c>
      <c r="H1484">
        <v>75</v>
      </c>
      <c r="I1484" t="s">
        <v>647</v>
      </c>
      <c r="J1484">
        <v>3750</v>
      </c>
      <c r="K1484" s="1">
        <v>43956</v>
      </c>
      <c r="L1484">
        <v>2020</v>
      </c>
      <c r="M1484" t="str">
        <f>UPPER(TEXT(_2020_2022[[#This Row],[Data da Venda]],"mmm"))</f>
        <v>MAI</v>
      </c>
    </row>
    <row r="1485" spans="1:13" x14ac:dyDescent="0.25">
      <c r="A1485" t="s">
        <v>5</v>
      </c>
      <c r="B1485">
        <v>1750</v>
      </c>
      <c r="C1485">
        <v>3</v>
      </c>
      <c r="D1485" t="s">
        <v>36</v>
      </c>
      <c r="E1485" t="s">
        <v>677</v>
      </c>
      <c r="F1485" t="s">
        <v>964</v>
      </c>
      <c r="G1485" t="s">
        <v>650</v>
      </c>
      <c r="H1485">
        <v>35</v>
      </c>
      <c r="I1485" t="s">
        <v>644</v>
      </c>
      <c r="J1485">
        <v>5250</v>
      </c>
      <c r="K1485" s="1">
        <v>44054</v>
      </c>
      <c r="L1485">
        <v>2020</v>
      </c>
      <c r="M1485" t="str">
        <f>UPPER(TEXT(_2020_2022[[#This Row],[Data da Venda]],"mmm"))</f>
        <v>AGO</v>
      </c>
    </row>
    <row r="1486" spans="1:13" x14ac:dyDescent="0.25">
      <c r="A1486" t="s">
        <v>1441</v>
      </c>
      <c r="B1486">
        <v>1450</v>
      </c>
      <c r="C1486">
        <v>3</v>
      </c>
      <c r="D1486" t="s">
        <v>32</v>
      </c>
      <c r="E1486" t="s">
        <v>652</v>
      </c>
      <c r="F1486" t="s">
        <v>1259</v>
      </c>
      <c r="G1486" t="s">
        <v>643</v>
      </c>
      <c r="H1486">
        <v>69</v>
      </c>
      <c r="I1486" t="s">
        <v>647</v>
      </c>
      <c r="J1486">
        <v>4350</v>
      </c>
      <c r="K1486" s="1">
        <v>43892</v>
      </c>
      <c r="L1486">
        <v>2020</v>
      </c>
      <c r="M1486" t="str">
        <f>UPPER(TEXT(_2020_2022[[#This Row],[Data da Venda]],"mmm"))</f>
        <v>MAR</v>
      </c>
    </row>
    <row r="1487" spans="1:13" x14ac:dyDescent="0.25">
      <c r="A1487" t="s">
        <v>28</v>
      </c>
      <c r="B1487">
        <v>1400</v>
      </c>
      <c r="C1487">
        <v>3</v>
      </c>
      <c r="D1487" t="s">
        <v>40</v>
      </c>
      <c r="E1487" t="s">
        <v>657</v>
      </c>
      <c r="F1487" t="s">
        <v>1028</v>
      </c>
      <c r="G1487" t="s">
        <v>650</v>
      </c>
      <c r="H1487">
        <v>55</v>
      </c>
      <c r="I1487" t="s">
        <v>647</v>
      </c>
      <c r="J1487">
        <v>4200</v>
      </c>
      <c r="K1487" s="1">
        <v>43840</v>
      </c>
      <c r="L1487">
        <v>2020</v>
      </c>
      <c r="M1487" t="str">
        <f>UPPER(TEXT(_2020_2022[[#This Row],[Data da Venda]],"mmm"))</f>
        <v>JAN</v>
      </c>
    </row>
    <row r="1488" spans="1:13" x14ac:dyDescent="0.25">
      <c r="A1488" t="s">
        <v>24</v>
      </c>
      <c r="B1488">
        <v>2000</v>
      </c>
      <c r="C1488">
        <v>4</v>
      </c>
      <c r="D1488" t="s">
        <v>41</v>
      </c>
      <c r="E1488" t="s">
        <v>681</v>
      </c>
      <c r="F1488" t="s">
        <v>671</v>
      </c>
      <c r="G1488" t="s">
        <v>643</v>
      </c>
      <c r="H1488">
        <v>64</v>
      </c>
      <c r="I1488" t="s">
        <v>647</v>
      </c>
      <c r="J1488">
        <v>8000</v>
      </c>
      <c r="K1488" s="1">
        <v>43990</v>
      </c>
      <c r="L1488">
        <v>2020</v>
      </c>
      <c r="M1488" t="str">
        <f>UPPER(TEXT(_2020_2022[[#This Row],[Data da Venda]],"mmm"))</f>
        <v>JUN</v>
      </c>
    </row>
    <row r="1489" spans="1:13" x14ac:dyDescent="0.25">
      <c r="A1489" t="s">
        <v>1443</v>
      </c>
      <c r="B1489">
        <v>1550</v>
      </c>
      <c r="C1489">
        <v>3</v>
      </c>
      <c r="D1489" t="s">
        <v>29</v>
      </c>
      <c r="E1489" t="s">
        <v>641</v>
      </c>
      <c r="F1489" t="s">
        <v>841</v>
      </c>
      <c r="G1489" t="s">
        <v>650</v>
      </c>
      <c r="H1489">
        <v>27</v>
      </c>
      <c r="I1489" t="s">
        <v>651</v>
      </c>
      <c r="J1489">
        <v>4650</v>
      </c>
      <c r="K1489" s="1">
        <v>43998</v>
      </c>
      <c r="L1489">
        <v>2020</v>
      </c>
      <c r="M1489" t="str">
        <f>UPPER(TEXT(_2020_2022[[#This Row],[Data da Venda]],"mmm"))</f>
        <v>JUN</v>
      </c>
    </row>
    <row r="1490" spans="1:13" x14ac:dyDescent="0.25">
      <c r="A1490" t="s">
        <v>22</v>
      </c>
      <c r="B1490">
        <v>5200</v>
      </c>
      <c r="C1490">
        <v>3</v>
      </c>
      <c r="D1490" t="s">
        <v>40</v>
      </c>
      <c r="E1490" t="s">
        <v>657</v>
      </c>
      <c r="F1490" t="s">
        <v>1193</v>
      </c>
      <c r="G1490" t="s">
        <v>650</v>
      </c>
      <c r="H1490">
        <v>53</v>
      </c>
      <c r="I1490" t="s">
        <v>647</v>
      </c>
      <c r="J1490">
        <v>15600</v>
      </c>
      <c r="K1490" s="1">
        <v>44096</v>
      </c>
      <c r="L1490">
        <v>2020</v>
      </c>
      <c r="M1490" t="str">
        <f>UPPER(TEXT(_2020_2022[[#This Row],[Data da Venda]],"mmm"))</f>
        <v>SET</v>
      </c>
    </row>
    <row r="1491" spans="1:13" x14ac:dyDescent="0.25">
      <c r="A1491" t="s">
        <v>1442</v>
      </c>
      <c r="B1491">
        <v>1200</v>
      </c>
      <c r="C1491">
        <v>2</v>
      </c>
      <c r="D1491" t="s">
        <v>38</v>
      </c>
      <c r="E1491" t="s">
        <v>648</v>
      </c>
      <c r="F1491" t="s">
        <v>1107</v>
      </c>
      <c r="G1491" t="s">
        <v>650</v>
      </c>
      <c r="H1491">
        <v>40</v>
      </c>
      <c r="I1491" t="s">
        <v>644</v>
      </c>
      <c r="J1491">
        <v>2400</v>
      </c>
      <c r="K1491" s="1">
        <v>44025</v>
      </c>
      <c r="L1491">
        <v>2020</v>
      </c>
      <c r="M1491" t="str">
        <f>UPPER(TEXT(_2020_2022[[#This Row],[Data da Venda]],"mmm"))</f>
        <v>JUL</v>
      </c>
    </row>
    <row r="1492" spans="1:13" x14ac:dyDescent="0.25">
      <c r="A1492" t="s">
        <v>1444</v>
      </c>
      <c r="B1492">
        <v>1500</v>
      </c>
      <c r="C1492">
        <v>1</v>
      </c>
      <c r="D1492" t="s">
        <v>38</v>
      </c>
      <c r="E1492" t="s">
        <v>648</v>
      </c>
      <c r="F1492" t="s">
        <v>892</v>
      </c>
      <c r="G1492" t="s">
        <v>650</v>
      </c>
      <c r="H1492">
        <v>28</v>
      </c>
      <c r="I1492" t="s">
        <v>651</v>
      </c>
      <c r="J1492">
        <v>1500</v>
      </c>
      <c r="K1492" s="1">
        <v>44072</v>
      </c>
      <c r="L1492">
        <v>2020</v>
      </c>
      <c r="M1492" t="str">
        <f>UPPER(TEXT(_2020_2022[[#This Row],[Data da Venda]],"mmm"))</f>
        <v>AGO</v>
      </c>
    </row>
    <row r="1493" spans="1:13" x14ac:dyDescent="0.25">
      <c r="A1493" t="s">
        <v>8</v>
      </c>
      <c r="B1493">
        <v>5500</v>
      </c>
      <c r="C1493">
        <v>5</v>
      </c>
      <c r="D1493" t="s">
        <v>29</v>
      </c>
      <c r="E1493" t="s">
        <v>641</v>
      </c>
      <c r="F1493" t="s">
        <v>1311</v>
      </c>
      <c r="G1493" t="s">
        <v>650</v>
      </c>
      <c r="H1493">
        <v>75</v>
      </c>
      <c r="I1493" t="s">
        <v>647</v>
      </c>
      <c r="J1493">
        <v>27500</v>
      </c>
      <c r="K1493" s="1">
        <v>44088</v>
      </c>
      <c r="L1493">
        <v>2020</v>
      </c>
      <c r="M1493" t="str">
        <f>UPPER(TEXT(_2020_2022[[#This Row],[Data da Venda]],"mmm"))</f>
        <v>SET</v>
      </c>
    </row>
    <row r="1494" spans="1:13" x14ac:dyDescent="0.25">
      <c r="A1494" t="s">
        <v>13</v>
      </c>
      <c r="B1494">
        <v>2300</v>
      </c>
      <c r="C1494">
        <v>5</v>
      </c>
      <c r="D1494" t="s">
        <v>35</v>
      </c>
      <c r="E1494" t="s">
        <v>666</v>
      </c>
      <c r="F1494" t="s">
        <v>1291</v>
      </c>
      <c r="G1494" t="s">
        <v>643</v>
      </c>
      <c r="H1494">
        <v>25</v>
      </c>
      <c r="I1494" t="s">
        <v>651</v>
      </c>
      <c r="J1494">
        <v>11500</v>
      </c>
      <c r="K1494" s="1">
        <v>43831</v>
      </c>
      <c r="L1494">
        <v>2020</v>
      </c>
      <c r="M1494" t="str">
        <f>UPPER(TEXT(_2020_2022[[#This Row],[Data da Venda]],"mmm"))</f>
        <v>JAN</v>
      </c>
    </row>
    <row r="1495" spans="1:13" x14ac:dyDescent="0.25">
      <c r="A1495" t="s">
        <v>26</v>
      </c>
      <c r="B1495">
        <v>1100</v>
      </c>
      <c r="C1495">
        <v>1</v>
      </c>
      <c r="D1495" t="s">
        <v>32</v>
      </c>
      <c r="E1495" t="s">
        <v>652</v>
      </c>
      <c r="F1495" t="s">
        <v>761</v>
      </c>
      <c r="G1495" t="s">
        <v>643</v>
      </c>
      <c r="H1495">
        <v>26</v>
      </c>
      <c r="I1495" t="s">
        <v>651</v>
      </c>
      <c r="J1495">
        <v>1100</v>
      </c>
      <c r="K1495" s="1">
        <v>43889</v>
      </c>
      <c r="L1495">
        <v>2020</v>
      </c>
      <c r="M1495" t="str">
        <f>UPPER(TEXT(_2020_2022[[#This Row],[Data da Venda]],"mmm"))</f>
        <v>FEV</v>
      </c>
    </row>
    <row r="1496" spans="1:13" x14ac:dyDescent="0.25">
      <c r="A1496" t="s">
        <v>1440</v>
      </c>
      <c r="B1496">
        <v>700</v>
      </c>
      <c r="C1496">
        <v>5</v>
      </c>
      <c r="D1496" t="s">
        <v>33</v>
      </c>
      <c r="E1496" t="s">
        <v>641</v>
      </c>
      <c r="F1496" t="s">
        <v>880</v>
      </c>
      <c r="G1496" t="s">
        <v>643</v>
      </c>
      <c r="H1496">
        <v>44</v>
      </c>
      <c r="I1496" t="s">
        <v>644</v>
      </c>
      <c r="J1496">
        <v>3500</v>
      </c>
      <c r="K1496" s="1">
        <v>44050</v>
      </c>
      <c r="L1496">
        <v>2020</v>
      </c>
      <c r="M1496" t="str">
        <f>UPPER(TEXT(_2020_2022[[#This Row],[Data da Venda]],"mmm"))</f>
        <v>AGO</v>
      </c>
    </row>
    <row r="1497" spans="1:13" x14ac:dyDescent="0.25">
      <c r="A1497" t="s">
        <v>28</v>
      </c>
      <c r="B1497">
        <v>1400</v>
      </c>
      <c r="C1497">
        <v>1</v>
      </c>
      <c r="D1497" t="s">
        <v>38</v>
      </c>
      <c r="E1497" t="s">
        <v>648</v>
      </c>
      <c r="F1497" t="s">
        <v>1312</v>
      </c>
      <c r="G1497" t="s">
        <v>650</v>
      </c>
      <c r="H1497">
        <v>33</v>
      </c>
      <c r="I1497" t="s">
        <v>644</v>
      </c>
      <c r="J1497">
        <v>1400</v>
      </c>
      <c r="K1497" s="1">
        <v>44192</v>
      </c>
      <c r="L1497">
        <v>2020</v>
      </c>
      <c r="M1497" t="str">
        <f>UPPER(TEXT(_2020_2022[[#This Row],[Data da Venda]],"mmm"))</f>
        <v>DEZ</v>
      </c>
    </row>
    <row r="1498" spans="1:13" x14ac:dyDescent="0.25">
      <c r="A1498" t="s">
        <v>26</v>
      </c>
      <c r="B1498">
        <v>1100</v>
      </c>
      <c r="C1498">
        <v>5</v>
      </c>
      <c r="D1498" t="s">
        <v>33</v>
      </c>
      <c r="E1498" t="s">
        <v>641</v>
      </c>
      <c r="F1498" t="s">
        <v>981</v>
      </c>
      <c r="G1498" t="s">
        <v>643</v>
      </c>
      <c r="H1498">
        <v>49</v>
      </c>
      <c r="I1498" t="s">
        <v>644</v>
      </c>
      <c r="J1498">
        <v>5500</v>
      </c>
      <c r="K1498" s="1">
        <v>43885</v>
      </c>
      <c r="L1498">
        <v>2020</v>
      </c>
      <c r="M1498" t="str">
        <f>UPPER(TEXT(_2020_2022[[#This Row],[Data da Venda]],"mmm"))</f>
        <v>FEV</v>
      </c>
    </row>
    <row r="1499" spans="1:13" x14ac:dyDescent="0.25">
      <c r="A1499" t="s">
        <v>1445</v>
      </c>
      <c r="B1499">
        <v>1500</v>
      </c>
      <c r="C1499">
        <v>2</v>
      </c>
      <c r="D1499" t="s">
        <v>29</v>
      </c>
      <c r="E1499" t="s">
        <v>641</v>
      </c>
      <c r="F1499" t="s">
        <v>1313</v>
      </c>
      <c r="G1499" t="s">
        <v>650</v>
      </c>
      <c r="H1499">
        <v>30</v>
      </c>
      <c r="I1499" t="s">
        <v>644</v>
      </c>
      <c r="J1499">
        <v>3000</v>
      </c>
      <c r="K1499" s="1">
        <v>44161</v>
      </c>
      <c r="L1499">
        <v>2020</v>
      </c>
      <c r="M1499" t="str">
        <f>UPPER(TEXT(_2020_2022[[#This Row],[Data da Venda]],"mmm"))</f>
        <v>NOV</v>
      </c>
    </row>
    <row r="1500" spans="1:13" x14ac:dyDescent="0.25">
      <c r="A1500" t="s">
        <v>8</v>
      </c>
      <c r="B1500">
        <v>5500</v>
      </c>
      <c r="C1500">
        <v>2</v>
      </c>
      <c r="D1500" t="s">
        <v>34</v>
      </c>
      <c r="E1500" t="s">
        <v>679</v>
      </c>
      <c r="F1500" t="s">
        <v>1055</v>
      </c>
      <c r="G1500" t="s">
        <v>650</v>
      </c>
      <c r="H1500">
        <v>67</v>
      </c>
      <c r="I1500" t="s">
        <v>647</v>
      </c>
      <c r="J1500">
        <v>11000</v>
      </c>
      <c r="K1500" s="1">
        <v>44077</v>
      </c>
      <c r="L1500">
        <v>2020</v>
      </c>
      <c r="M1500" t="str">
        <f>UPPER(TEXT(_2020_2022[[#This Row],[Data da Venda]],"mmm"))</f>
        <v>SET</v>
      </c>
    </row>
    <row r="1501" spans="1:13" x14ac:dyDescent="0.25">
      <c r="A1501" t="s">
        <v>13</v>
      </c>
      <c r="B1501">
        <v>2300</v>
      </c>
      <c r="C1501">
        <v>4</v>
      </c>
      <c r="D1501" t="s">
        <v>33</v>
      </c>
      <c r="E1501" t="s">
        <v>641</v>
      </c>
      <c r="F1501" t="s">
        <v>829</v>
      </c>
      <c r="G1501" t="s">
        <v>650</v>
      </c>
      <c r="H1501">
        <v>48</v>
      </c>
      <c r="I1501" t="s">
        <v>644</v>
      </c>
      <c r="J1501">
        <v>9200</v>
      </c>
      <c r="K1501" s="1">
        <v>43954</v>
      </c>
      <c r="L1501">
        <v>2020</v>
      </c>
      <c r="M1501" t="str">
        <f>UPPER(TEXT(_2020_2022[[#This Row],[Data da Venda]],"mmm"))</f>
        <v>MAI</v>
      </c>
    </row>
    <row r="1502" spans="1:13" x14ac:dyDescent="0.25">
      <c r="A1502" t="s">
        <v>12</v>
      </c>
      <c r="B1502">
        <v>6500</v>
      </c>
      <c r="C1502">
        <v>1</v>
      </c>
      <c r="D1502" t="s">
        <v>41</v>
      </c>
      <c r="E1502" t="s">
        <v>681</v>
      </c>
      <c r="F1502" t="s">
        <v>1314</v>
      </c>
      <c r="G1502" t="s">
        <v>650</v>
      </c>
      <c r="H1502">
        <v>75</v>
      </c>
      <c r="I1502" t="s">
        <v>647</v>
      </c>
      <c r="J1502">
        <v>6500</v>
      </c>
      <c r="K1502" s="1">
        <v>44158</v>
      </c>
      <c r="L1502">
        <v>2020</v>
      </c>
      <c r="M1502" t="str">
        <f>UPPER(TEXT(_2020_2022[[#This Row],[Data da Venda]],"mmm"))</f>
        <v>NOV</v>
      </c>
    </row>
    <row r="1503" spans="1:13" x14ac:dyDescent="0.25">
      <c r="A1503" t="s">
        <v>1445</v>
      </c>
      <c r="B1503">
        <v>1500</v>
      </c>
      <c r="C1503">
        <v>1</v>
      </c>
      <c r="D1503" t="s">
        <v>33</v>
      </c>
      <c r="E1503" t="s">
        <v>641</v>
      </c>
      <c r="F1503" t="s">
        <v>1015</v>
      </c>
      <c r="G1503" t="s">
        <v>643</v>
      </c>
      <c r="H1503">
        <v>42</v>
      </c>
      <c r="I1503" t="s">
        <v>644</v>
      </c>
      <c r="J1503">
        <v>1500</v>
      </c>
      <c r="K1503" s="1">
        <v>44178</v>
      </c>
      <c r="L1503">
        <v>2020</v>
      </c>
      <c r="M1503" t="str">
        <f>UPPER(TEXT(_2020_2022[[#This Row],[Data da Venda]],"mmm"))</f>
        <v>DEZ</v>
      </c>
    </row>
    <row r="1504" spans="1:13" x14ac:dyDescent="0.25">
      <c r="A1504" t="s">
        <v>1441</v>
      </c>
      <c r="B1504">
        <v>1450</v>
      </c>
      <c r="C1504">
        <v>1</v>
      </c>
      <c r="D1504" t="s">
        <v>29</v>
      </c>
      <c r="E1504" t="s">
        <v>641</v>
      </c>
      <c r="F1504" t="s">
        <v>789</v>
      </c>
      <c r="G1504" t="s">
        <v>650</v>
      </c>
      <c r="H1504">
        <v>28</v>
      </c>
      <c r="I1504" t="s">
        <v>651</v>
      </c>
      <c r="J1504">
        <v>1450</v>
      </c>
      <c r="K1504" s="1">
        <v>43863</v>
      </c>
      <c r="L1504">
        <v>2020</v>
      </c>
      <c r="M1504" t="str">
        <f>UPPER(TEXT(_2020_2022[[#This Row],[Data da Venda]],"mmm"))</f>
        <v>FEV</v>
      </c>
    </row>
    <row r="1505" spans="1:13" x14ac:dyDescent="0.25">
      <c r="A1505" t="s">
        <v>21</v>
      </c>
      <c r="B1505">
        <v>2400</v>
      </c>
      <c r="C1505">
        <v>2</v>
      </c>
      <c r="D1505" t="s">
        <v>33</v>
      </c>
      <c r="E1505" t="s">
        <v>641</v>
      </c>
      <c r="F1505" t="s">
        <v>701</v>
      </c>
      <c r="G1505" t="s">
        <v>643</v>
      </c>
      <c r="H1505">
        <v>50</v>
      </c>
      <c r="I1505" t="s">
        <v>644</v>
      </c>
      <c r="J1505">
        <v>4800</v>
      </c>
      <c r="K1505" s="1">
        <v>44092</v>
      </c>
      <c r="L1505">
        <v>2020</v>
      </c>
      <c r="M1505" t="str">
        <f>UPPER(TEXT(_2020_2022[[#This Row],[Data da Venda]],"mmm"))</f>
        <v>SET</v>
      </c>
    </row>
    <row r="1506" spans="1:13" x14ac:dyDescent="0.25">
      <c r="A1506" t="s">
        <v>28</v>
      </c>
      <c r="B1506">
        <v>1400</v>
      </c>
      <c r="C1506">
        <v>2</v>
      </c>
      <c r="D1506" t="s">
        <v>37</v>
      </c>
      <c r="E1506" t="s">
        <v>645</v>
      </c>
      <c r="F1506" t="s">
        <v>778</v>
      </c>
      <c r="G1506" t="s">
        <v>650</v>
      </c>
      <c r="H1506">
        <v>67</v>
      </c>
      <c r="I1506" t="s">
        <v>647</v>
      </c>
      <c r="J1506">
        <v>2800</v>
      </c>
      <c r="K1506" s="1">
        <v>44135</v>
      </c>
      <c r="L1506">
        <v>2020</v>
      </c>
      <c r="M1506" t="str">
        <f>UPPER(TEXT(_2020_2022[[#This Row],[Data da Venda]],"mmm"))</f>
        <v>OUT</v>
      </c>
    </row>
    <row r="1507" spans="1:13" x14ac:dyDescent="0.25">
      <c r="A1507" t="s">
        <v>1443</v>
      </c>
      <c r="B1507">
        <v>1550</v>
      </c>
      <c r="C1507">
        <v>1</v>
      </c>
      <c r="D1507" t="s">
        <v>32</v>
      </c>
      <c r="E1507" t="s">
        <v>652</v>
      </c>
      <c r="F1507" t="s">
        <v>1031</v>
      </c>
      <c r="G1507" t="s">
        <v>643</v>
      </c>
      <c r="H1507">
        <v>44</v>
      </c>
      <c r="I1507" t="s">
        <v>644</v>
      </c>
      <c r="J1507">
        <v>1550</v>
      </c>
      <c r="K1507" s="1">
        <v>43873</v>
      </c>
      <c r="L1507">
        <v>2020</v>
      </c>
      <c r="M1507" t="str">
        <f>UPPER(TEXT(_2020_2022[[#This Row],[Data da Venda]],"mmm"))</f>
        <v>FEV</v>
      </c>
    </row>
    <row r="1508" spans="1:13" x14ac:dyDescent="0.25">
      <c r="A1508" t="s">
        <v>7</v>
      </c>
      <c r="B1508">
        <v>750</v>
      </c>
      <c r="C1508">
        <v>4</v>
      </c>
      <c r="D1508" t="s">
        <v>30</v>
      </c>
      <c r="E1508" t="s">
        <v>645</v>
      </c>
      <c r="F1508" t="s">
        <v>725</v>
      </c>
      <c r="G1508" t="s">
        <v>650</v>
      </c>
      <c r="H1508">
        <v>36</v>
      </c>
      <c r="I1508" t="s">
        <v>644</v>
      </c>
      <c r="J1508">
        <v>3000</v>
      </c>
      <c r="K1508" s="1">
        <v>44026</v>
      </c>
      <c r="L1508">
        <v>2020</v>
      </c>
      <c r="M1508" t="str">
        <f>UPPER(TEXT(_2020_2022[[#This Row],[Data da Venda]],"mmm"))</f>
        <v>JUL</v>
      </c>
    </row>
    <row r="1509" spans="1:13" x14ac:dyDescent="0.25">
      <c r="A1509" t="s">
        <v>15</v>
      </c>
      <c r="B1509">
        <v>1900</v>
      </c>
      <c r="C1509">
        <v>3</v>
      </c>
      <c r="D1509" t="s">
        <v>39</v>
      </c>
      <c r="E1509" t="s">
        <v>641</v>
      </c>
      <c r="F1509" t="s">
        <v>987</v>
      </c>
      <c r="G1509" t="s">
        <v>650</v>
      </c>
      <c r="H1509">
        <v>30</v>
      </c>
      <c r="I1509" t="s">
        <v>644</v>
      </c>
      <c r="J1509">
        <v>5700</v>
      </c>
      <c r="K1509" s="1">
        <v>43892</v>
      </c>
      <c r="L1509">
        <v>2020</v>
      </c>
      <c r="M1509" t="str">
        <f>UPPER(TEXT(_2020_2022[[#This Row],[Data da Venda]],"mmm"))</f>
        <v>MAR</v>
      </c>
    </row>
    <row r="1510" spans="1:13" x14ac:dyDescent="0.25">
      <c r="A1510" t="s">
        <v>5</v>
      </c>
      <c r="B1510">
        <v>1750</v>
      </c>
      <c r="C1510">
        <v>3</v>
      </c>
      <c r="D1510" t="s">
        <v>33</v>
      </c>
      <c r="E1510" t="s">
        <v>641</v>
      </c>
      <c r="F1510" t="s">
        <v>1015</v>
      </c>
      <c r="G1510" t="s">
        <v>643</v>
      </c>
      <c r="H1510">
        <v>42</v>
      </c>
      <c r="I1510" t="s">
        <v>644</v>
      </c>
      <c r="J1510">
        <v>5250</v>
      </c>
      <c r="K1510" s="1">
        <v>43951</v>
      </c>
      <c r="L1510">
        <v>2020</v>
      </c>
      <c r="M1510" t="str">
        <f>UPPER(TEXT(_2020_2022[[#This Row],[Data da Venda]],"mmm"))</f>
        <v>ABR</v>
      </c>
    </row>
    <row r="1511" spans="1:13" x14ac:dyDescent="0.25">
      <c r="A1511" t="s">
        <v>1443</v>
      </c>
      <c r="B1511">
        <v>1550</v>
      </c>
      <c r="C1511">
        <v>2</v>
      </c>
      <c r="D1511" t="s">
        <v>37</v>
      </c>
      <c r="E1511" t="s">
        <v>645</v>
      </c>
      <c r="F1511" t="s">
        <v>1315</v>
      </c>
      <c r="G1511" t="s">
        <v>643</v>
      </c>
      <c r="H1511">
        <v>40</v>
      </c>
      <c r="I1511" t="s">
        <v>644</v>
      </c>
      <c r="J1511">
        <v>3100</v>
      </c>
      <c r="K1511" s="1">
        <v>43861</v>
      </c>
      <c r="L1511">
        <v>2020</v>
      </c>
      <c r="M1511" t="str">
        <f>UPPER(TEXT(_2020_2022[[#This Row],[Data da Venda]],"mmm"))</f>
        <v>JAN</v>
      </c>
    </row>
    <row r="1512" spans="1:13" x14ac:dyDescent="0.25">
      <c r="A1512" t="s">
        <v>13</v>
      </c>
      <c r="B1512">
        <v>2300</v>
      </c>
      <c r="C1512">
        <v>4</v>
      </c>
      <c r="D1512" t="s">
        <v>36</v>
      </c>
      <c r="E1512" t="s">
        <v>677</v>
      </c>
      <c r="F1512" t="s">
        <v>1245</v>
      </c>
      <c r="G1512" t="s">
        <v>643</v>
      </c>
      <c r="H1512">
        <v>69</v>
      </c>
      <c r="I1512" t="s">
        <v>647</v>
      </c>
      <c r="J1512">
        <v>9200</v>
      </c>
      <c r="K1512" s="1">
        <v>43954</v>
      </c>
      <c r="L1512">
        <v>2020</v>
      </c>
      <c r="M1512" t="str">
        <f>UPPER(TEXT(_2020_2022[[#This Row],[Data da Venda]],"mmm"))</f>
        <v>MAI</v>
      </c>
    </row>
    <row r="1513" spans="1:13" x14ac:dyDescent="0.25">
      <c r="A1513" t="s">
        <v>18</v>
      </c>
      <c r="B1513">
        <v>3000</v>
      </c>
      <c r="C1513">
        <v>5</v>
      </c>
      <c r="D1513" t="s">
        <v>39</v>
      </c>
      <c r="E1513" t="s">
        <v>641</v>
      </c>
      <c r="F1513" t="s">
        <v>1310</v>
      </c>
      <c r="G1513" t="s">
        <v>643</v>
      </c>
      <c r="H1513">
        <v>31</v>
      </c>
      <c r="I1513" t="s">
        <v>644</v>
      </c>
      <c r="J1513">
        <v>15000</v>
      </c>
      <c r="K1513" s="1">
        <v>44092</v>
      </c>
      <c r="L1513">
        <v>2020</v>
      </c>
      <c r="M1513" t="str">
        <f>UPPER(TEXT(_2020_2022[[#This Row],[Data da Venda]],"mmm"))</f>
        <v>SET</v>
      </c>
    </row>
    <row r="1514" spans="1:13" x14ac:dyDescent="0.25">
      <c r="A1514" t="s">
        <v>5</v>
      </c>
      <c r="B1514">
        <v>1750</v>
      </c>
      <c r="C1514">
        <v>5</v>
      </c>
      <c r="D1514" t="s">
        <v>32</v>
      </c>
      <c r="E1514" t="s">
        <v>652</v>
      </c>
      <c r="F1514" t="s">
        <v>1172</v>
      </c>
      <c r="G1514" t="s">
        <v>643</v>
      </c>
      <c r="H1514">
        <v>48</v>
      </c>
      <c r="I1514" t="s">
        <v>644</v>
      </c>
      <c r="J1514">
        <v>8750</v>
      </c>
      <c r="K1514" s="1">
        <v>43856</v>
      </c>
      <c r="L1514">
        <v>2020</v>
      </c>
      <c r="M1514" t="str">
        <f>UPPER(TEXT(_2020_2022[[#This Row],[Data da Venda]],"mmm"))</f>
        <v>JAN</v>
      </c>
    </row>
    <row r="1515" spans="1:13" x14ac:dyDescent="0.25">
      <c r="A1515" t="s">
        <v>1441</v>
      </c>
      <c r="B1515">
        <v>1450</v>
      </c>
      <c r="C1515">
        <v>4</v>
      </c>
      <c r="D1515" t="s">
        <v>33</v>
      </c>
      <c r="E1515" t="s">
        <v>641</v>
      </c>
      <c r="F1515" t="s">
        <v>783</v>
      </c>
      <c r="G1515" t="s">
        <v>650</v>
      </c>
      <c r="H1515">
        <v>66</v>
      </c>
      <c r="I1515" t="s">
        <v>647</v>
      </c>
      <c r="J1515">
        <v>5800</v>
      </c>
      <c r="K1515" s="1">
        <v>43993</v>
      </c>
      <c r="L1515">
        <v>2020</v>
      </c>
      <c r="M1515" t="str">
        <f>UPPER(TEXT(_2020_2022[[#This Row],[Data da Venda]],"mmm"))</f>
        <v>JUN</v>
      </c>
    </row>
    <row r="1516" spans="1:13" x14ac:dyDescent="0.25">
      <c r="A1516" t="s">
        <v>11</v>
      </c>
      <c r="B1516">
        <v>4500</v>
      </c>
      <c r="C1516">
        <v>1</v>
      </c>
      <c r="D1516" t="s">
        <v>40</v>
      </c>
      <c r="E1516" t="s">
        <v>657</v>
      </c>
      <c r="F1516" t="s">
        <v>771</v>
      </c>
      <c r="G1516" t="s">
        <v>643</v>
      </c>
      <c r="H1516">
        <v>33</v>
      </c>
      <c r="I1516" t="s">
        <v>644</v>
      </c>
      <c r="J1516">
        <v>4500</v>
      </c>
      <c r="K1516" s="1">
        <v>44181</v>
      </c>
      <c r="L1516">
        <v>2020</v>
      </c>
      <c r="M1516" t="str">
        <f>UPPER(TEXT(_2020_2022[[#This Row],[Data da Venda]],"mmm"))</f>
        <v>DEZ</v>
      </c>
    </row>
    <row r="1517" spans="1:13" x14ac:dyDescent="0.25">
      <c r="A1517" t="s">
        <v>1440</v>
      </c>
      <c r="B1517">
        <v>700</v>
      </c>
      <c r="C1517">
        <v>4</v>
      </c>
      <c r="D1517" t="s">
        <v>40</v>
      </c>
      <c r="E1517" t="s">
        <v>657</v>
      </c>
      <c r="F1517" t="s">
        <v>1074</v>
      </c>
      <c r="G1517" t="s">
        <v>643</v>
      </c>
      <c r="H1517">
        <v>31</v>
      </c>
      <c r="I1517" t="s">
        <v>644</v>
      </c>
      <c r="J1517">
        <v>2800</v>
      </c>
      <c r="K1517" s="1">
        <v>44127</v>
      </c>
      <c r="L1517">
        <v>2020</v>
      </c>
      <c r="M1517" t="str">
        <f>UPPER(TEXT(_2020_2022[[#This Row],[Data da Venda]],"mmm"))</f>
        <v>OUT</v>
      </c>
    </row>
    <row r="1518" spans="1:13" x14ac:dyDescent="0.25">
      <c r="A1518" t="s">
        <v>20</v>
      </c>
      <c r="B1518">
        <v>2600</v>
      </c>
      <c r="C1518">
        <v>1</v>
      </c>
      <c r="D1518" t="s">
        <v>36</v>
      </c>
      <c r="E1518" t="s">
        <v>677</v>
      </c>
      <c r="F1518" t="s">
        <v>933</v>
      </c>
      <c r="G1518" t="s">
        <v>650</v>
      </c>
      <c r="H1518">
        <v>74</v>
      </c>
      <c r="I1518" t="s">
        <v>647</v>
      </c>
      <c r="J1518">
        <v>2600</v>
      </c>
      <c r="K1518" s="1">
        <v>44156</v>
      </c>
      <c r="L1518">
        <v>2020</v>
      </c>
      <c r="M1518" t="str">
        <f>UPPER(TEXT(_2020_2022[[#This Row],[Data da Venda]],"mmm"))</f>
        <v>NOV</v>
      </c>
    </row>
    <row r="1519" spans="1:13" x14ac:dyDescent="0.25">
      <c r="A1519" t="s">
        <v>1442</v>
      </c>
      <c r="B1519">
        <v>1200</v>
      </c>
      <c r="C1519">
        <v>2</v>
      </c>
      <c r="D1519" t="s">
        <v>38</v>
      </c>
      <c r="E1519" t="s">
        <v>648</v>
      </c>
      <c r="F1519" t="s">
        <v>1017</v>
      </c>
      <c r="G1519" t="s">
        <v>643</v>
      </c>
      <c r="H1519">
        <v>58</v>
      </c>
      <c r="I1519" t="s">
        <v>647</v>
      </c>
      <c r="J1519">
        <v>2400</v>
      </c>
      <c r="K1519" s="1">
        <v>43893</v>
      </c>
      <c r="L1519">
        <v>2020</v>
      </c>
      <c r="M1519" t="str">
        <f>UPPER(TEXT(_2020_2022[[#This Row],[Data da Venda]],"mmm"))</f>
        <v>MAR</v>
      </c>
    </row>
    <row r="1520" spans="1:13" x14ac:dyDescent="0.25">
      <c r="A1520" t="s">
        <v>18</v>
      </c>
      <c r="B1520">
        <v>3000</v>
      </c>
      <c r="C1520">
        <v>3</v>
      </c>
      <c r="D1520" t="s">
        <v>30</v>
      </c>
      <c r="E1520" t="s">
        <v>645</v>
      </c>
      <c r="F1520" t="s">
        <v>940</v>
      </c>
      <c r="G1520" t="s">
        <v>650</v>
      </c>
      <c r="H1520">
        <v>45</v>
      </c>
      <c r="I1520" t="s">
        <v>644</v>
      </c>
      <c r="J1520">
        <v>9000</v>
      </c>
      <c r="K1520" s="1">
        <v>44150</v>
      </c>
      <c r="L1520">
        <v>2020</v>
      </c>
      <c r="M1520" t="str">
        <f>UPPER(TEXT(_2020_2022[[#This Row],[Data da Venda]],"mmm"))</f>
        <v>NOV</v>
      </c>
    </row>
    <row r="1521" spans="1:13" x14ac:dyDescent="0.25">
      <c r="A1521" t="s">
        <v>16</v>
      </c>
      <c r="B1521">
        <v>1400</v>
      </c>
      <c r="C1521">
        <v>4</v>
      </c>
      <c r="D1521" t="s">
        <v>34</v>
      </c>
      <c r="E1521" t="s">
        <v>679</v>
      </c>
      <c r="F1521" t="s">
        <v>930</v>
      </c>
      <c r="G1521" t="s">
        <v>643</v>
      </c>
      <c r="H1521">
        <v>71</v>
      </c>
      <c r="I1521" t="s">
        <v>647</v>
      </c>
      <c r="J1521">
        <v>5600</v>
      </c>
      <c r="K1521" s="1">
        <v>44031</v>
      </c>
      <c r="L1521">
        <v>2020</v>
      </c>
      <c r="M1521" t="str">
        <f>UPPER(TEXT(_2020_2022[[#This Row],[Data da Venda]],"mmm"))</f>
        <v>JUL</v>
      </c>
    </row>
    <row r="1522" spans="1:13" x14ac:dyDescent="0.25">
      <c r="A1522" t="s">
        <v>24</v>
      </c>
      <c r="B1522">
        <v>2000</v>
      </c>
      <c r="C1522">
        <v>5</v>
      </c>
      <c r="D1522" t="s">
        <v>37</v>
      </c>
      <c r="E1522" t="s">
        <v>645</v>
      </c>
      <c r="F1522" t="s">
        <v>997</v>
      </c>
      <c r="G1522" t="s">
        <v>643</v>
      </c>
      <c r="H1522">
        <v>36</v>
      </c>
      <c r="I1522" t="s">
        <v>644</v>
      </c>
      <c r="J1522">
        <v>10000</v>
      </c>
      <c r="K1522" s="1">
        <v>43860</v>
      </c>
      <c r="L1522">
        <v>2020</v>
      </c>
      <c r="M1522" t="str">
        <f>UPPER(TEXT(_2020_2022[[#This Row],[Data da Venda]],"mmm"))</f>
        <v>JAN</v>
      </c>
    </row>
    <row r="1523" spans="1:13" x14ac:dyDescent="0.25">
      <c r="A1523" t="s">
        <v>7</v>
      </c>
      <c r="B1523">
        <v>750</v>
      </c>
      <c r="C1523">
        <v>1</v>
      </c>
      <c r="D1523" t="s">
        <v>40</v>
      </c>
      <c r="E1523" t="s">
        <v>657</v>
      </c>
      <c r="F1523" t="s">
        <v>1248</v>
      </c>
      <c r="G1523" t="s">
        <v>650</v>
      </c>
      <c r="H1523">
        <v>40</v>
      </c>
      <c r="I1523" t="s">
        <v>644</v>
      </c>
      <c r="J1523">
        <v>750</v>
      </c>
      <c r="K1523" s="1">
        <v>44025</v>
      </c>
      <c r="L1523">
        <v>2020</v>
      </c>
      <c r="M1523" t="str">
        <f>UPPER(TEXT(_2020_2022[[#This Row],[Data da Venda]],"mmm"))</f>
        <v>JUL</v>
      </c>
    </row>
    <row r="1524" spans="1:13" x14ac:dyDescent="0.25">
      <c r="A1524" t="s">
        <v>24</v>
      </c>
      <c r="B1524">
        <v>2000</v>
      </c>
      <c r="C1524">
        <v>2</v>
      </c>
      <c r="D1524" t="s">
        <v>29</v>
      </c>
      <c r="E1524" t="s">
        <v>641</v>
      </c>
      <c r="F1524" t="s">
        <v>1240</v>
      </c>
      <c r="G1524" t="s">
        <v>643</v>
      </c>
      <c r="H1524">
        <v>48</v>
      </c>
      <c r="I1524" t="s">
        <v>644</v>
      </c>
      <c r="J1524">
        <v>4000</v>
      </c>
      <c r="K1524" s="1">
        <v>44110</v>
      </c>
      <c r="L1524">
        <v>2020</v>
      </c>
      <c r="M1524" t="str">
        <f>UPPER(TEXT(_2020_2022[[#This Row],[Data da Venda]],"mmm"))</f>
        <v>OUT</v>
      </c>
    </row>
    <row r="1525" spans="1:13" x14ac:dyDescent="0.25">
      <c r="A1525" t="s">
        <v>8</v>
      </c>
      <c r="B1525">
        <v>5500</v>
      </c>
      <c r="C1525">
        <v>1</v>
      </c>
      <c r="D1525" t="s">
        <v>29</v>
      </c>
      <c r="E1525" t="s">
        <v>641</v>
      </c>
      <c r="F1525" t="s">
        <v>663</v>
      </c>
      <c r="G1525" t="s">
        <v>650</v>
      </c>
      <c r="H1525">
        <v>60</v>
      </c>
      <c r="I1525" t="s">
        <v>647</v>
      </c>
      <c r="J1525">
        <v>5500</v>
      </c>
      <c r="K1525" s="1">
        <v>44188</v>
      </c>
      <c r="L1525">
        <v>2020</v>
      </c>
      <c r="M1525" t="str">
        <f>UPPER(TEXT(_2020_2022[[#This Row],[Data da Venda]],"mmm"))</f>
        <v>DEZ</v>
      </c>
    </row>
    <row r="1526" spans="1:13" x14ac:dyDescent="0.25">
      <c r="A1526" t="s">
        <v>1441</v>
      </c>
      <c r="B1526">
        <v>1450</v>
      </c>
      <c r="C1526">
        <v>3</v>
      </c>
      <c r="D1526" t="s">
        <v>35</v>
      </c>
      <c r="E1526" t="s">
        <v>666</v>
      </c>
      <c r="F1526" t="s">
        <v>999</v>
      </c>
      <c r="G1526" t="s">
        <v>643</v>
      </c>
      <c r="H1526">
        <v>70</v>
      </c>
      <c r="I1526" t="s">
        <v>647</v>
      </c>
      <c r="J1526">
        <v>4350</v>
      </c>
      <c r="K1526" s="1">
        <v>44133</v>
      </c>
      <c r="L1526">
        <v>2020</v>
      </c>
      <c r="M1526" t="str">
        <f>UPPER(TEXT(_2020_2022[[#This Row],[Data da Venda]],"mmm"))</f>
        <v>OUT</v>
      </c>
    </row>
    <row r="1527" spans="1:13" x14ac:dyDescent="0.25">
      <c r="A1527" t="s">
        <v>22</v>
      </c>
      <c r="B1527">
        <v>5200</v>
      </c>
      <c r="C1527">
        <v>3</v>
      </c>
      <c r="D1527" t="s">
        <v>39</v>
      </c>
      <c r="E1527" t="s">
        <v>641</v>
      </c>
      <c r="F1527" t="s">
        <v>1051</v>
      </c>
      <c r="G1527" t="s">
        <v>643</v>
      </c>
      <c r="H1527">
        <v>61</v>
      </c>
      <c r="I1527" t="s">
        <v>647</v>
      </c>
      <c r="J1527">
        <v>15600</v>
      </c>
      <c r="K1527" s="1">
        <v>44128</v>
      </c>
      <c r="L1527">
        <v>2020</v>
      </c>
      <c r="M1527" t="str">
        <f>UPPER(TEXT(_2020_2022[[#This Row],[Data da Venda]],"mmm"))</f>
        <v>OUT</v>
      </c>
    </row>
    <row r="1528" spans="1:13" x14ac:dyDescent="0.25">
      <c r="A1528" t="s">
        <v>1440</v>
      </c>
      <c r="B1528">
        <v>700</v>
      </c>
      <c r="C1528">
        <v>1</v>
      </c>
      <c r="D1528" t="s">
        <v>30</v>
      </c>
      <c r="E1528" t="s">
        <v>645</v>
      </c>
      <c r="F1528" t="s">
        <v>1316</v>
      </c>
      <c r="G1528" t="s">
        <v>643</v>
      </c>
      <c r="H1528">
        <v>66</v>
      </c>
      <c r="I1528" t="s">
        <v>647</v>
      </c>
      <c r="J1528">
        <v>700</v>
      </c>
      <c r="K1528" s="1">
        <v>43987</v>
      </c>
      <c r="L1528">
        <v>2020</v>
      </c>
      <c r="M1528" t="str">
        <f>UPPER(TEXT(_2020_2022[[#This Row],[Data da Venda]],"mmm"))</f>
        <v>JUN</v>
      </c>
    </row>
    <row r="1529" spans="1:13" x14ac:dyDescent="0.25">
      <c r="A1529" t="s">
        <v>13</v>
      </c>
      <c r="B1529">
        <v>2300</v>
      </c>
      <c r="C1529">
        <v>4</v>
      </c>
      <c r="D1529" t="s">
        <v>37</v>
      </c>
      <c r="E1529" t="s">
        <v>645</v>
      </c>
      <c r="F1529" t="s">
        <v>1211</v>
      </c>
      <c r="G1529" t="s">
        <v>650</v>
      </c>
      <c r="H1529">
        <v>50</v>
      </c>
      <c r="I1529" t="s">
        <v>644</v>
      </c>
      <c r="J1529">
        <v>9200</v>
      </c>
      <c r="K1529" s="1">
        <v>44030</v>
      </c>
      <c r="L1529">
        <v>2020</v>
      </c>
      <c r="M1529" t="str">
        <f>UPPER(TEXT(_2020_2022[[#This Row],[Data da Venda]],"mmm"))</f>
        <v>JUL</v>
      </c>
    </row>
    <row r="1530" spans="1:13" x14ac:dyDescent="0.25">
      <c r="A1530" t="s">
        <v>18</v>
      </c>
      <c r="B1530">
        <v>3000</v>
      </c>
      <c r="C1530">
        <v>4</v>
      </c>
      <c r="D1530" t="s">
        <v>32</v>
      </c>
      <c r="E1530" t="s">
        <v>652</v>
      </c>
      <c r="F1530" t="s">
        <v>1317</v>
      </c>
      <c r="G1530" t="s">
        <v>650</v>
      </c>
      <c r="H1530">
        <v>32</v>
      </c>
      <c r="I1530" t="s">
        <v>644</v>
      </c>
      <c r="J1530">
        <v>12000</v>
      </c>
      <c r="K1530" s="1">
        <v>44018</v>
      </c>
      <c r="L1530">
        <v>2020</v>
      </c>
      <c r="M1530" t="str">
        <f>UPPER(TEXT(_2020_2022[[#This Row],[Data da Venda]],"mmm"))</f>
        <v>JUL</v>
      </c>
    </row>
    <row r="1531" spans="1:13" x14ac:dyDescent="0.25">
      <c r="A1531" t="s">
        <v>25</v>
      </c>
      <c r="B1531">
        <v>2500</v>
      </c>
      <c r="C1531">
        <v>2</v>
      </c>
      <c r="D1531" t="s">
        <v>41</v>
      </c>
      <c r="E1531" t="s">
        <v>681</v>
      </c>
      <c r="F1531" t="s">
        <v>1081</v>
      </c>
      <c r="G1531" t="s">
        <v>643</v>
      </c>
      <c r="H1531">
        <v>64</v>
      </c>
      <c r="I1531" t="s">
        <v>647</v>
      </c>
      <c r="J1531">
        <v>5000</v>
      </c>
      <c r="K1531" s="1">
        <v>43945</v>
      </c>
      <c r="L1531">
        <v>2020</v>
      </c>
      <c r="M1531" t="str">
        <f>UPPER(TEXT(_2020_2022[[#This Row],[Data da Venda]],"mmm"))</f>
        <v>ABR</v>
      </c>
    </row>
    <row r="1532" spans="1:13" x14ac:dyDescent="0.25">
      <c r="A1532" t="s">
        <v>15</v>
      </c>
      <c r="B1532">
        <v>1900</v>
      </c>
      <c r="C1532">
        <v>5</v>
      </c>
      <c r="D1532" t="s">
        <v>41</v>
      </c>
      <c r="E1532" t="s">
        <v>681</v>
      </c>
      <c r="F1532" t="s">
        <v>860</v>
      </c>
      <c r="G1532" t="s">
        <v>643</v>
      </c>
      <c r="H1532">
        <v>42</v>
      </c>
      <c r="I1532" t="s">
        <v>644</v>
      </c>
      <c r="J1532">
        <v>9500</v>
      </c>
      <c r="K1532" s="1">
        <v>43932</v>
      </c>
      <c r="L1532">
        <v>2020</v>
      </c>
      <c r="M1532" t="str">
        <f>UPPER(TEXT(_2020_2022[[#This Row],[Data da Venda]],"mmm"))</f>
        <v>ABR</v>
      </c>
    </row>
    <row r="1533" spans="1:13" x14ac:dyDescent="0.25">
      <c r="A1533" t="s">
        <v>9</v>
      </c>
      <c r="B1533">
        <v>1500</v>
      </c>
      <c r="C1533">
        <v>5</v>
      </c>
      <c r="D1533" t="s">
        <v>41</v>
      </c>
      <c r="E1533" t="s">
        <v>681</v>
      </c>
      <c r="F1533" t="s">
        <v>743</v>
      </c>
      <c r="G1533" t="s">
        <v>643</v>
      </c>
      <c r="H1533">
        <v>41</v>
      </c>
      <c r="I1533" t="s">
        <v>644</v>
      </c>
      <c r="J1533">
        <v>7500</v>
      </c>
      <c r="K1533" s="1">
        <v>43889</v>
      </c>
      <c r="L1533">
        <v>2020</v>
      </c>
      <c r="M1533" t="str">
        <f>UPPER(TEXT(_2020_2022[[#This Row],[Data da Venda]],"mmm"))</f>
        <v>FEV</v>
      </c>
    </row>
    <row r="1534" spans="1:13" x14ac:dyDescent="0.25">
      <c r="A1534" t="s">
        <v>21</v>
      </c>
      <c r="B1534">
        <v>2400</v>
      </c>
      <c r="C1534">
        <v>5</v>
      </c>
      <c r="D1534" t="s">
        <v>37</v>
      </c>
      <c r="E1534" t="s">
        <v>645</v>
      </c>
      <c r="F1534" t="s">
        <v>1084</v>
      </c>
      <c r="G1534" t="s">
        <v>643</v>
      </c>
      <c r="H1534">
        <v>42</v>
      </c>
      <c r="I1534" t="s">
        <v>644</v>
      </c>
      <c r="J1534">
        <v>12000</v>
      </c>
      <c r="K1534" s="1">
        <v>44180</v>
      </c>
      <c r="L1534">
        <v>2020</v>
      </c>
      <c r="M1534" t="str">
        <f>UPPER(TEXT(_2020_2022[[#This Row],[Data da Venda]],"mmm"))</f>
        <v>DEZ</v>
      </c>
    </row>
    <row r="1535" spans="1:13" x14ac:dyDescent="0.25">
      <c r="A1535" t="s">
        <v>11</v>
      </c>
      <c r="B1535">
        <v>4500</v>
      </c>
      <c r="C1535">
        <v>2</v>
      </c>
      <c r="D1535" t="s">
        <v>41</v>
      </c>
      <c r="E1535" t="s">
        <v>681</v>
      </c>
      <c r="F1535" t="s">
        <v>832</v>
      </c>
      <c r="G1535" t="s">
        <v>643</v>
      </c>
      <c r="H1535">
        <v>25</v>
      </c>
      <c r="I1535" t="s">
        <v>651</v>
      </c>
      <c r="J1535">
        <v>9000</v>
      </c>
      <c r="K1535" s="1">
        <v>43876</v>
      </c>
      <c r="L1535">
        <v>2020</v>
      </c>
      <c r="M1535" t="str">
        <f>UPPER(TEXT(_2020_2022[[#This Row],[Data da Venda]],"mmm"))</f>
        <v>FEV</v>
      </c>
    </row>
    <row r="1536" spans="1:13" x14ac:dyDescent="0.25">
      <c r="A1536" t="s">
        <v>26</v>
      </c>
      <c r="B1536">
        <v>1100</v>
      </c>
      <c r="C1536">
        <v>5</v>
      </c>
      <c r="D1536" t="s">
        <v>33</v>
      </c>
      <c r="E1536" t="s">
        <v>641</v>
      </c>
      <c r="F1536" t="s">
        <v>863</v>
      </c>
      <c r="G1536" t="s">
        <v>643</v>
      </c>
      <c r="H1536">
        <v>48</v>
      </c>
      <c r="I1536" t="s">
        <v>644</v>
      </c>
      <c r="J1536">
        <v>5500</v>
      </c>
      <c r="K1536" s="1">
        <v>43965</v>
      </c>
      <c r="L1536">
        <v>2020</v>
      </c>
      <c r="M1536" t="str">
        <f>UPPER(TEXT(_2020_2022[[#This Row],[Data da Venda]],"mmm"))</f>
        <v>MAI</v>
      </c>
    </row>
    <row r="1537" spans="1:13" x14ac:dyDescent="0.25">
      <c r="A1537" t="s">
        <v>8</v>
      </c>
      <c r="B1537">
        <v>5500</v>
      </c>
      <c r="C1537">
        <v>4</v>
      </c>
      <c r="D1537" t="s">
        <v>34</v>
      </c>
      <c r="E1537" t="s">
        <v>679</v>
      </c>
      <c r="F1537" t="s">
        <v>740</v>
      </c>
      <c r="G1537" t="s">
        <v>643</v>
      </c>
      <c r="H1537">
        <v>40</v>
      </c>
      <c r="I1537" t="s">
        <v>644</v>
      </c>
      <c r="J1537">
        <v>22000</v>
      </c>
      <c r="K1537" s="1">
        <v>43882</v>
      </c>
      <c r="L1537">
        <v>2020</v>
      </c>
      <c r="M1537" t="str">
        <f>UPPER(TEXT(_2020_2022[[#This Row],[Data da Venda]],"mmm"))</f>
        <v>FEV</v>
      </c>
    </row>
    <row r="1538" spans="1:13" x14ac:dyDescent="0.25">
      <c r="A1538" t="s">
        <v>1443</v>
      </c>
      <c r="B1538">
        <v>1550</v>
      </c>
      <c r="C1538">
        <v>5</v>
      </c>
      <c r="D1538" t="s">
        <v>35</v>
      </c>
      <c r="E1538" t="s">
        <v>666</v>
      </c>
      <c r="F1538" t="s">
        <v>1166</v>
      </c>
      <c r="G1538" t="s">
        <v>650</v>
      </c>
      <c r="H1538">
        <v>39</v>
      </c>
      <c r="I1538" t="s">
        <v>644</v>
      </c>
      <c r="J1538">
        <v>7750</v>
      </c>
      <c r="K1538" s="1">
        <v>43877</v>
      </c>
      <c r="L1538">
        <v>2020</v>
      </c>
      <c r="M1538" t="str">
        <f>UPPER(TEXT(_2020_2022[[#This Row],[Data da Venda]],"mmm"))</f>
        <v>FEV</v>
      </c>
    </row>
    <row r="1539" spans="1:13" x14ac:dyDescent="0.25">
      <c r="A1539" t="s">
        <v>20</v>
      </c>
      <c r="B1539">
        <v>2600</v>
      </c>
      <c r="C1539">
        <v>3</v>
      </c>
      <c r="D1539" t="s">
        <v>40</v>
      </c>
      <c r="E1539" t="s">
        <v>657</v>
      </c>
      <c r="F1539" t="s">
        <v>784</v>
      </c>
      <c r="G1539" t="s">
        <v>650</v>
      </c>
      <c r="H1539">
        <v>41</v>
      </c>
      <c r="I1539" t="s">
        <v>644</v>
      </c>
      <c r="J1539">
        <v>7800</v>
      </c>
      <c r="K1539" s="1">
        <v>44016</v>
      </c>
      <c r="L1539">
        <v>2020</v>
      </c>
      <c r="M1539" t="str">
        <f>UPPER(TEXT(_2020_2022[[#This Row],[Data da Venda]],"mmm"))</f>
        <v>JUL</v>
      </c>
    </row>
    <row r="1540" spans="1:13" x14ac:dyDescent="0.25">
      <c r="A1540" t="s">
        <v>16</v>
      </c>
      <c r="B1540">
        <v>1400</v>
      </c>
      <c r="C1540">
        <v>1</v>
      </c>
      <c r="D1540" t="s">
        <v>31</v>
      </c>
      <c r="E1540" t="s">
        <v>645</v>
      </c>
      <c r="F1540" t="s">
        <v>889</v>
      </c>
      <c r="G1540" t="s">
        <v>643</v>
      </c>
      <c r="H1540">
        <v>26</v>
      </c>
      <c r="I1540" t="s">
        <v>651</v>
      </c>
      <c r="J1540">
        <v>1400</v>
      </c>
      <c r="K1540" s="1">
        <v>44073</v>
      </c>
      <c r="L1540">
        <v>2020</v>
      </c>
      <c r="M1540" t="str">
        <f>UPPER(TEXT(_2020_2022[[#This Row],[Data da Venda]],"mmm"))</f>
        <v>AGO</v>
      </c>
    </row>
    <row r="1541" spans="1:13" x14ac:dyDescent="0.25">
      <c r="A1541" t="s">
        <v>15</v>
      </c>
      <c r="B1541">
        <v>1900</v>
      </c>
      <c r="C1541">
        <v>3</v>
      </c>
      <c r="D1541" t="s">
        <v>29</v>
      </c>
      <c r="E1541" t="s">
        <v>641</v>
      </c>
      <c r="F1541" t="s">
        <v>843</v>
      </c>
      <c r="G1541" t="s">
        <v>650</v>
      </c>
      <c r="H1541">
        <v>73</v>
      </c>
      <c r="I1541" t="s">
        <v>647</v>
      </c>
      <c r="J1541">
        <v>5700</v>
      </c>
      <c r="K1541" s="1">
        <v>43925</v>
      </c>
      <c r="L1541">
        <v>2020</v>
      </c>
      <c r="M1541" t="str">
        <f>UPPER(TEXT(_2020_2022[[#This Row],[Data da Venda]],"mmm"))</f>
        <v>ABR</v>
      </c>
    </row>
    <row r="1542" spans="1:13" x14ac:dyDescent="0.25">
      <c r="A1542" t="s">
        <v>8</v>
      </c>
      <c r="B1542">
        <v>5500</v>
      </c>
      <c r="C1542">
        <v>1</v>
      </c>
      <c r="D1542" t="s">
        <v>32</v>
      </c>
      <c r="E1542" t="s">
        <v>652</v>
      </c>
      <c r="F1542" t="s">
        <v>1112</v>
      </c>
      <c r="G1542" t="s">
        <v>650</v>
      </c>
      <c r="H1542">
        <v>55</v>
      </c>
      <c r="I1542" t="s">
        <v>647</v>
      </c>
      <c r="J1542">
        <v>5500</v>
      </c>
      <c r="K1542" s="1">
        <v>44175</v>
      </c>
      <c r="L1542">
        <v>2020</v>
      </c>
      <c r="M1542" t="str">
        <f>UPPER(TEXT(_2020_2022[[#This Row],[Data da Venda]],"mmm"))</f>
        <v>DEZ</v>
      </c>
    </row>
    <row r="1543" spans="1:13" x14ac:dyDescent="0.25">
      <c r="A1543" t="s">
        <v>12</v>
      </c>
      <c r="B1543">
        <v>6500</v>
      </c>
      <c r="C1543">
        <v>5</v>
      </c>
      <c r="D1543" t="s">
        <v>29</v>
      </c>
      <c r="E1543" t="s">
        <v>641</v>
      </c>
      <c r="F1543" t="s">
        <v>699</v>
      </c>
      <c r="G1543" t="s">
        <v>650</v>
      </c>
      <c r="H1543">
        <v>29</v>
      </c>
      <c r="I1543" t="s">
        <v>651</v>
      </c>
      <c r="J1543">
        <v>32500</v>
      </c>
      <c r="K1543" s="1">
        <v>43988</v>
      </c>
      <c r="L1543">
        <v>2020</v>
      </c>
      <c r="M1543" t="str">
        <f>UPPER(TEXT(_2020_2022[[#This Row],[Data da Venda]],"mmm"))</f>
        <v>JUN</v>
      </c>
    </row>
    <row r="1544" spans="1:13" x14ac:dyDescent="0.25">
      <c r="A1544" t="s">
        <v>9</v>
      </c>
      <c r="B1544">
        <v>1500</v>
      </c>
      <c r="C1544">
        <v>3</v>
      </c>
      <c r="D1544" t="s">
        <v>31</v>
      </c>
      <c r="E1544" t="s">
        <v>645</v>
      </c>
      <c r="F1544" t="s">
        <v>923</v>
      </c>
      <c r="G1544" t="s">
        <v>650</v>
      </c>
      <c r="H1544">
        <v>57</v>
      </c>
      <c r="I1544" t="s">
        <v>647</v>
      </c>
      <c r="J1544">
        <v>4500</v>
      </c>
      <c r="K1544" s="1">
        <v>44081</v>
      </c>
      <c r="L1544">
        <v>2020</v>
      </c>
      <c r="M1544" t="str">
        <f>UPPER(TEXT(_2020_2022[[#This Row],[Data da Venda]],"mmm"))</f>
        <v>SET</v>
      </c>
    </row>
    <row r="1545" spans="1:13" x14ac:dyDescent="0.25">
      <c r="A1545" t="s">
        <v>7</v>
      </c>
      <c r="B1545">
        <v>750</v>
      </c>
      <c r="C1545">
        <v>2</v>
      </c>
      <c r="D1545" t="s">
        <v>39</v>
      </c>
      <c r="E1545" t="s">
        <v>641</v>
      </c>
      <c r="F1545" t="s">
        <v>1318</v>
      </c>
      <c r="G1545" t="s">
        <v>643</v>
      </c>
      <c r="H1545">
        <v>63</v>
      </c>
      <c r="I1545" t="s">
        <v>647</v>
      </c>
      <c r="J1545">
        <v>1500</v>
      </c>
      <c r="K1545" s="1">
        <v>44003</v>
      </c>
      <c r="L1545">
        <v>2020</v>
      </c>
      <c r="M1545" t="str">
        <f>UPPER(TEXT(_2020_2022[[#This Row],[Data da Venda]],"mmm"))</f>
        <v>JUN</v>
      </c>
    </row>
    <row r="1546" spans="1:13" x14ac:dyDescent="0.25">
      <c r="A1546" t="s">
        <v>13</v>
      </c>
      <c r="B1546">
        <v>2300</v>
      </c>
      <c r="C1546">
        <v>5</v>
      </c>
      <c r="D1546" t="s">
        <v>35</v>
      </c>
      <c r="E1546" t="s">
        <v>666</v>
      </c>
      <c r="F1546" t="s">
        <v>703</v>
      </c>
      <c r="G1546" t="s">
        <v>643</v>
      </c>
      <c r="H1546">
        <v>33</v>
      </c>
      <c r="I1546" t="s">
        <v>644</v>
      </c>
      <c r="J1546">
        <v>11500</v>
      </c>
      <c r="K1546" s="1">
        <v>44109</v>
      </c>
      <c r="L1546">
        <v>2020</v>
      </c>
      <c r="M1546" t="str">
        <f>UPPER(TEXT(_2020_2022[[#This Row],[Data da Venda]],"mmm"))</f>
        <v>OUT</v>
      </c>
    </row>
    <row r="1547" spans="1:13" x14ac:dyDescent="0.25">
      <c r="A1547" t="s">
        <v>16</v>
      </c>
      <c r="B1547">
        <v>1400</v>
      </c>
      <c r="C1547">
        <v>4</v>
      </c>
      <c r="D1547" t="s">
        <v>32</v>
      </c>
      <c r="E1547" t="s">
        <v>652</v>
      </c>
      <c r="F1547" t="s">
        <v>1319</v>
      </c>
      <c r="G1547" t="s">
        <v>643</v>
      </c>
      <c r="H1547">
        <v>38</v>
      </c>
      <c r="I1547" t="s">
        <v>644</v>
      </c>
      <c r="J1547">
        <v>5600</v>
      </c>
      <c r="K1547" s="1">
        <v>44175</v>
      </c>
      <c r="L1547">
        <v>2020</v>
      </c>
      <c r="M1547" t="str">
        <f>UPPER(TEXT(_2020_2022[[#This Row],[Data da Venda]],"mmm"))</f>
        <v>DEZ</v>
      </c>
    </row>
    <row r="1548" spans="1:13" x14ac:dyDescent="0.25">
      <c r="A1548" t="s">
        <v>14</v>
      </c>
      <c r="B1548">
        <v>2000</v>
      </c>
      <c r="C1548">
        <v>5</v>
      </c>
      <c r="D1548" t="s">
        <v>38</v>
      </c>
      <c r="E1548" t="s">
        <v>648</v>
      </c>
      <c r="F1548" t="s">
        <v>649</v>
      </c>
      <c r="G1548" t="s">
        <v>650</v>
      </c>
      <c r="H1548">
        <v>27</v>
      </c>
      <c r="I1548" t="s">
        <v>651</v>
      </c>
      <c r="J1548">
        <v>10000</v>
      </c>
      <c r="K1548" s="1">
        <v>43962</v>
      </c>
      <c r="L1548">
        <v>2020</v>
      </c>
      <c r="M1548" t="str">
        <f>UPPER(TEXT(_2020_2022[[#This Row],[Data da Venda]],"mmm"))</f>
        <v>MAI</v>
      </c>
    </row>
    <row r="1549" spans="1:13" x14ac:dyDescent="0.25">
      <c r="A1549" t="s">
        <v>8</v>
      </c>
      <c r="B1549">
        <v>5500</v>
      </c>
      <c r="C1549">
        <v>2</v>
      </c>
      <c r="D1549" t="s">
        <v>29</v>
      </c>
      <c r="E1549" t="s">
        <v>641</v>
      </c>
      <c r="F1549" t="s">
        <v>663</v>
      </c>
      <c r="G1549" t="s">
        <v>650</v>
      </c>
      <c r="H1549">
        <v>60</v>
      </c>
      <c r="I1549" t="s">
        <v>647</v>
      </c>
      <c r="J1549">
        <v>11000</v>
      </c>
      <c r="K1549" s="1">
        <v>43927</v>
      </c>
      <c r="L1549">
        <v>2020</v>
      </c>
      <c r="M1549" t="str">
        <f>UPPER(TEXT(_2020_2022[[#This Row],[Data da Venda]],"mmm"))</f>
        <v>ABR</v>
      </c>
    </row>
    <row r="1550" spans="1:13" x14ac:dyDescent="0.25">
      <c r="A1550" t="s">
        <v>16</v>
      </c>
      <c r="B1550">
        <v>1400</v>
      </c>
      <c r="C1550">
        <v>2</v>
      </c>
      <c r="D1550" t="s">
        <v>39</v>
      </c>
      <c r="E1550" t="s">
        <v>641</v>
      </c>
      <c r="F1550" t="s">
        <v>1001</v>
      </c>
      <c r="G1550" t="s">
        <v>643</v>
      </c>
      <c r="H1550">
        <v>40</v>
      </c>
      <c r="I1550" t="s">
        <v>644</v>
      </c>
      <c r="J1550">
        <v>2800</v>
      </c>
      <c r="K1550" s="1">
        <v>44009</v>
      </c>
      <c r="L1550">
        <v>2020</v>
      </c>
      <c r="M1550" t="str">
        <f>UPPER(TEXT(_2020_2022[[#This Row],[Data da Venda]],"mmm"))</f>
        <v>JUN</v>
      </c>
    </row>
    <row r="1551" spans="1:13" x14ac:dyDescent="0.25">
      <c r="A1551" t="s">
        <v>11</v>
      </c>
      <c r="B1551">
        <v>4500</v>
      </c>
      <c r="C1551">
        <v>5</v>
      </c>
      <c r="D1551" t="s">
        <v>33</v>
      </c>
      <c r="E1551" t="s">
        <v>641</v>
      </c>
      <c r="F1551" t="s">
        <v>1123</v>
      </c>
      <c r="G1551" t="s">
        <v>650</v>
      </c>
      <c r="H1551">
        <v>41</v>
      </c>
      <c r="I1551" t="s">
        <v>644</v>
      </c>
      <c r="J1551">
        <v>22500</v>
      </c>
      <c r="K1551" s="1">
        <v>44188</v>
      </c>
      <c r="L1551">
        <v>2020</v>
      </c>
      <c r="M1551" t="str">
        <f>UPPER(TEXT(_2020_2022[[#This Row],[Data da Venda]],"mmm"))</f>
        <v>DEZ</v>
      </c>
    </row>
    <row r="1552" spans="1:13" x14ac:dyDescent="0.25">
      <c r="A1552" t="s">
        <v>15</v>
      </c>
      <c r="B1552">
        <v>1900</v>
      </c>
      <c r="C1552">
        <v>3</v>
      </c>
      <c r="D1552" t="s">
        <v>33</v>
      </c>
      <c r="E1552" t="s">
        <v>641</v>
      </c>
      <c r="F1552" t="s">
        <v>1159</v>
      </c>
      <c r="G1552" t="s">
        <v>643</v>
      </c>
      <c r="H1552">
        <v>48</v>
      </c>
      <c r="I1552" t="s">
        <v>644</v>
      </c>
      <c r="J1552">
        <v>5700</v>
      </c>
      <c r="K1552" s="1">
        <v>44079</v>
      </c>
      <c r="L1552">
        <v>2020</v>
      </c>
      <c r="M1552" t="str">
        <f>UPPER(TEXT(_2020_2022[[#This Row],[Data da Venda]],"mmm"))</f>
        <v>SET</v>
      </c>
    </row>
    <row r="1553" spans="1:13" x14ac:dyDescent="0.25">
      <c r="A1553" t="s">
        <v>26</v>
      </c>
      <c r="B1553">
        <v>1100</v>
      </c>
      <c r="C1553">
        <v>1</v>
      </c>
      <c r="D1553" t="s">
        <v>29</v>
      </c>
      <c r="E1553" t="s">
        <v>641</v>
      </c>
      <c r="F1553" t="s">
        <v>1320</v>
      </c>
      <c r="G1553" t="s">
        <v>643</v>
      </c>
      <c r="H1553">
        <v>41</v>
      </c>
      <c r="I1553" t="s">
        <v>644</v>
      </c>
      <c r="J1553">
        <v>1100</v>
      </c>
      <c r="K1553" s="1">
        <v>43924</v>
      </c>
      <c r="L1553">
        <v>2020</v>
      </c>
      <c r="M1553" t="str">
        <f>UPPER(TEXT(_2020_2022[[#This Row],[Data da Venda]],"mmm"))</f>
        <v>ABR</v>
      </c>
    </row>
    <row r="1554" spans="1:13" x14ac:dyDescent="0.25">
      <c r="A1554" t="s">
        <v>1444</v>
      </c>
      <c r="B1554">
        <v>1500</v>
      </c>
      <c r="C1554">
        <v>1</v>
      </c>
      <c r="D1554" t="s">
        <v>33</v>
      </c>
      <c r="E1554" t="s">
        <v>641</v>
      </c>
      <c r="F1554" t="s">
        <v>1304</v>
      </c>
      <c r="G1554" t="s">
        <v>643</v>
      </c>
      <c r="H1554">
        <v>49</v>
      </c>
      <c r="I1554" t="s">
        <v>644</v>
      </c>
      <c r="J1554">
        <v>1500</v>
      </c>
      <c r="K1554" s="1">
        <v>44096</v>
      </c>
      <c r="L1554">
        <v>2020</v>
      </c>
      <c r="M1554" t="str">
        <f>UPPER(TEXT(_2020_2022[[#This Row],[Data da Venda]],"mmm"))</f>
        <v>SET</v>
      </c>
    </row>
    <row r="1555" spans="1:13" x14ac:dyDescent="0.25">
      <c r="A1555" t="s">
        <v>1441</v>
      </c>
      <c r="B1555">
        <v>1450</v>
      </c>
      <c r="C1555">
        <v>5</v>
      </c>
      <c r="D1555" t="s">
        <v>29</v>
      </c>
      <c r="E1555" t="s">
        <v>641</v>
      </c>
      <c r="F1555" t="s">
        <v>1022</v>
      </c>
      <c r="G1555" t="s">
        <v>650</v>
      </c>
      <c r="H1555">
        <v>61</v>
      </c>
      <c r="I1555" t="s">
        <v>647</v>
      </c>
      <c r="J1555">
        <v>7250</v>
      </c>
      <c r="K1555" s="1">
        <v>44189</v>
      </c>
      <c r="L1555">
        <v>2020</v>
      </c>
      <c r="M1555" t="str">
        <f>UPPER(TEXT(_2020_2022[[#This Row],[Data da Venda]],"mmm"))</f>
        <v>DEZ</v>
      </c>
    </row>
    <row r="1556" spans="1:13" x14ac:dyDescent="0.25">
      <c r="A1556" t="s">
        <v>1443</v>
      </c>
      <c r="B1556">
        <v>1550</v>
      </c>
      <c r="C1556">
        <v>5</v>
      </c>
      <c r="D1556" t="s">
        <v>37</v>
      </c>
      <c r="E1556" t="s">
        <v>645</v>
      </c>
      <c r="F1556" t="s">
        <v>735</v>
      </c>
      <c r="G1556" t="s">
        <v>643</v>
      </c>
      <c r="H1556">
        <v>29</v>
      </c>
      <c r="I1556" t="s">
        <v>651</v>
      </c>
      <c r="J1556">
        <v>7750</v>
      </c>
      <c r="K1556" s="1">
        <v>44065</v>
      </c>
      <c r="L1556">
        <v>2020</v>
      </c>
      <c r="M1556" t="str">
        <f>UPPER(TEXT(_2020_2022[[#This Row],[Data da Venda]],"mmm"))</f>
        <v>AGO</v>
      </c>
    </row>
    <row r="1557" spans="1:13" x14ac:dyDescent="0.25">
      <c r="A1557" t="s">
        <v>7</v>
      </c>
      <c r="B1557">
        <v>750</v>
      </c>
      <c r="C1557">
        <v>4</v>
      </c>
      <c r="D1557" t="s">
        <v>40</v>
      </c>
      <c r="E1557" t="s">
        <v>657</v>
      </c>
      <c r="F1557" t="s">
        <v>1150</v>
      </c>
      <c r="G1557" t="s">
        <v>643</v>
      </c>
      <c r="H1557">
        <v>25</v>
      </c>
      <c r="I1557" t="s">
        <v>651</v>
      </c>
      <c r="J1557">
        <v>3000</v>
      </c>
      <c r="K1557" s="1">
        <v>44087</v>
      </c>
      <c r="L1557">
        <v>2020</v>
      </c>
      <c r="M1557" t="str">
        <f>UPPER(TEXT(_2020_2022[[#This Row],[Data da Venda]],"mmm"))</f>
        <v>SET</v>
      </c>
    </row>
    <row r="1558" spans="1:13" x14ac:dyDescent="0.25">
      <c r="A1558" t="s">
        <v>28</v>
      </c>
      <c r="B1558">
        <v>1400</v>
      </c>
      <c r="C1558">
        <v>2</v>
      </c>
      <c r="D1558" t="s">
        <v>30</v>
      </c>
      <c r="E1558" t="s">
        <v>645</v>
      </c>
      <c r="F1558" t="s">
        <v>915</v>
      </c>
      <c r="G1558" t="s">
        <v>643</v>
      </c>
      <c r="H1558">
        <v>54</v>
      </c>
      <c r="I1558" t="s">
        <v>647</v>
      </c>
      <c r="J1558">
        <v>2800</v>
      </c>
      <c r="K1558" s="1">
        <v>43888</v>
      </c>
      <c r="L1558">
        <v>2020</v>
      </c>
      <c r="M1558" t="str">
        <f>UPPER(TEXT(_2020_2022[[#This Row],[Data da Venda]],"mmm"))</f>
        <v>FEV</v>
      </c>
    </row>
    <row r="1559" spans="1:13" x14ac:dyDescent="0.25">
      <c r="A1559" t="s">
        <v>16</v>
      </c>
      <c r="B1559">
        <v>1400</v>
      </c>
      <c r="C1559">
        <v>1</v>
      </c>
      <c r="D1559" t="s">
        <v>34</v>
      </c>
      <c r="E1559" t="s">
        <v>679</v>
      </c>
      <c r="F1559" t="s">
        <v>1321</v>
      </c>
      <c r="G1559" t="s">
        <v>643</v>
      </c>
      <c r="H1559">
        <v>45</v>
      </c>
      <c r="I1559" t="s">
        <v>644</v>
      </c>
      <c r="J1559">
        <v>1400</v>
      </c>
      <c r="K1559" s="1">
        <v>43885</v>
      </c>
      <c r="L1559">
        <v>2020</v>
      </c>
      <c r="M1559" t="str">
        <f>UPPER(TEXT(_2020_2022[[#This Row],[Data da Venda]],"mmm"))</f>
        <v>FEV</v>
      </c>
    </row>
    <row r="1560" spans="1:13" x14ac:dyDescent="0.25">
      <c r="A1560" t="s">
        <v>11</v>
      </c>
      <c r="B1560">
        <v>4500</v>
      </c>
      <c r="C1560">
        <v>4</v>
      </c>
      <c r="D1560" t="s">
        <v>29</v>
      </c>
      <c r="E1560" t="s">
        <v>641</v>
      </c>
      <c r="F1560" t="s">
        <v>957</v>
      </c>
      <c r="G1560" t="s">
        <v>643</v>
      </c>
      <c r="H1560">
        <v>38</v>
      </c>
      <c r="I1560" t="s">
        <v>644</v>
      </c>
      <c r="J1560">
        <v>18000</v>
      </c>
      <c r="K1560" s="1">
        <v>43917</v>
      </c>
      <c r="L1560">
        <v>2020</v>
      </c>
      <c r="M1560" t="str">
        <f>UPPER(TEXT(_2020_2022[[#This Row],[Data da Venda]],"mmm"))</f>
        <v>MAR</v>
      </c>
    </row>
    <row r="1561" spans="1:13" x14ac:dyDescent="0.25">
      <c r="A1561" t="s">
        <v>25</v>
      </c>
      <c r="B1561">
        <v>2500</v>
      </c>
      <c r="C1561">
        <v>1</v>
      </c>
      <c r="D1561" t="s">
        <v>41</v>
      </c>
      <c r="E1561" t="s">
        <v>681</v>
      </c>
      <c r="F1561" t="s">
        <v>1322</v>
      </c>
      <c r="G1561" t="s">
        <v>650</v>
      </c>
      <c r="H1561">
        <v>53</v>
      </c>
      <c r="I1561" t="s">
        <v>647</v>
      </c>
      <c r="J1561">
        <v>2500</v>
      </c>
      <c r="K1561" s="1">
        <v>44140</v>
      </c>
      <c r="L1561">
        <v>2020</v>
      </c>
      <c r="M1561" t="str">
        <f>UPPER(TEXT(_2020_2022[[#This Row],[Data da Venda]],"mmm"))</f>
        <v>NOV</v>
      </c>
    </row>
    <row r="1562" spans="1:13" x14ac:dyDescent="0.25">
      <c r="A1562" t="s">
        <v>20</v>
      </c>
      <c r="B1562">
        <v>2600</v>
      </c>
      <c r="C1562">
        <v>1</v>
      </c>
      <c r="D1562" t="s">
        <v>36</v>
      </c>
      <c r="E1562" t="s">
        <v>677</v>
      </c>
      <c r="F1562" t="s">
        <v>801</v>
      </c>
      <c r="G1562" t="s">
        <v>650</v>
      </c>
      <c r="H1562">
        <v>64</v>
      </c>
      <c r="I1562" t="s">
        <v>647</v>
      </c>
      <c r="J1562">
        <v>2600</v>
      </c>
      <c r="K1562" s="1">
        <v>44091</v>
      </c>
      <c r="L1562">
        <v>2020</v>
      </c>
      <c r="M1562" t="str">
        <f>UPPER(TEXT(_2020_2022[[#This Row],[Data da Venda]],"mmm"))</f>
        <v>SET</v>
      </c>
    </row>
    <row r="1563" spans="1:13" x14ac:dyDescent="0.25">
      <c r="A1563" t="s">
        <v>26</v>
      </c>
      <c r="B1563">
        <v>1100</v>
      </c>
      <c r="C1563">
        <v>2</v>
      </c>
      <c r="D1563" t="s">
        <v>37</v>
      </c>
      <c r="E1563" t="s">
        <v>645</v>
      </c>
      <c r="F1563" t="s">
        <v>1239</v>
      </c>
      <c r="G1563" t="s">
        <v>643</v>
      </c>
      <c r="H1563">
        <v>75</v>
      </c>
      <c r="I1563" t="s">
        <v>647</v>
      </c>
      <c r="J1563">
        <v>2200</v>
      </c>
      <c r="K1563" s="1">
        <v>43988</v>
      </c>
      <c r="L1563">
        <v>2020</v>
      </c>
      <c r="M1563" t="str">
        <f>UPPER(TEXT(_2020_2022[[#This Row],[Data da Venda]],"mmm"))</f>
        <v>JUN</v>
      </c>
    </row>
    <row r="1564" spans="1:13" x14ac:dyDescent="0.25">
      <c r="A1564" t="s">
        <v>1443</v>
      </c>
      <c r="B1564">
        <v>1550</v>
      </c>
      <c r="C1564">
        <v>5</v>
      </c>
      <c r="D1564" t="s">
        <v>39</v>
      </c>
      <c r="E1564" t="s">
        <v>641</v>
      </c>
      <c r="F1564" t="s">
        <v>1255</v>
      </c>
      <c r="G1564" t="s">
        <v>650</v>
      </c>
      <c r="H1564">
        <v>28</v>
      </c>
      <c r="I1564" t="s">
        <v>651</v>
      </c>
      <c r="J1564">
        <v>7750</v>
      </c>
      <c r="K1564" s="1">
        <v>44176</v>
      </c>
      <c r="L1564">
        <v>2020</v>
      </c>
      <c r="M1564" t="str">
        <f>UPPER(TEXT(_2020_2022[[#This Row],[Data da Venda]],"mmm"))</f>
        <v>DEZ</v>
      </c>
    </row>
    <row r="1565" spans="1:13" x14ac:dyDescent="0.25">
      <c r="A1565" t="s">
        <v>28</v>
      </c>
      <c r="B1565">
        <v>1400</v>
      </c>
      <c r="C1565">
        <v>4</v>
      </c>
      <c r="D1565" t="s">
        <v>38</v>
      </c>
      <c r="E1565" t="s">
        <v>648</v>
      </c>
      <c r="F1565" t="s">
        <v>1282</v>
      </c>
      <c r="G1565" t="s">
        <v>643</v>
      </c>
      <c r="H1565">
        <v>74</v>
      </c>
      <c r="I1565" t="s">
        <v>647</v>
      </c>
      <c r="J1565">
        <v>5600</v>
      </c>
      <c r="K1565" s="1">
        <v>44103</v>
      </c>
      <c r="L1565">
        <v>2020</v>
      </c>
      <c r="M1565" t="str">
        <f>UPPER(TEXT(_2020_2022[[#This Row],[Data da Venda]],"mmm"))</f>
        <v>SET</v>
      </c>
    </row>
    <row r="1566" spans="1:13" x14ac:dyDescent="0.25">
      <c r="A1566" t="s">
        <v>22</v>
      </c>
      <c r="B1566">
        <v>5200</v>
      </c>
      <c r="C1566">
        <v>3</v>
      </c>
      <c r="D1566" t="s">
        <v>29</v>
      </c>
      <c r="E1566" t="s">
        <v>641</v>
      </c>
      <c r="F1566" t="s">
        <v>748</v>
      </c>
      <c r="G1566" t="s">
        <v>643</v>
      </c>
      <c r="H1566">
        <v>29</v>
      </c>
      <c r="I1566" t="s">
        <v>651</v>
      </c>
      <c r="J1566">
        <v>15600</v>
      </c>
      <c r="K1566" s="1">
        <v>44048</v>
      </c>
      <c r="L1566">
        <v>2020</v>
      </c>
      <c r="M1566" t="str">
        <f>UPPER(TEXT(_2020_2022[[#This Row],[Data da Venda]],"mmm"))</f>
        <v>AGO</v>
      </c>
    </row>
    <row r="1567" spans="1:13" x14ac:dyDescent="0.25">
      <c r="A1567" t="s">
        <v>14</v>
      </c>
      <c r="B1567">
        <v>2000</v>
      </c>
      <c r="C1567">
        <v>3</v>
      </c>
      <c r="D1567" t="s">
        <v>33</v>
      </c>
      <c r="E1567" t="s">
        <v>641</v>
      </c>
      <c r="F1567" t="s">
        <v>1009</v>
      </c>
      <c r="G1567" t="s">
        <v>650</v>
      </c>
      <c r="H1567">
        <v>40</v>
      </c>
      <c r="I1567" t="s">
        <v>644</v>
      </c>
      <c r="J1567">
        <v>6000</v>
      </c>
      <c r="K1567" s="1">
        <v>43991</v>
      </c>
      <c r="L1567">
        <v>2020</v>
      </c>
      <c r="M1567" t="str">
        <f>UPPER(TEXT(_2020_2022[[#This Row],[Data da Venda]],"mmm"))</f>
        <v>JUN</v>
      </c>
    </row>
    <row r="1568" spans="1:13" x14ac:dyDescent="0.25">
      <c r="A1568" t="s">
        <v>5</v>
      </c>
      <c r="B1568">
        <v>1750</v>
      </c>
      <c r="C1568">
        <v>4</v>
      </c>
      <c r="D1568" t="s">
        <v>30</v>
      </c>
      <c r="E1568" t="s">
        <v>645</v>
      </c>
      <c r="F1568" t="s">
        <v>899</v>
      </c>
      <c r="G1568" t="s">
        <v>650</v>
      </c>
      <c r="H1568">
        <v>69</v>
      </c>
      <c r="I1568" t="s">
        <v>647</v>
      </c>
      <c r="J1568">
        <v>7000</v>
      </c>
      <c r="K1568" s="1">
        <v>43880</v>
      </c>
      <c r="L1568">
        <v>2020</v>
      </c>
      <c r="M1568" t="str">
        <f>UPPER(TEXT(_2020_2022[[#This Row],[Data da Venda]],"mmm"))</f>
        <v>FEV</v>
      </c>
    </row>
    <row r="1569" spans="1:13" x14ac:dyDescent="0.25">
      <c r="A1569" t="s">
        <v>7</v>
      </c>
      <c r="B1569">
        <v>750</v>
      </c>
      <c r="C1569">
        <v>3</v>
      </c>
      <c r="D1569" t="s">
        <v>34</v>
      </c>
      <c r="E1569" t="s">
        <v>679</v>
      </c>
      <c r="F1569" t="s">
        <v>896</v>
      </c>
      <c r="G1569" t="s">
        <v>643</v>
      </c>
      <c r="H1569">
        <v>71</v>
      </c>
      <c r="I1569" t="s">
        <v>647</v>
      </c>
      <c r="J1569">
        <v>2250</v>
      </c>
      <c r="K1569" s="1">
        <v>43985</v>
      </c>
      <c r="L1569">
        <v>2020</v>
      </c>
      <c r="M1569" t="str">
        <f>UPPER(TEXT(_2020_2022[[#This Row],[Data da Venda]],"mmm"))</f>
        <v>JUN</v>
      </c>
    </row>
    <row r="1570" spans="1:13" x14ac:dyDescent="0.25">
      <c r="A1570" t="s">
        <v>1440</v>
      </c>
      <c r="B1570">
        <v>700</v>
      </c>
      <c r="C1570">
        <v>5</v>
      </c>
      <c r="D1570" t="s">
        <v>30</v>
      </c>
      <c r="E1570" t="s">
        <v>645</v>
      </c>
      <c r="F1570" t="s">
        <v>654</v>
      </c>
      <c r="G1570" t="s">
        <v>650</v>
      </c>
      <c r="H1570">
        <v>62</v>
      </c>
      <c r="I1570" t="s">
        <v>647</v>
      </c>
      <c r="J1570">
        <v>3500</v>
      </c>
      <c r="K1570" s="1">
        <v>44159</v>
      </c>
      <c r="L1570">
        <v>2020</v>
      </c>
      <c r="M1570" t="str">
        <f>UPPER(TEXT(_2020_2022[[#This Row],[Data da Venda]],"mmm"))</f>
        <v>NOV</v>
      </c>
    </row>
    <row r="1571" spans="1:13" x14ac:dyDescent="0.25">
      <c r="A1571" t="s">
        <v>18</v>
      </c>
      <c r="B1571">
        <v>3000</v>
      </c>
      <c r="C1571">
        <v>2</v>
      </c>
      <c r="D1571" t="s">
        <v>32</v>
      </c>
      <c r="E1571" t="s">
        <v>652</v>
      </c>
      <c r="F1571" t="s">
        <v>719</v>
      </c>
      <c r="G1571" t="s">
        <v>643</v>
      </c>
      <c r="H1571">
        <v>34</v>
      </c>
      <c r="I1571" t="s">
        <v>644</v>
      </c>
      <c r="J1571">
        <v>6000</v>
      </c>
      <c r="K1571" s="1">
        <v>44140</v>
      </c>
      <c r="L1571">
        <v>2020</v>
      </c>
      <c r="M1571" t="str">
        <f>UPPER(TEXT(_2020_2022[[#This Row],[Data da Venda]],"mmm"))</f>
        <v>NOV</v>
      </c>
    </row>
    <row r="1572" spans="1:13" x14ac:dyDescent="0.25">
      <c r="A1572" t="s">
        <v>11</v>
      </c>
      <c r="B1572">
        <v>4500</v>
      </c>
      <c r="C1572">
        <v>4</v>
      </c>
      <c r="D1572" t="s">
        <v>32</v>
      </c>
      <c r="E1572" t="s">
        <v>652</v>
      </c>
      <c r="F1572" t="s">
        <v>786</v>
      </c>
      <c r="G1572" t="s">
        <v>643</v>
      </c>
      <c r="H1572">
        <v>36</v>
      </c>
      <c r="I1572" t="s">
        <v>644</v>
      </c>
      <c r="J1572">
        <v>18000</v>
      </c>
      <c r="K1572" s="1">
        <v>43839</v>
      </c>
      <c r="L1572">
        <v>2020</v>
      </c>
      <c r="M1572" t="str">
        <f>UPPER(TEXT(_2020_2022[[#This Row],[Data da Venda]],"mmm"))</f>
        <v>JAN</v>
      </c>
    </row>
    <row r="1573" spans="1:13" x14ac:dyDescent="0.25">
      <c r="A1573" t="s">
        <v>22</v>
      </c>
      <c r="B1573">
        <v>5200</v>
      </c>
      <c r="C1573">
        <v>4</v>
      </c>
      <c r="D1573" t="s">
        <v>31</v>
      </c>
      <c r="E1573" t="s">
        <v>645</v>
      </c>
      <c r="F1573" t="s">
        <v>1250</v>
      </c>
      <c r="G1573" t="s">
        <v>650</v>
      </c>
      <c r="H1573">
        <v>59</v>
      </c>
      <c r="I1573" t="s">
        <v>647</v>
      </c>
      <c r="J1573">
        <v>20800</v>
      </c>
      <c r="K1573" s="1">
        <v>43878</v>
      </c>
      <c r="L1573">
        <v>2020</v>
      </c>
      <c r="M1573" t="str">
        <f>UPPER(TEXT(_2020_2022[[#This Row],[Data da Venda]],"mmm"))</f>
        <v>FEV</v>
      </c>
    </row>
    <row r="1574" spans="1:13" x14ac:dyDescent="0.25">
      <c r="A1574" t="s">
        <v>20</v>
      </c>
      <c r="B1574">
        <v>2600</v>
      </c>
      <c r="C1574">
        <v>1</v>
      </c>
      <c r="D1574" t="s">
        <v>41</v>
      </c>
      <c r="E1574" t="s">
        <v>681</v>
      </c>
      <c r="F1574" t="s">
        <v>908</v>
      </c>
      <c r="G1574" t="s">
        <v>643</v>
      </c>
      <c r="H1574">
        <v>40</v>
      </c>
      <c r="I1574" t="s">
        <v>644</v>
      </c>
      <c r="J1574">
        <v>2600</v>
      </c>
      <c r="K1574" s="1">
        <v>44136</v>
      </c>
      <c r="L1574">
        <v>2020</v>
      </c>
      <c r="M1574" t="str">
        <f>UPPER(TEXT(_2020_2022[[#This Row],[Data da Venda]],"mmm"))</f>
        <v>NOV</v>
      </c>
    </row>
    <row r="1575" spans="1:13" x14ac:dyDescent="0.25">
      <c r="A1575" t="s">
        <v>11</v>
      </c>
      <c r="B1575">
        <v>4500</v>
      </c>
      <c r="C1575">
        <v>3</v>
      </c>
      <c r="D1575" t="s">
        <v>30</v>
      </c>
      <c r="E1575" t="s">
        <v>645</v>
      </c>
      <c r="F1575" t="s">
        <v>1323</v>
      </c>
      <c r="G1575" t="s">
        <v>643</v>
      </c>
      <c r="H1575">
        <v>36</v>
      </c>
      <c r="I1575" t="s">
        <v>644</v>
      </c>
      <c r="J1575">
        <v>13500</v>
      </c>
      <c r="K1575" s="1">
        <v>44182</v>
      </c>
      <c r="L1575">
        <v>2020</v>
      </c>
      <c r="M1575" t="str">
        <f>UPPER(TEXT(_2020_2022[[#This Row],[Data da Venda]],"mmm"))</f>
        <v>DEZ</v>
      </c>
    </row>
    <row r="1576" spans="1:13" x14ac:dyDescent="0.25">
      <c r="A1576" t="s">
        <v>1445</v>
      </c>
      <c r="B1576">
        <v>1500</v>
      </c>
      <c r="C1576">
        <v>3</v>
      </c>
      <c r="D1576" t="s">
        <v>29</v>
      </c>
      <c r="E1576" t="s">
        <v>641</v>
      </c>
      <c r="F1576" t="s">
        <v>1195</v>
      </c>
      <c r="G1576" t="s">
        <v>643</v>
      </c>
      <c r="H1576">
        <v>74</v>
      </c>
      <c r="I1576" t="s">
        <v>647</v>
      </c>
      <c r="J1576">
        <v>4500</v>
      </c>
      <c r="K1576" s="1">
        <v>44193</v>
      </c>
      <c r="L1576">
        <v>2020</v>
      </c>
      <c r="M1576" t="str">
        <f>UPPER(TEXT(_2020_2022[[#This Row],[Data da Venda]],"mmm"))</f>
        <v>DEZ</v>
      </c>
    </row>
    <row r="1577" spans="1:13" x14ac:dyDescent="0.25">
      <c r="A1577" t="s">
        <v>1443</v>
      </c>
      <c r="B1577">
        <v>1550</v>
      </c>
      <c r="C1577">
        <v>1</v>
      </c>
      <c r="D1577" t="s">
        <v>33</v>
      </c>
      <c r="E1577" t="s">
        <v>641</v>
      </c>
      <c r="F1577" t="s">
        <v>1032</v>
      </c>
      <c r="G1577" t="s">
        <v>650</v>
      </c>
      <c r="H1577">
        <v>33</v>
      </c>
      <c r="I1577" t="s">
        <v>644</v>
      </c>
      <c r="J1577">
        <v>1550</v>
      </c>
      <c r="K1577" s="1">
        <v>44123</v>
      </c>
      <c r="L1577">
        <v>2020</v>
      </c>
      <c r="M1577" t="str">
        <f>UPPER(TEXT(_2020_2022[[#This Row],[Data da Venda]],"mmm"))</f>
        <v>OUT</v>
      </c>
    </row>
    <row r="1578" spans="1:13" x14ac:dyDescent="0.25">
      <c r="A1578" t="s">
        <v>28</v>
      </c>
      <c r="B1578">
        <v>1400</v>
      </c>
      <c r="C1578">
        <v>5</v>
      </c>
      <c r="D1578" t="s">
        <v>29</v>
      </c>
      <c r="E1578" t="s">
        <v>641</v>
      </c>
      <c r="F1578" t="s">
        <v>1093</v>
      </c>
      <c r="G1578" t="s">
        <v>650</v>
      </c>
      <c r="H1578">
        <v>50</v>
      </c>
      <c r="I1578" t="s">
        <v>644</v>
      </c>
      <c r="J1578">
        <v>7000</v>
      </c>
      <c r="K1578" s="1">
        <v>44039</v>
      </c>
      <c r="L1578">
        <v>2020</v>
      </c>
      <c r="M1578" t="str">
        <f>UPPER(TEXT(_2020_2022[[#This Row],[Data da Venda]],"mmm"))</f>
        <v>JUL</v>
      </c>
    </row>
    <row r="1579" spans="1:13" x14ac:dyDescent="0.25">
      <c r="A1579" t="s">
        <v>11</v>
      </c>
      <c r="B1579">
        <v>4500</v>
      </c>
      <c r="C1579">
        <v>4</v>
      </c>
      <c r="D1579" t="s">
        <v>37</v>
      </c>
      <c r="E1579" t="s">
        <v>645</v>
      </c>
      <c r="F1579" t="s">
        <v>1324</v>
      </c>
      <c r="G1579" t="s">
        <v>643</v>
      </c>
      <c r="H1579">
        <v>66</v>
      </c>
      <c r="I1579" t="s">
        <v>647</v>
      </c>
      <c r="J1579">
        <v>18000</v>
      </c>
      <c r="K1579" s="1">
        <v>43926</v>
      </c>
      <c r="L1579">
        <v>2020</v>
      </c>
      <c r="M1579" t="str">
        <f>UPPER(TEXT(_2020_2022[[#This Row],[Data da Venda]],"mmm"))</f>
        <v>ABR</v>
      </c>
    </row>
    <row r="1580" spans="1:13" x14ac:dyDescent="0.25">
      <c r="A1580" t="s">
        <v>20</v>
      </c>
      <c r="B1580">
        <v>2600</v>
      </c>
      <c r="C1580">
        <v>5</v>
      </c>
      <c r="D1580" t="s">
        <v>34</v>
      </c>
      <c r="E1580" t="s">
        <v>679</v>
      </c>
      <c r="F1580" t="s">
        <v>945</v>
      </c>
      <c r="G1580" t="s">
        <v>643</v>
      </c>
      <c r="H1580">
        <v>51</v>
      </c>
      <c r="I1580" t="s">
        <v>647</v>
      </c>
      <c r="J1580">
        <v>13000</v>
      </c>
      <c r="K1580" s="1">
        <v>43875</v>
      </c>
      <c r="L1580">
        <v>2020</v>
      </c>
      <c r="M1580" t="str">
        <f>UPPER(TEXT(_2020_2022[[#This Row],[Data da Venda]],"mmm"))</f>
        <v>FEV</v>
      </c>
    </row>
    <row r="1581" spans="1:13" x14ac:dyDescent="0.25">
      <c r="A1581" t="s">
        <v>8</v>
      </c>
      <c r="B1581">
        <v>5500</v>
      </c>
      <c r="C1581">
        <v>4</v>
      </c>
      <c r="D1581" t="s">
        <v>31</v>
      </c>
      <c r="E1581" t="s">
        <v>645</v>
      </c>
      <c r="F1581" t="s">
        <v>1045</v>
      </c>
      <c r="G1581" t="s">
        <v>650</v>
      </c>
      <c r="H1581">
        <v>28</v>
      </c>
      <c r="I1581" t="s">
        <v>651</v>
      </c>
      <c r="J1581">
        <v>22000</v>
      </c>
      <c r="K1581" s="1">
        <v>44156</v>
      </c>
      <c r="L1581">
        <v>2020</v>
      </c>
      <c r="M1581" t="str">
        <f>UPPER(TEXT(_2020_2022[[#This Row],[Data da Venda]],"mmm"))</f>
        <v>NOV</v>
      </c>
    </row>
    <row r="1582" spans="1:13" x14ac:dyDescent="0.25">
      <c r="A1582" t="s">
        <v>7</v>
      </c>
      <c r="B1582">
        <v>750</v>
      </c>
      <c r="C1582">
        <v>2</v>
      </c>
      <c r="D1582" t="s">
        <v>30</v>
      </c>
      <c r="E1582" t="s">
        <v>645</v>
      </c>
      <c r="F1582" t="s">
        <v>955</v>
      </c>
      <c r="G1582" t="s">
        <v>643</v>
      </c>
      <c r="H1582">
        <v>75</v>
      </c>
      <c r="I1582" t="s">
        <v>647</v>
      </c>
      <c r="J1582">
        <v>1500</v>
      </c>
      <c r="K1582" s="1">
        <v>44125</v>
      </c>
      <c r="L1582">
        <v>2020</v>
      </c>
      <c r="M1582" t="str">
        <f>UPPER(TEXT(_2020_2022[[#This Row],[Data da Venda]],"mmm"))</f>
        <v>OUT</v>
      </c>
    </row>
    <row r="1583" spans="1:13" x14ac:dyDescent="0.25">
      <c r="A1583" t="s">
        <v>15</v>
      </c>
      <c r="B1583">
        <v>1900</v>
      </c>
      <c r="C1583">
        <v>5</v>
      </c>
      <c r="D1583" t="s">
        <v>30</v>
      </c>
      <c r="E1583" t="s">
        <v>645</v>
      </c>
      <c r="F1583" t="s">
        <v>1219</v>
      </c>
      <c r="G1583" t="s">
        <v>643</v>
      </c>
      <c r="H1583">
        <v>69</v>
      </c>
      <c r="I1583" t="s">
        <v>647</v>
      </c>
      <c r="J1583">
        <v>9500</v>
      </c>
      <c r="K1583" s="1">
        <v>44044</v>
      </c>
      <c r="L1583">
        <v>2020</v>
      </c>
      <c r="M1583" t="str">
        <f>UPPER(TEXT(_2020_2022[[#This Row],[Data da Venda]],"mmm"))</f>
        <v>AGO</v>
      </c>
    </row>
    <row r="1584" spans="1:13" x14ac:dyDescent="0.25">
      <c r="A1584" t="s">
        <v>18</v>
      </c>
      <c r="B1584">
        <v>3000</v>
      </c>
      <c r="C1584">
        <v>3</v>
      </c>
      <c r="D1584" t="s">
        <v>36</v>
      </c>
      <c r="E1584" t="s">
        <v>677</v>
      </c>
      <c r="F1584" t="s">
        <v>1036</v>
      </c>
      <c r="G1584" t="s">
        <v>650</v>
      </c>
      <c r="H1584">
        <v>49</v>
      </c>
      <c r="I1584" t="s">
        <v>644</v>
      </c>
      <c r="J1584">
        <v>9000</v>
      </c>
      <c r="K1584" s="1">
        <v>44122</v>
      </c>
      <c r="L1584">
        <v>2020</v>
      </c>
      <c r="M1584" t="str">
        <f>UPPER(TEXT(_2020_2022[[#This Row],[Data da Venda]],"mmm"))</f>
        <v>OUT</v>
      </c>
    </row>
    <row r="1585" spans="1:13" x14ac:dyDescent="0.25">
      <c r="A1585" t="s">
        <v>22</v>
      </c>
      <c r="B1585">
        <v>5200</v>
      </c>
      <c r="C1585">
        <v>5</v>
      </c>
      <c r="D1585" t="s">
        <v>30</v>
      </c>
      <c r="E1585" t="s">
        <v>645</v>
      </c>
      <c r="F1585" t="s">
        <v>725</v>
      </c>
      <c r="G1585" t="s">
        <v>650</v>
      </c>
      <c r="H1585">
        <v>36</v>
      </c>
      <c r="I1585" t="s">
        <v>644</v>
      </c>
      <c r="J1585">
        <v>26000</v>
      </c>
      <c r="K1585" s="1">
        <v>43992</v>
      </c>
      <c r="L1585">
        <v>2020</v>
      </c>
      <c r="M1585" t="str">
        <f>UPPER(TEXT(_2020_2022[[#This Row],[Data da Venda]],"mmm"))</f>
        <v>JUN</v>
      </c>
    </row>
    <row r="1586" spans="1:13" x14ac:dyDescent="0.25">
      <c r="A1586" t="s">
        <v>1445</v>
      </c>
      <c r="B1586">
        <v>1500</v>
      </c>
      <c r="C1586">
        <v>1</v>
      </c>
      <c r="D1586" t="s">
        <v>37</v>
      </c>
      <c r="E1586" t="s">
        <v>645</v>
      </c>
      <c r="F1586" t="s">
        <v>838</v>
      </c>
      <c r="G1586" t="s">
        <v>643</v>
      </c>
      <c r="H1586">
        <v>54</v>
      </c>
      <c r="I1586" t="s">
        <v>647</v>
      </c>
      <c r="J1586">
        <v>1500</v>
      </c>
      <c r="K1586" s="1">
        <v>43928</v>
      </c>
      <c r="L1586">
        <v>2020</v>
      </c>
      <c r="M1586" t="str">
        <f>UPPER(TEXT(_2020_2022[[#This Row],[Data da Venda]],"mmm"))</f>
        <v>ABR</v>
      </c>
    </row>
    <row r="1587" spans="1:13" x14ac:dyDescent="0.25">
      <c r="A1587" t="s">
        <v>1443</v>
      </c>
      <c r="B1587">
        <v>1550</v>
      </c>
      <c r="C1587">
        <v>3</v>
      </c>
      <c r="D1587" t="s">
        <v>38</v>
      </c>
      <c r="E1587" t="s">
        <v>648</v>
      </c>
      <c r="F1587" t="s">
        <v>901</v>
      </c>
      <c r="G1587" t="s">
        <v>643</v>
      </c>
      <c r="H1587">
        <v>66</v>
      </c>
      <c r="I1587" t="s">
        <v>647</v>
      </c>
      <c r="J1587">
        <v>4650</v>
      </c>
      <c r="K1587" s="1">
        <v>43881</v>
      </c>
      <c r="L1587">
        <v>2020</v>
      </c>
      <c r="M1587" t="str">
        <f>UPPER(TEXT(_2020_2022[[#This Row],[Data da Venda]],"mmm"))</f>
        <v>FEV</v>
      </c>
    </row>
    <row r="1588" spans="1:13" x14ac:dyDescent="0.25">
      <c r="A1588" t="s">
        <v>1444</v>
      </c>
      <c r="B1588">
        <v>1500</v>
      </c>
      <c r="C1588">
        <v>1</v>
      </c>
      <c r="D1588" t="s">
        <v>35</v>
      </c>
      <c r="E1588" t="s">
        <v>666</v>
      </c>
      <c r="F1588" t="s">
        <v>1052</v>
      </c>
      <c r="G1588" t="s">
        <v>650</v>
      </c>
      <c r="H1588">
        <v>31</v>
      </c>
      <c r="I1588" t="s">
        <v>644</v>
      </c>
      <c r="J1588">
        <v>1500</v>
      </c>
      <c r="K1588" s="1">
        <v>44140</v>
      </c>
      <c r="L1588">
        <v>2020</v>
      </c>
      <c r="M1588" t="str">
        <f>UPPER(TEXT(_2020_2022[[#This Row],[Data da Venda]],"mmm"))</f>
        <v>NOV</v>
      </c>
    </row>
    <row r="1589" spans="1:13" x14ac:dyDescent="0.25">
      <c r="A1589" t="s">
        <v>9</v>
      </c>
      <c r="B1589">
        <v>1500</v>
      </c>
      <c r="C1589">
        <v>1</v>
      </c>
      <c r="D1589" t="s">
        <v>29</v>
      </c>
      <c r="E1589" t="s">
        <v>641</v>
      </c>
      <c r="F1589" t="s">
        <v>912</v>
      </c>
      <c r="G1589" t="s">
        <v>650</v>
      </c>
      <c r="H1589">
        <v>39</v>
      </c>
      <c r="I1589" t="s">
        <v>644</v>
      </c>
      <c r="J1589">
        <v>1500</v>
      </c>
      <c r="K1589" s="1">
        <v>44057</v>
      </c>
      <c r="L1589">
        <v>2020</v>
      </c>
      <c r="M1589" t="str">
        <f>UPPER(TEXT(_2020_2022[[#This Row],[Data da Venda]],"mmm"))</f>
        <v>AGO</v>
      </c>
    </row>
    <row r="1590" spans="1:13" x14ac:dyDescent="0.25">
      <c r="A1590" t="s">
        <v>24</v>
      </c>
      <c r="B1590">
        <v>2000</v>
      </c>
      <c r="C1590">
        <v>2</v>
      </c>
      <c r="D1590" t="s">
        <v>40</v>
      </c>
      <c r="E1590" t="s">
        <v>657</v>
      </c>
      <c r="F1590" t="s">
        <v>766</v>
      </c>
      <c r="G1590" t="s">
        <v>650</v>
      </c>
      <c r="H1590">
        <v>41</v>
      </c>
      <c r="I1590" t="s">
        <v>644</v>
      </c>
      <c r="J1590">
        <v>4000</v>
      </c>
      <c r="K1590" s="1">
        <v>43976</v>
      </c>
      <c r="L1590">
        <v>2020</v>
      </c>
      <c r="M1590" t="str">
        <f>UPPER(TEXT(_2020_2022[[#This Row],[Data da Venda]],"mmm"))</f>
        <v>MAI</v>
      </c>
    </row>
    <row r="1591" spans="1:13" x14ac:dyDescent="0.25">
      <c r="A1591" t="s">
        <v>9</v>
      </c>
      <c r="B1591">
        <v>1500</v>
      </c>
      <c r="C1591">
        <v>4</v>
      </c>
      <c r="D1591" t="s">
        <v>40</v>
      </c>
      <c r="E1591" t="s">
        <v>657</v>
      </c>
      <c r="F1591" t="s">
        <v>1179</v>
      </c>
      <c r="G1591" t="s">
        <v>643</v>
      </c>
      <c r="H1591">
        <v>55</v>
      </c>
      <c r="I1591" t="s">
        <v>647</v>
      </c>
      <c r="J1591">
        <v>6000</v>
      </c>
      <c r="K1591" s="1">
        <v>43913</v>
      </c>
      <c r="L1591">
        <v>2020</v>
      </c>
      <c r="M1591" t="str">
        <f>UPPER(TEXT(_2020_2022[[#This Row],[Data da Venda]],"mmm"))</f>
        <v>MAR</v>
      </c>
    </row>
    <row r="1592" spans="1:13" x14ac:dyDescent="0.25">
      <c r="A1592" t="s">
        <v>13</v>
      </c>
      <c r="B1592">
        <v>2300</v>
      </c>
      <c r="C1592">
        <v>1</v>
      </c>
      <c r="D1592" t="s">
        <v>37</v>
      </c>
      <c r="E1592" t="s">
        <v>645</v>
      </c>
      <c r="F1592" t="s">
        <v>1294</v>
      </c>
      <c r="G1592" t="s">
        <v>643</v>
      </c>
      <c r="H1592">
        <v>59</v>
      </c>
      <c r="I1592" t="s">
        <v>647</v>
      </c>
      <c r="J1592">
        <v>2300</v>
      </c>
      <c r="K1592" s="1">
        <v>43879</v>
      </c>
      <c r="L1592">
        <v>2020</v>
      </c>
      <c r="M1592" t="str">
        <f>UPPER(TEXT(_2020_2022[[#This Row],[Data da Venda]],"mmm"))</f>
        <v>FEV</v>
      </c>
    </row>
    <row r="1593" spans="1:13" x14ac:dyDescent="0.25">
      <c r="A1593" t="s">
        <v>7</v>
      </c>
      <c r="B1593">
        <v>750</v>
      </c>
      <c r="C1593">
        <v>4</v>
      </c>
      <c r="D1593" t="s">
        <v>32</v>
      </c>
      <c r="E1593" t="s">
        <v>652</v>
      </c>
      <c r="F1593" t="s">
        <v>719</v>
      </c>
      <c r="G1593" t="s">
        <v>643</v>
      </c>
      <c r="H1593">
        <v>34</v>
      </c>
      <c r="I1593" t="s">
        <v>644</v>
      </c>
      <c r="J1593">
        <v>3000</v>
      </c>
      <c r="K1593" s="1">
        <v>44100</v>
      </c>
      <c r="L1593">
        <v>2020</v>
      </c>
      <c r="M1593" t="str">
        <f>UPPER(TEXT(_2020_2022[[#This Row],[Data da Venda]],"mmm"))</f>
        <v>SET</v>
      </c>
    </row>
    <row r="1594" spans="1:13" x14ac:dyDescent="0.25">
      <c r="A1594" t="s">
        <v>1442</v>
      </c>
      <c r="B1594">
        <v>1200</v>
      </c>
      <c r="C1594">
        <v>5</v>
      </c>
      <c r="D1594" t="s">
        <v>29</v>
      </c>
      <c r="E1594" t="s">
        <v>641</v>
      </c>
      <c r="F1594" t="s">
        <v>1325</v>
      </c>
      <c r="G1594" t="s">
        <v>643</v>
      </c>
      <c r="H1594">
        <v>55</v>
      </c>
      <c r="I1594" t="s">
        <v>647</v>
      </c>
      <c r="J1594">
        <v>6000</v>
      </c>
      <c r="K1594" s="1">
        <v>44175</v>
      </c>
      <c r="L1594">
        <v>2020</v>
      </c>
      <c r="M1594" t="str">
        <f>UPPER(TEXT(_2020_2022[[#This Row],[Data da Venda]],"mmm"))</f>
        <v>DEZ</v>
      </c>
    </row>
    <row r="1595" spans="1:13" x14ac:dyDescent="0.25">
      <c r="A1595" t="s">
        <v>1440</v>
      </c>
      <c r="B1595">
        <v>700</v>
      </c>
      <c r="C1595">
        <v>2</v>
      </c>
      <c r="D1595" t="s">
        <v>41</v>
      </c>
      <c r="E1595" t="s">
        <v>681</v>
      </c>
      <c r="F1595" t="s">
        <v>1152</v>
      </c>
      <c r="G1595" t="s">
        <v>650</v>
      </c>
      <c r="H1595">
        <v>49</v>
      </c>
      <c r="I1595" t="s">
        <v>644</v>
      </c>
      <c r="J1595">
        <v>1400</v>
      </c>
      <c r="K1595" s="1">
        <v>43867</v>
      </c>
      <c r="L1595">
        <v>2020</v>
      </c>
      <c r="M1595" t="str">
        <f>UPPER(TEXT(_2020_2022[[#This Row],[Data da Venda]],"mmm"))</f>
        <v>FEV</v>
      </c>
    </row>
    <row r="1596" spans="1:13" x14ac:dyDescent="0.25">
      <c r="A1596" t="s">
        <v>24</v>
      </c>
      <c r="B1596">
        <v>2000</v>
      </c>
      <c r="C1596">
        <v>1</v>
      </c>
      <c r="D1596" t="s">
        <v>39</v>
      </c>
      <c r="E1596" t="s">
        <v>641</v>
      </c>
      <c r="F1596" t="s">
        <v>1247</v>
      </c>
      <c r="G1596" t="s">
        <v>643</v>
      </c>
      <c r="H1596">
        <v>43</v>
      </c>
      <c r="I1596" t="s">
        <v>644</v>
      </c>
      <c r="J1596">
        <v>2000</v>
      </c>
      <c r="K1596" s="1">
        <v>43957</v>
      </c>
      <c r="L1596">
        <v>2020</v>
      </c>
      <c r="M1596" t="str">
        <f>UPPER(TEXT(_2020_2022[[#This Row],[Data da Venda]],"mmm"))</f>
        <v>MAI</v>
      </c>
    </row>
    <row r="1597" spans="1:13" x14ac:dyDescent="0.25">
      <c r="A1597" t="s">
        <v>1443</v>
      </c>
      <c r="B1597">
        <v>1550</v>
      </c>
      <c r="C1597">
        <v>5</v>
      </c>
      <c r="D1597" t="s">
        <v>34</v>
      </c>
      <c r="E1597" t="s">
        <v>679</v>
      </c>
      <c r="F1597" t="s">
        <v>1326</v>
      </c>
      <c r="G1597" t="s">
        <v>643</v>
      </c>
      <c r="H1597">
        <v>62</v>
      </c>
      <c r="I1597" t="s">
        <v>647</v>
      </c>
      <c r="J1597">
        <v>7750</v>
      </c>
      <c r="K1597" s="1">
        <v>44120</v>
      </c>
      <c r="L1597">
        <v>2020</v>
      </c>
      <c r="M1597" t="str">
        <f>UPPER(TEXT(_2020_2022[[#This Row],[Data da Venda]],"mmm"))</f>
        <v>OUT</v>
      </c>
    </row>
    <row r="1598" spans="1:13" x14ac:dyDescent="0.25">
      <c r="A1598" t="s">
        <v>1441</v>
      </c>
      <c r="B1598">
        <v>1450</v>
      </c>
      <c r="C1598">
        <v>5</v>
      </c>
      <c r="D1598" t="s">
        <v>40</v>
      </c>
      <c r="E1598" t="s">
        <v>657</v>
      </c>
      <c r="F1598" t="s">
        <v>1028</v>
      </c>
      <c r="G1598" t="s">
        <v>650</v>
      </c>
      <c r="H1598">
        <v>55</v>
      </c>
      <c r="I1598" t="s">
        <v>647</v>
      </c>
      <c r="J1598">
        <v>7250</v>
      </c>
      <c r="K1598" s="1">
        <v>43999</v>
      </c>
      <c r="L1598">
        <v>2020</v>
      </c>
      <c r="M1598" t="str">
        <f>UPPER(TEXT(_2020_2022[[#This Row],[Data da Venda]],"mmm"))</f>
        <v>JUN</v>
      </c>
    </row>
    <row r="1599" spans="1:13" x14ac:dyDescent="0.25">
      <c r="A1599" t="s">
        <v>18</v>
      </c>
      <c r="B1599">
        <v>3000</v>
      </c>
      <c r="C1599">
        <v>3</v>
      </c>
      <c r="D1599" t="s">
        <v>31</v>
      </c>
      <c r="E1599" t="s">
        <v>645</v>
      </c>
      <c r="F1599" t="s">
        <v>862</v>
      </c>
      <c r="G1599" t="s">
        <v>650</v>
      </c>
      <c r="H1599">
        <v>71</v>
      </c>
      <c r="I1599" t="s">
        <v>647</v>
      </c>
      <c r="J1599">
        <v>9000</v>
      </c>
      <c r="K1599" s="1">
        <v>43854</v>
      </c>
      <c r="L1599">
        <v>2020</v>
      </c>
      <c r="M1599" t="str">
        <f>UPPER(TEXT(_2020_2022[[#This Row],[Data da Venda]],"mmm"))</f>
        <v>JAN</v>
      </c>
    </row>
    <row r="1600" spans="1:13" x14ac:dyDescent="0.25">
      <c r="A1600" t="s">
        <v>22</v>
      </c>
      <c r="B1600">
        <v>5200</v>
      </c>
      <c r="C1600">
        <v>4</v>
      </c>
      <c r="D1600" t="s">
        <v>33</v>
      </c>
      <c r="E1600" t="s">
        <v>641</v>
      </c>
      <c r="F1600" t="s">
        <v>854</v>
      </c>
      <c r="G1600" t="s">
        <v>643</v>
      </c>
      <c r="H1600">
        <v>46</v>
      </c>
      <c r="I1600" t="s">
        <v>644</v>
      </c>
      <c r="J1600">
        <v>20800</v>
      </c>
      <c r="K1600" s="1">
        <v>43874</v>
      </c>
      <c r="L1600">
        <v>2020</v>
      </c>
      <c r="M1600" t="str">
        <f>UPPER(TEXT(_2020_2022[[#This Row],[Data da Venda]],"mmm"))</f>
        <v>FEV</v>
      </c>
    </row>
    <row r="1601" spans="1:13" x14ac:dyDescent="0.25">
      <c r="A1601" t="s">
        <v>13</v>
      </c>
      <c r="B1601">
        <v>2300</v>
      </c>
      <c r="C1601">
        <v>4</v>
      </c>
      <c r="D1601" t="s">
        <v>41</v>
      </c>
      <c r="E1601" t="s">
        <v>681</v>
      </c>
      <c r="F1601" t="s">
        <v>1327</v>
      </c>
      <c r="G1601" t="s">
        <v>650</v>
      </c>
      <c r="H1601">
        <v>49</v>
      </c>
      <c r="I1601" t="s">
        <v>644</v>
      </c>
      <c r="J1601">
        <v>9200</v>
      </c>
      <c r="K1601" s="1">
        <v>43956</v>
      </c>
      <c r="L1601">
        <v>2020</v>
      </c>
      <c r="M1601" t="str">
        <f>UPPER(TEXT(_2020_2022[[#This Row],[Data da Venda]],"mmm"))</f>
        <v>MAI</v>
      </c>
    </row>
    <row r="1602" spans="1:13" x14ac:dyDescent="0.25">
      <c r="A1602" t="s">
        <v>24</v>
      </c>
      <c r="B1602">
        <v>2000</v>
      </c>
      <c r="C1602">
        <v>1</v>
      </c>
      <c r="D1602" t="s">
        <v>29</v>
      </c>
      <c r="E1602" t="s">
        <v>641</v>
      </c>
      <c r="F1602" t="s">
        <v>912</v>
      </c>
      <c r="G1602" t="s">
        <v>650</v>
      </c>
      <c r="H1602">
        <v>39</v>
      </c>
      <c r="I1602" t="s">
        <v>644</v>
      </c>
      <c r="J1602">
        <v>2000</v>
      </c>
      <c r="K1602" s="1">
        <v>44118</v>
      </c>
      <c r="L1602">
        <v>2020</v>
      </c>
      <c r="M1602" t="str">
        <f>UPPER(TEXT(_2020_2022[[#This Row],[Data da Venda]],"mmm"))</f>
        <v>OUT</v>
      </c>
    </row>
    <row r="1603" spans="1:13" x14ac:dyDescent="0.25">
      <c r="A1603" t="s">
        <v>24</v>
      </c>
      <c r="B1603">
        <v>2000</v>
      </c>
      <c r="C1603">
        <v>5</v>
      </c>
      <c r="D1603" t="s">
        <v>36</v>
      </c>
      <c r="E1603" t="s">
        <v>677</v>
      </c>
      <c r="F1603" t="s">
        <v>936</v>
      </c>
      <c r="G1603" t="s">
        <v>643</v>
      </c>
      <c r="H1603">
        <v>35</v>
      </c>
      <c r="I1603" t="s">
        <v>644</v>
      </c>
      <c r="J1603">
        <v>10000</v>
      </c>
      <c r="K1603" s="1">
        <v>44059</v>
      </c>
      <c r="L1603">
        <v>2020</v>
      </c>
      <c r="M1603" t="str">
        <f>UPPER(TEXT(_2020_2022[[#This Row],[Data da Venda]],"mmm"))</f>
        <v>AGO</v>
      </c>
    </row>
    <row r="1604" spans="1:13" x14ac:dyDescent="0.25">
      <c r="A1604" t="s">
        <v>12</v>
      </c>
      <c r="B1604">
        <v>6500</v>
      </c>
      <c r="C1604">
        <v>1</v>
      </c>
      <c r="D1604" t="s">
        <v>41</v>
      </c>
      <c r="E1604" t="s">
        <v>681</v>
      </c>
      <c r="F1604" t="s">
        <v>1328</v>
      </c>
      <c r="G1604" t="s">
        <v>643</v>
      </c>
      <c r="H1604">
        <v>58</v>
      </c>
      <c r="I1604" t="s">
        <v>647</v>
      </c>
      <c r="J1604">
        <v>6500</v>
      </c>
      <c r="K1604" s="1">
        <v>43994</v>
      </c>
      <c r="L1604">
        <v>2020</v>
      </c>
      <c r="M1604" t="str">
        <f>UPPER(TEXT(_2020_2022[[#This Row],[Data da Venda]],"mmm"))</f>
        <v>JUN</v>
      </c>
    </row>
    <row r="1605" spans="1:13" x14ac:dyDescent="0.25">
      <c r="A1605" t="s">
        <v>8</v>
      </c>
      <c r="B1605">
        <v>5500</v>
      </c>
      <c r="C1605">
        <v>3</v>
      </c>
      <c r="D1605" t="s">
        <v>32</v>
      </c>
      <c r="E1605" t="s">
        <v>652</v>
      </c>
      <c r="F1605" t="s">
        <v>1098</v>
      </c>
      <c r="G1605" t="s">
        <v>650</v>
      </c>
      <c r="H1605">
        <v>44</v>
      </c>
      <c r="I1605" t="s">
        <v>644</v>
      </c>
      <c r="J1605">
        <v>16500</v>
      </c>
      <c r="K1605" s="1">
        <v>44073</v>
      </c>
      <c r="L1605">
        <v>2020</v>
      </c>
      <c r="M1605" t="str">
        <f>UPPER(TEXT(_2020_2022[[#This Row],[Data da Venda]],"mmm"))</f>
        <v>AGO</v>
      </c>
    </row>
    <row r="1606" spans="1:13" x14ac:dyDescent="0.25">
      <c r="A1606" t="s">
        <v>1440</v>
      </c>
      <c r="B1606">
        <v>700</v>
      </c>
      <c r="C1606">
        <v>2</v>
      </c>
      <c r="D1606" t="s">
        <v>29</v>
      </c>
      <c r="E1606" t="s">
        <v>641</v>
      </c>
      <c r="F1606" t="s">
        <v>982</v>
      </c>
      <c r="G1606" t="s">
        <v>643</v>
      </c>
      <c r="H1606">
        <v>29</v>
      </c>
      <c r="I1606" t="s">
        <v>651</v>
      </c>
      <c r="J1606">
        <v>1400</v>
      </c>
      <c r="K1606" s="1">
        <v>43963</v>
      </c>
      <c r="L1606">
        <v>2020</v>
      </c>
      <c r="M1606" t="str">
        <f>UPPER(TEXT(_2020_2022[[#This Row],[Data da Venda]],"mmm"))</f>
        <v>MAI</v>
      </c>
    </row>
    <row r="1607" spans="1:13" x14ac:dyDescent="0.25">
      <c r="A1607" t="s">
        <v>9</v>
      </c>
      <c r="B1607">
        <v>1500</v>
      </c>
      <c r="C1607">
        <v>4</v>
      </c>
      <c r="D1607" t="s">
        <v>37</v>
      </c>
      <c r="E1607" t="s">
        <v>645</v>
      </c>
      <c r="F1607" t="s">
        <v>949</v>
      </c>
      <c r="G1607" t="s">
        <v>650</v>
      </c>
      <c r="H1607">
        <v>34</v>
      </c>
      <c r="I1607" t="s">
        <v>644</v>
      </c>
      <c r="J1607">
        <v>6000</v>
      </c>
      <c r="K1607" s="1">
        <v>44086</v>
      </c>
      <c r="L1607">
        <v>2020</v>
      </c>
      <c r="M1607" t="str">
        <f>UPPER(TEXT(_2020_2022[[#This Row],[Data da Venda]],"mmm"))</f>
        <v>SET</v>
      </c>
    </row>
    <row r="1608" spans="1:13" x14ac:dyDescent="0.25">
      <c r="A1608" t="s">
        <v>1445</v>
      </c>
      <c r="B1608">
        <v>1500</v>
      </c>
      <c r="C1608">
        <v>2</v>
      </c>
      <c r="D1608" t="s">
        <v>37</v>
      </c>
      <c r="E1608" t="s">
        <v>645</v>
      </c>
      <c r="F1608" t="s">
        <v>1226</v>
      </c>
      <c r="G1608" t="s">
        <v>643</v>
      </c>
      <c r="H1608">
        <v>56</v>
      </c>
      <c r="I1608" t="s">
        <v>647</v>
      </c>
      <c r="J1608">
        <v>3000</v>
      </c>
      <c r="K1608" s="1">
        <v>44095</v>
      </c>
      <c r="L1608">
        <v>2020</v>
      </c>
      <c r="M1608" t="str">
        <f>UPPER(TEXT(_2020_2022[[#This Row],[Data da Venda]],"mmm"))</f>
        <v>SET</v>
      </c>
    </row>
    <row r="1609" spans="1:13" x14ac:dyDescent="0.25">
      <c r="A1609" t="s">
        <v>22</v>
      </c>
      <c r="B1609">
        <v>5200</v>
      </c>
      <c r="C1609">
        <v>5</v>
      </c>
      <c r="D1609" t="s">
        <v>41</v>
      </c>
      <c r="E1609" t="s">
        <v>681</v>
      </c>
      <c r="F1609" t="s">
        <v>1048</v>
      </c>
      <c r="G1609" t="s">
        <v>643</v>
      </c>
      <c r="H1609">
        <v>38</v>
      </c>
      <c r="I1609" t="s">
        <v>644</v>
      </c>
      <c r="J1609">
        <v>26000</v>
      </c>
      <c r="K1609" s="1">
        <v>43951</v>
      </c>
      <c r="L1609">
        <v>2020</v>
      </c>
      <c r="M1609" t="str">
        <f>UPPER(TEXT(_2020_2022[[#This Row],[Data da Venda]],"mmm"))</f>
        <v>ABR</v>
      </c>
    </row>
    <row r="1610" spans="1:13" x14ac:dyDescent="0.25">
      <c r="A1610" t="s">
        <v>12</v>
      </c>
      <c r="B1610">
        <v>6500</v>
      </c>
      <c r="C1610">
        <v>4</v>
      </c>
      <c r="D1610" t="s">
        <v>29</v>
      </c>
      <c r="E1610" t="s">
        <v>641</v>
      </c>
      <c r="F1610" t="s">
        <v>953</v>
      </c>
      <c r="G1610" t="s">
        <v>643</v>
      </c>
      <c r="H1610">
        <v>45</v>
      </c>
      <c r="I1610" t="s">
        <v>644</v>
      </c>
      <c r="J1610">
        <v>26000</v>
      </c>
      <c r="K1610" s="1">
        <v>44175</v>
      </c>
      <c r="L1610">
        <v>2020</v>
      </c>
      <c r="M1610" t="str">
        <f>UPPER(TEXT(_2020_2022[[#This Row],[Data da Venda]],"mmm"))</f>
        <v>DEZ</v>
      </c>
    </row>
    <row r="1611" spans="1:13" x14ac:dyDescent="0.25">
      <c r="A1611" t="s">
        <v>28</v>
      </c>
      <c r="B1611">
        <v>1400</v>
      </c>
      <c r="C1611">
        <v>2</v>
      </c>
      <c r="D1611" t="s">
        <v>29</v>
      </c>
      <c r="E1611" t="s">
        <v>641</v>
      </c>
      <c r="F1611" t="s">
        <v>1329</v>
      </c>
      <c r="G1611" t="s">
        <v>643</v>
      </c>
      <c r="H1611">
        <v>30</v>
      </c>
      <c r="I1611" t="s">
        <v>644</v>
      </c>
      <c r="J1611">
        <v>2800</v>
      </c>
      <c r="K1611" s="1">
        <v>43898</v>
      </c>
      <c r="L1611">
        <v>2020</v>
      </c>
      <c r="M1611" t="str">
        <f>UPPER(TEXT(_2020_2022[[#This Row],[Data da Venda]],"mmm"))</f>
        <v>MAR</v>
      </c>
    </row>
    <row r="1612" spans="1:13" x14ac:dyDescent="0.25">
      <c r="A1612" t="s">
        <v>28</v>
      </c>
      <c r="B1612">
        <v>1400</v>
      </c>
      <c r="C1612">
        <v>4</v>
      </c>
      <c r="D1612" t="s">
        <v>41</v>
      </c>
      <c r="E1612" t="s">
        <v>681</v>
      </c>
      <c r="F1612" t="s">
        <v>682</v>
      </c>
      <c r="G1612" t="s">
        <v>650</v>
      </c>
      <c r="H1612">
        <v>43</v>
      </c>
      <c r="I1612" t="s">
        <v>644</v>
      </c>
      <c r="J1612">
        <v>5600</v>
      </c>
      <c r="K1612" s="1">
        <v>43970</v>
      </c>
      <c r="L1612">
        <v>2020</v>
      </c>
      <c r="M1612" t="str">
        <f>UPPER(TEXT(_2020_2022[[#This Row],[Data da Venda]],"mmm"))</f>
        <v>MAI</v>
      </c>
    </row>
    <row r="1613" spans="1:13" x14ac:dyDescent="0.25">
      <c r="A1613" t="s">
        <v>20</v>
      </c>
      <c r="B1613">
        <v>2600</v>
      </c>
      <c r="C1613">
        <v>5</v>
      </c>
      <c r="D1613" t="s">
        <v>32</v>
      </c>
      <c r="E1613" t="s">
        <v>652</v>
      </c>
      <c r="F1613" t="s">
        <v>653</v>
      </c>
      <c r="G1613" t="s">
        <v>643</v>
      </c>
      <c r="H1613">
        <v>27</v>
      </c>
      <c r="I1613" t="s">
        <v>651</v>
      </c>
      <c r="J1613">
        <v>13000</v>
      </c>
      <c r="K1613" s="1">
        <v>44184</v>
      </c>
      <c r="L1613">
        <v>2020</v>
      </c>
      <c r="M1613" t="str">
        <f>UPPER(TEXT(_2020_2022[[#This Row],[Data da Venda]],"mmm"))</f>
        <v>DEZ</v>
      </c>
    </row>
    <row r="1614" spans="1:13" x14ac:dyDescent="0.25">
      <c r="A1614" t="s">
        <v>1443</v>
      </c>
      <c r="B1614">
        <v>1550</v>
      </c>
      <c r="C1614">
        <v>1</v>
      </c>
      <c r="D1614" t="s">
        <v>38</v>
      </c>
      <c r="E1614" t="s">
        <v>648</v>
      </c>
      <c r="F1614" t="s">
        <v>1236</v>
      </c>
      <c r="G1614" t="s">
        <v>643</v>
      </c>
      <c r="H1614">
        <v>69</v>
      </c>
      <c r="I1614" t="s">
        <v>647</v>
      </c>
      <c r="J1614">
        <v>1550</v>
      </c>
      <c r="K1614" s="1">
        <v>43997</v>
      </c>
      <c r="L1614">
        <v>2020</v>
      </c>
      <c r="M1614" t="str">
        <f>UPPER(TEXT(_2020_2022[[#This Row],[Data da Venda]],"mmm"))</f>
        <v>JUN</v>
      </c>
    </row>
    <row r="1615" spans="1:13" x14ac:dyDescent="0.25">
      <c r="A1615" t="s">
        <v>26</v>
      </c>
      <c r="B1615">
        <v>1100</v>
      </c>
      <c r="C1615">
        <v>3</v>
      </c>
      <c r="D1615" t="s">
        <v>36</v>
      </c>
      <c r="E1615" t="s">
        <v>677</v>
      </c>
      <c r="F1615" t="s">
        <v>1330</v>
      </c>
      <c r="G1615" t="s">
        <v>643</v>
      </c>
      <c r="H1615">
        <v>75</v>
      </c>
      <c r="I1615" t="s">
        <v>647</v>
      </c>
      <c r="J1615">
        <v>3300</v>
      </c>
      <c r="K1615" s="1">
        <v>44094</v>
      </c>
      <c r="L1615">
        <v>2020</v>
      </c>
      <c r="M1615" t="str">
        <f>UPPER(TEXT(_2020_2022[[#This Row],[Data da Venda]],"mmm"))</f>
        <v>SET</v>
      </c>
    </row>
    <row r="1616" spans="1:13" x14ac:dyDescent="0.25">
      <c r="A1616" t="s">
        <v>8</v>
      </c>
      <c r="B1616">
        <v>5500</v>
      </c>
      <c r="C1616">
        <v>4</v>
      </c>
      <c r="D1616" t="s">
        <v>32</v>
      </c>
      <c r="E1616" t="s">
        <v>652</v>
      </c>
      <c r="F1616" t="s">
        <v>1331</v>
      </c>
      <c r="G1616" t="s">
        <v>643</v>
      </c>
      <c r="H1616">
        <v>50</v>
      </c>
      <c r="I1616" t="s">
        <v>644</v>
      </c>
      <c r="J1616">
        <v>22000</v>
      </c>
      <c r="K1616" s="1">
        <v>43839</v>
      </c>
      <c r="L1616">
        <v>2020</v>
      </c>
      <c r="M1616" t="str">
        <f>UPPER(TEXT(_2020_2022[[#This Row],[Data da Venda]],"mmm"))</f>
        <v>JAN</v>
      </c>
    </row>
    <row r="1617" spans="1:13" x14ac:dyDescent="0.25">
      <c r="A1617" t="s">
        <v>1441</v>
      </c>
      <c r="B1617">
        <v>1450</v>
      </c>
      <c r="C1617">
        <v>5</v>
      </c>
      <c r="D1617" t="s">
        <v>34</v>
      </c>
      <c r="E1617" t="s">
        <v>679</v>
      </c>
      <c r="F1617" t="s">
        <v>774</v>
      </c>
      <c r="G1617" t="s">
        <v>643</v>
      </c>
      <c r="H1617">
        <v>45</v>
      </c>
      <c r="I1617" t="s">
        <v>644</v>
      </c>
      <c r="J1617">
        <v>7250</v>
      </c>
      <c r="K1617" s="1">
        <v>44144</v>
      </c>
      <c r="L1617">
        <v>2020</v>
      </c>
      <c r="M1617" t="str">
        <f>UPPER(TEXT(_2020_2022[[#This Row],[Data da Venda]],"mmm"))</f>
        <v>NOV</v>
      </c>
    </row>
    <row r="1618" spans="1:13" x14ac:dyDescent="0.25">
      <c r="A1618" t="s">
        <v>1442</v>
      </c>
      <c r="B1618">
        <v>1200</v>
      </c>
      <c r="C1618">
        <v>4</v>
      </c>
      <c r="D1618" t="s">
        <v>29</v>
      </c>
      <c r="E1618" t="s">
        <v>641</v>
      </c>
      <c r="F1618" t="s">
        <v>1114</v>
      </c>
      <c r="G1618" t="s">
        <v>643</v>
      </c>
      <c r="H1618">
        <v>63</v>
      </c>
      <c r="I1618" t="s">
        <v>647</v>
      </c>
      <c r="J1618">
        <v>4800</v>
      </c>
      <c r="K1618" s="1">
        <v>43859</v>
      </c>
      <c r="L1618">
        <v>2020</v>
      </c>
      <c r="M1618" t="str">
        <f>UPPER(TEXT(_2020_2022[[#This Row],[Data da Venda]],"mmm"))</f>
        <v>JAN</v>
      </c>
    </row>
    <row r="1619" spans="1:13" x14ac:dyDescent="0.25">
      <c r="A1619" t="s">
        <v>11</v>
      </c>
      <c r="B1619">
        <v>4500</v>
      </c>
      <c r="C1619">
        <v>3</v>
      </c>
      <c r="D1619" t="s">
        <v>37</v>
      </c>
      <c r="E1619" t="s">
        <v>645</v>
      </c>
      <c r="F1619" t="s">
        <v>702</v>
      </c>
      <c r="G1619" t="s">
        <v>643</v>
      </c>
      <c r="H1619">
        <v>56</v>
      </c>
      <c r="I1619" t="s">
        <v>647</v>
      </c>
      <c r="J1619">
        <v>13500</v>
      </c>
      <c r="K1619" s="1">
        <v>43906</v>
      </c>
      <c r="L1619">
        <v>2020</v>
      </c>
      <c r="M1619" t="str">
        <f>UPPER(TEXT(_2020_2022[[#This Row],[Data da Venda]],"mmm"))</f>
        <v>MAR</v>
      </c>
    </row>
    <row r="1620" spans="1:13" x14ac:dyDescent="0.25">
      <c r="A1620" t="s">
        <v>12</v>
      </c>
      <c r="B1620">
        <v>6500</v>
      </c>
      <c r="C1620">
        <v>1</v>
      </c>
      <c r="D1620" t="s">
        <v>30</v>
      </c>
      <c r="E1620" t="s">
        <v>645</v>
      </c>
      <c r="F1620" t="s">
        <v>864</v>
      </c>
      <c r="G1620" t="s">
        <v>650</v>
      </c>
      <c r="H1620">
        <v>29</v>
      </c>
      <c r="I1620" t="s">
        <v>651</v>
      </c>
      <c r="J1620">
        <v>6500</v>
      </c>
      <c r="K1620" s="1">
        <v>43837</v>
      </c>
      <c r="L1620">
        <v>2020</v>
      </c>
      <c r="M1620" t="str">
        <f>UPPER(TEXT(_2020_2022[[#This Row],[Data da Venda]],"mmm"))</f>
        <v>JAN</v>
      </c>
    </row>
    <row r="1621" spans="1:13" x14ac:dyDescent="0.25">
      <c r="A1621" t="s">
        <v>1441</v>
      </c>
      <c r="B1621">
        <v>1450</v>
      </c>
      <c r="C1621">
        <v>4</v>
      </c>
      <c r="D1621" t="s">
        <v>31</v>
      </c>
      <c r="E1621" t="s">
        <v>645</v>
      </c>
      <c r="F1621" t="s">
        <v>1184</v>
      </c>
      <c r="G1621" t="s">
        <v>643</v>
      </c>
      <c r="H1621">
        <v>66</v>
      </c>
      <c r="I1621" t="s">
        <v>647</v>
      </c>
      <c r="J1621">
        <v>5800</v>
      </c>
      <c r="K1621" s="1">
        <v>44159</v>
      </c>
      <c r="L1621">
        <v>2020</v>
      </c>
      <c r="M1621" t="str">
        <f>UPPER(TEXT(_2020_2022[[#This Row],[Data da Venda]],"mmm"))</f>
        <v>NOV</v>
      </c>
    </row>
    <row r="1622" spans="1:13" x14ac:dyDescent="0.25">
      <c r="A1622" t="s">
        <v>9</v>
      </c>
      <c r="B1622">
        <v>1500</v>
      </c>
      <c r="C1622">
        <v>1</v>
      </c>
      <c r="D1622" t="s">
        <v>41</v>
      </c>
      <c r="E1622" t="s">
        <v>681</v>
      </c>
      <c r="F1622" t="s">
        <v>948</v>
      </c>
      <c r="G1622" t="s">
        <v>643</v>
      </c>
      <c r="H1622">
        <v>28</v>
      </c>
      <c r="I1622" t="s">
        <v>651</v>
      </c>
      <c r="J1622">
        <v>1500</v>
      </c>
      <c r="K1622" s="1">
        <v>44023</v>
      </c>
      <c r="L1622">
        <v>2020</v>
      </c>
      <c r="M1622" t="str">
        <f>UPPER(TEXT(_2020_2022[[#This Row],[Data da Venda]],"mmm"))</f>
        <v>JUL</v>
      </c>
    </row>
    <row r="1623" spans="1:13" x14ac:dyDescent="0.25">
      <c r="A1623" t="s">
        <v>16</v>
      </c>
      <c r="B1623">
        <v>1400</v>
      </c>
      <c r="C1623">
        <v>1</v>
      </c>
      <c r="D1623" t="s">
        <v>39</v>
      </c>
      <c r="E1623" t="s">
        <v>641</v>
      </c>
      <c r="F1623" t="s">
        <v>1051</v>
      </c>
      <c r="G1623" t="s">
        <v>643</v>
      </c>
      <c r="H1623">
        <v>61</v>
      </c>
      <c r="I1623" t="s">
        <v>647</v>
      </c>
      <c r="J1623">
        <v>1400</v>
      </c>
      <c r="K1623" s="1">
        <v>44163</v>
      </c>
      <c r="L1623">
        <v>2020</v>
      </c>
      <c r="M1623" t="str">
        <f>UPPER(TEXT(_2020_2022[[#This Row],[Data da Venda]],"mmm"))</f>
        <v>NOV</v>
      </c>
    </row>
    <row r="1624" spans="1:13" x14ac:dyDescent="0.25">
      <c r="A1624" t="s">
        <v>26</v>
      </c>
      <c r="B1624">
        <v>1100</v>
      </c>
      <c r="C1624">
        <v>2</v>
      </c>
      <c r="D1624" t="s">
        <v>37</v>
      </c>
      <c r="E1624" t="s">
        <v>645</v>
      </c>
      <c r="F1624" t="s">
        <v>646</v>
      </c>
      <c r="G1624" t="s">
        <v>643</v>
      </c>
      <c r="H1624">
        <v>64</v>
      </c>
      <c r="I1624" t="s">
        <v>647</v>
      </c>
      <c r="J1624">
        <v>2200</v>
      </c>
      <c r="K1624" s="1">
        <v>44124</v>
      </c>
      <c r="L1624">
        <v>2020</v>
      </c>
      <c r="M1624" t="str">
        <f>UPPER(TEXT(_2020_2022[[#This Row],[Data da Venda]],"mmm"))</f>
        <v>OUT</v>
      </c>
    </row>
    <row r="1625" spans="1:13" x14ac:dyDescent="0.25">
      <c r="A1625" t="s">
        <v>20</v>
      </c>
      <c r="B1625">
        <v>2600</v>
      </c>
      <c r="C1625">
        <v>1</v>
      </c>
      <c r="D1625" t="s">
        <v>41</v>
      </c>
      <c r="E1625" t="s">
        <v>681</v>
      </c>
      <c r="F1625" t="s">
        <v>832</v>
      </c>
      <c r="G1625" t="s">
        <v>643</v>
      </c>
      <c r="H1625">
        <v>25</v>
      </c>
      <c r="I1625" t="s">
        <v>651</v>
      </c>
      <c r="J1625">
        <v>2600</v>
      </c>
      <c r="K1625" s="1">
        <v>43939</v>
      </c>
      <c r="L1625">
        <v>2020</v>
      </c>
      <c r="M1625" t="str">
        <f>UPPER(TEXT(_2020_2022[[#This Row],[Data da Venda]],"mmm"))</f>
        <v>ABR</v>
      </c>
    </row>
    <row r="1626" spans="1:13" x14ac:dyDescent="0.25">
      <c r="A1626" t="s">
        <v>12</v>
      </c>
      <c r="B1626">
        <v>6500</v>
      </c>
      <c r="C1626">
        <v>1</v>
      </c>
      <c r="D1626" t="s">
        <v>33</v>
      </c>
      <c r="E1626" t="s">
        <v>641</v>
      </c>
      <c r="F1626" t="s">
        <v>851</v>
      </c>
      <c r="G1626" t="s">
        <v>650</v>
      </c>
      <c r="H1626">
        <v>72</v>
      </c>
      <c r="I1626" t="s">
        <v>647</v>
      </c>
      <c r="J1626">
        <v>6500</v>
      </c>
      <c r="K1626" s="1">
        <v>44127</v>
      </c>
      <c r="L1626">
        <v>2020</v>
      </c>
      <c r="M1626" t="str">
        <f>UPPER(TEXT(_2020_2022[[#This Row],[Data da Venda]],"mmm"))</f>
        <v>OUT</v>
      </c>
    </row>
    <row r="1627" spans="1:13" x14ac:dyDescent="0.25">
      <c r="A1627" t="s">
        <v>25</v>
      </c>
      <c r="B1627">
        <v>2500</v>
      </c>
      <c r="C1627">
        <v>5</v>
      </c>
      <c r="D1627" t="s">
        <v>32</v>
      </c>
      <c r="E1627" t="s">
        <v>652</v>
      </c>
      <c r="F1627" t="s">
        <v>893</v>
      </c>
      <c r="G1627" t="s">
        <v>650</v>
      </c>
      <c r="H1627">
        <v>69</v>
      </c>
      <c r="I1627" t="s">
        <v>647</v>
      </c>
      <c r="J1627">
        <v>12500</v>
      </c>
      <c r="K1627" s="1">
        <v>43884</v>
      </c>
      <c r="L1627">
        <v>2020</v>
      </c>
      <c r="M1627" t="str">
        <f>UPPER(TEXT(_2020_2022[[#This Row],[Data da Venda]],"mmm"))</f>
        <v>FEV</v>
      </c>
    </row>
    <row r="1628" spans="1:13" x14ac:dyDescent="0.25">
      <c r="A1628" t="s">
        <v>1445</v>
      </c>
      <c r="B1628">
        <v>1500</v>
      </c>
      <c r="C1628">
        <v>4</v>
      </c>
      <c r="D1628" t="s">
        <v>36</v>
      </c>
      <c r="E1628" t="s">
        <v>677</v>
      </c>
      <c r="F1628" t="s">
        <v>1087</v>
      </c>
      <c r="G1628" t="s">
        <v>643</v>
      </c>
      <c r="H1628">
        <v>56</v>
      </c>
      <c r="I1628" t="s">
        <v>647</v>
      </c>
      <c r="J1628">
        <v>6000</v>
      </c>
      <c r="K1628" s="1">
        <v>44194</v>
      </c>
      <c r="L1628">
        <v>2020</v>
      </c>
      <c r="M1628" t="str">
        <f>UPPER(TEXT(_2020_2022[[#This Row],[Data da Venda]],"mmm"))</f>
        <v>DEZ</v>
      </c>
    </row>
    <row r="1629" spans="1:13" x14ac:dyDescent="0.25">
      <c r="A1629" t="s">
        <v>28</v>
      </c>
      <c r="B1629">
        <v>1400</v>
      </c>
      <c r="C1629">
        <v>3</v>
      </c>
      <c r="D1629" t="s">
        <v>37</v>
      </c>
      <c r="E1629" t="s">
        <v>645</v>
      </c>
      <c r="F1629" t="s">
        <v>646</v>
      </c>
      <c r="G1629" t="s">
        <v>643</v>
      </c>
      <c r="H1629">
        <v>64</v>
      </c>
      <c r="I1629" t="s">
        <v>647</v>
      </c>
      <c r="J1629">
        <v>4200</v>
      </c>
      <c r="K1629" s="1">
        <v>43897</v>
      </c>
      <c r="L1629">
        <v>2020</v>
      </c>
      <c r="M1629" t="str">
        <f>UPPER(TEXT(_2020_2022[[#This Row],[Data da Venda]],"mmm"))</f>
        <v>MAR</v>
      </c>
    </row>
    <row r="1630" spans="1:13" x14ac:dyDescent="0.25">
      <c r="A1630" t="s">
        <v>9</v>
      </c>
      <c r="B1630">
        <v>1500</v>
      </c>
      <c r="C1630">
        <v>5</v>
      </c>
      <c r="D1630" t="s">
        <v>29</v>
      </c>
      <c r="E1630" t="s">
        <v>641</v>
      </c>
      <c r="F1630" t="s">
        <v>1029</v>
      </c>
      <c r="G1630" t="s">
        <v>643</v>
      </c>
      <c r="H1630">
        <v>44</v>
      </c>
      <c r="I1630" t="s">
        <v>644</v>
      </c>
      <c r="J1630">
        <v>7500</v>
      </c>
      <c r="K1630" s="1">
        <v>44017</v>
      </c>
      <c r="L1630">
        <v>2020</v>
      </c>
      <c r="M1630" t="str">
        <f>UPPER(TEXT(_2020_2022[[#This Row],[Data da Venda]],"mmm"))</f>
        <v>JUL</v>
      </c>
    </row>
    <row r="1631" spans="1:13" x14ac:dyDescent="0.25">
      <c r="A1631" t="s">
        <v>11</v>
      </c>
      <c r="B1631">
        <v>4500</v>
      </c>
      <c r="C1631">
        <v>1</v>
      </c>
      <c r="D1631" t="s">
        <v>41</v>
      </c>
      <c r="E1631" t="s">
        <v>681</v>
      </c>
      <c r="F1631" t="s">
        <v>1303</v>
      </c>
      <c r="G1631" t="s">
        <v>650</v>
      </c>
      <c r="H1631">
        <v>70</v>
      </c>
      <c r="I1631" t="s">
        <v>647</v>
      </c>
      <c r="J1631">
        <v>4500</v>
      </c>
      <c r="K1631" s="1">
        <v>44024</v>
      </c>
      <c r="L1631">
        <v>2020</v>
      </c>
      <c r="M1631" t="str">
        <f>UPPER(TEXT(_2020_2022[[#This Row],[Data da Venda]],"mmm"))</f>
        <v>JUL</v>
      </c>
    </row>
    <row r="1632" spans="1:13" x14ac:dyDescent="0.25">
      <c r="A1632" t="s">
        <v>14</v>
      </c>
      <c r="B1632">
        <v>2000</v>
      </c>
      <c r="C1632">
        <v>2</v>
      </c>
      <c r="D1632" t="s">
        <v>41</v>
      </c>
      <c r="E1632" t="s">
        <v>681</v>
      </c>
      <c r="F1632" t="s">
        <v>682</v>
      </c>
      <c r="G1632" t="s">
        <v>650</v>
      </c>
      <c r="H1632">
        <v>43</v>
      </c>
      <c r="I1632" t="s">
        <v>644</v>
      </c>
      <c r="J1632">
        <v>4000</v>
      </c>
      <c r="K1632" s="1">
        <v>43916</v>
      </c>
      <c r="L1632">
        <v>2020</v>
      </c>
      <c r="M1632" t="str">
        <f>UPPER(TEXT(_2020_2022[[#This Row],[Data da Venda]],"mmm"))</f>
        <v>MAR</v>
      </c>
    </row>
    <row r="1633" spans="1:13" x14ac:dyDescent="0.25">
      <c r="A1633" t="s">
        <v>26</v>
      </c>
      <c r="B1633">
        <v>1100</v>
      </c>
      <c r="C1633">
        <v>1</v>
      </c>
      <c r="D1633" t="s">
        <v>41</v>
      </c>
      <c r="E1633" t="s">
        <v>681</v>
      </c>
      <c r="F1633" t="s">
        <v>832</v>
      </c>
      <c r="G1633" t="s">
        <v>643</v>
      </c>
      <c r="H1633">
        <v>25</v>
      </c>
      <c r="I1633" t="s">
        <v>651</v>
      </c>
      <c r="J1633">
        <v>1100</v>
      </c>
      <c r="K1633" s="1">
        <v>44160</v>
      </c>
      <c r="L1633">
        <v>2020</v>
      </c>
      <c r="M1633" t="str">
        <f>UPPER(TEXT(_2020_2022[[#This Row],[Data da Venda]],"mmm"))</f>
        <v>NOV</v>
      </c>
    </row>
    <row r="1634" spans="1:13" x14ac:dyDescent="0.25">
      <c r="A1634" t="s">
        <v>24</v>
      </c>
      <c r="B1634">
        <v>2000</v>
      </c>
      <c r="C1634">
        <v>5</v>
      </c>
      <c r="D1634" t="s">
        <v>40</v>
      </c>
      <c r="E1634" t="s">
        <v>657</v>
      </c>
      <c r="F1634" t="s">
        <v>1104</v>
      </c>
      <c r="G1634" t="s">
        <v>643</v>
      </c>
      <c r="H1634">
        <v>48</v>
      </c>
      <c r="I1634" t="s">
        <v>644</v>
      </c>
      <c r="J1634">
        <v>10000</v>
      </c>
      <c r="K1634" s="1">
        <v>44087</v>
      </c>
      <c r="L1634">
        <v>2020</v>
      </c>
      <c r="M1634" t="str">
        <f>UPPER(TEXT(_2020_2022[[#This Row],[Data da Venda]],"mmm"))</f>
        <v>SET</v>
      </c>
    </row>
    <row r="1635" spans="1:13" x14ac:dyDescent="0.25">
      <c r="A1635" t="s">
        <v>13</v>
      </c>
      <c r="B1635">
        <v>2300</v>
      </c>
      <c r="C1635">
        <v>1</v>
      </c>
      <c r="D1635" t="s">
        <v>29</v>
      </c>
      <c r="E1635" t="s">
        <v>641</v>
      </c>
      <c r="F1635" t="s">
        <v>872</v>
      </c>
      <c r="G1635" t="s">
        <v>650</v>
      </c>
      <c r="H1635">
        <v>49</v>
      </c>
      <c r="I1635" t="s">
        <v>644</v>
      </c>
      <c r="J1635">
        <v>2300</v>
      </c>
      <c r="K1635" s="1">
        <v>43892</v>
      </c>
      <c r="L1635">
        <v>2020</v>
      </c>
      <c r="M1635" t="str">
        <f>UPPER(TEXT(_2020_2022[[#This Row],[Data da Venda]],"mmm"))</f>
        <v>MAR</v>
      </c>
    </row>
    <row r="1636" spans="1:13" x14ac:dyDescent="0.25">
      <c r="A1636" t="s">
        <v>13</v>
      </c>
      <c r="B1636">
        <v>2300</v>
      </c>
      <c r="C1636">
        <v>3</v>
      </c>
      <c r="D1636" t="s">
        <v>40</v>
      </c>
      <c r="E1636" t="s">
        <v>657</v>
      </c>
      <c r="F1636" t="s">
        <v>1332</v>
      </c>
      <c r="G1636" t="s">
        <v>650</v>
      </c>
      <c r="H1636">
        <v>42</v>
      </c>
      <c r="I1636" t="s">
        <v>644</v>
      </c>
      <c r="J1636">
        <v>6900</v>
      </c>
      <c r="K1636" s="1">
        <v>43903</v>
      </c>
      <c r="L1636">
        <v>2020</v>
      </c>
      <c r="M1636" t="str">
        <f>UPPER(TEXT(_2020_2022[[#This Row],[Data da Venda]],"mmm"))</f>
        <v>MAR</v>
      </c>
    </row>
    <row r="1637" spans="1:13" x14ac:dyDescent="0.25">
      <c r="A1637" t="s">
        <v>11</v>
      </c>
      <c r="B1637">
        <v>4500</v>
      </c>
      <c r="C1637">
        <v>5</v>
      </c>
      <c r="D1637" t="s">
        <v>29</v>
      </c>
      <c r="E1637" t="s">
        <v>641</v>
      </c>
      <c r="F1637" t="s">
        <v>1329</v>
      </c>
      <c r="G1637" t="s">
        <v>643</v>
      </c>
      <c r="H1637">
        <v>30</v>
      </c>
      <c r="I1637" t="s">
        <v>644</v>
      </c>
      <c r="J1637">
        <v>22500</v>
      </c>
      <c r="K1637" s="1">
        <v>43881</v>
      </c>
      <c r="L1637">
        <v>2020</v>
      </c>
      <c r="M1637" t="str">
        <f>UPPER(TEXT(_2020_2022[[#This Row],[Data da Venda]],"mmm"))</f>
        <v>FEV</v>
      </c>
    </row>
    <row r="1638" spans="1:13" x14ac:dyDescent="0.25">
      <c r="A1638" t="s">
        <v>1440</v>
      </c>
      <c r="B1638">
        <v>700</v>
      </c>
      <c r="C1638">
        <v>5</v>
      </c>
      <c r="D1638" t="s">
        <v>41</v>
      </c>
      <c r="E1638" t="s">
        <v>681</v>
      </c>
      <c r="F1638" t="s">
        <v>860</v>
      </c>
      <c r="G1638" t="s">
        <v>643</v>
      </c>
      <c r="H1638">
        <v>42</v>
      </c>
      <c r="I1638" t="s">
        <v>644</v>
      </c>
      <c r="J1638">
        <v>3500</v>
      </c>
      <c r="K1638" s="1">
        <v>44168</v>
      </c>
      <c r="L1638">
        <v>2020</v>
      </c>
      <c r="M1638" t="str">
        <f>UPPER(TEXT(_2020_2022[[#This Row],[Data da Venda]],"mmm"))</f>
        <v>DEZ</v>
      </c>
    </row>
    <row r="1639" spans="1:13" x14ac:dyDescent="0.25">
      <c r="A1639" t="s">
        <v>1445</v>
      </c>
      <c r="B1639">
        <v>1500</v>
      </c>
      <c r="C1639">
        <v>5</v>
      </c>
      <c r="D1639" t="s">
        <v>32</v>
      </c>
      <c r="E1639" t="s">
        <v>652</v>
      </c>
      <c r="F1639" t="s">
        <v>893</v>
      </c>
      <c r="G1639" t="s">
        <v>650</v>
      </c>
      <c r="H1639">
        <v>69</v>
      </c>
      <c r="I1639" t="s">
        <v>647</v>
      </c>
      <c r="J1639">
        <v>7500</v>
      </c>
      <c r="K1639" s="1">
        <v>44032</v>
      </c>
      <c r="L1639">
        <v>2020</v>
      </c>
      <c r="M1639" t="str">
        <f>UPPER(TEXT(_2020_2022[[#This Row],[Data da Venda]],"mmm"))</f>
        <v>JUL</v>
      </c>
    </row>
    <row r="1640" spans="1:13" x14ac:dyDescent="0.25">
      <c r="A1640" t="s">
        <v>1445</v>
      </c>
      <c r="B1640">
        <v>1500</v>
      </c>
      <c r="C1640">
        <v>5</v>
      </c>
      <c r="D1640" t="s">
        <v>39</v>
      </c>
      <c r="E1640" t="s">
        <v>641</v>
      </c>
      <c r="F1640" t="s">
        <v>1163</v>
      </c>
      <c r="G1640" t="s">
        <v>650</v>
      </c>
      <c r="H1640">
        <v>42</v>
      </c>
      <c r="I1640" t="s">
        <v>644</v>
      </c>
      <c r="J1640">
        <v>7500</v>
      </c>
      <c r="K1640" s="1">
        <v>44068</v>
      </c>
      <c r="L1640">
        <v>2020</v>
      </c>
      <c r="M1640" t="str">
        <f>UPPER(TEXT(_2020_2022[[#This Row],[Data da Venda]],"mmm"))</f>
        <v>AGO</v>
      </c>
    </row>
    <row r="1641" spans="1:13" x14ac:dyDescent="0.25">
      <c r="A1641" t="s">
        <v>9</v>
      </c>
      <c r="B1641">
        <v>1500</v>
      </c>
      <c r="C1641">
        <v>4</v>
      </c>
      <c r="D1641" t="s">
        <v>39</v>
      </c>
      <c r="E1641" t="s">
        <v>641</v>
      </c>
      <c r="F1641" t="s">
        <v>1097</v>
      </c>
      <c r="G1641" t="s">
        <v>643</v>
      </c>
      <c r="H1641">
        <v>52</v>
      </c>
      <c r="I1641" t="s">
        <v>647</v>
      </c>
      <c r="J1641">
        <v>6000</v>
      </c>
      <c r="K1641" s="1">
        <v>43871</v>
      </c>
      <c r="L1641">
        <v>2020</v>
      </c>
      <c r="M1641" t="str">
        <f>UPPER(TEXT(_2020_2022[[#This Row],[Data da Venda]],"mmm"))</f>
        <v>FEV</v>
      </c>
    </row>
    <row r="1642" spans="1:13" x14ac:dyDescent="0.25">
      <c r="A1642" t="s">
        <v>1440</v>
      </c>
      <c r="B1642">
        <v>700</v>
      </c>
      <c r="C1642">
        <v>5</v>
      </c>
      <c r="D1642" t="s">
        <v>29</v>
      </c>
      <c r="E1642" t="s">
        <v>641</v>
      </c>
      <c r="F1642" t="s">
        <v>734</v>
      </c>
      <c r="G1642" t="s">
        <v>643</v>
      </c>
      <c r="H1642">
        <v>52</v>
      </c>
      <c r="I1642" t="s">
        <v>647</v>
      </c>
      <c r="J1642">
        <v>3500</v>
      </c>
      <c r="K1642" s="1">
        <v>43983</v>
      </c>
      <c r="L1642">
        <v>2020</v>
      </c>
      <c r="M1642" t="str">
        <f>UPPER(TEXT(_2020_2022[[#This Row],[Data da Venda]],"mmm"))</f>
        <v>JUN</v>
      </c>
    </row>
    <row r="1643" spans="1:13" x14ac:dyDescent="0.25">
      <c r="A1643" t="s">
        <v>13</v>
      </c>
      <c r="B1643">
        <v>2300</v>
      </c>
      <c r="C1643">
        <v>5</v>
      </c>
      <c r="D1643" t="s">
        <v>32</v>
      </c>
      <c r="E1643" t="s">
        <v>652</v>
      </c>
      <c r="F1643" t="s">
        <v>715</v>
      </c>
      <c r="G1643" t="s">
        <v>643</v>
      </c>
      <c r="H1643">
        <v>72</v>
      </c>
      <c r="I1643" t="s">
        <v>647</v>
      </c>
      <c r="J1643">
        <v>11500</v>
      </c>
      <c r="K1643" s="1">
        <v>43995</v>
      </c>
      <c r="L1643">
        <v>2020</v>
      </c>
      <c r="M1643" t="str">
        <f>UPPER(TEXT(_2020_2022[[#This Row],[Data da Venda]],"mmm"))</f>
        <v>JUN</v>
      </c>
    </row>
    <row r="1644" spans="1:13" x14ac:dyDescent="0.25">
      <c r="A1644" t="s">
        <v>8</v>
      </c>
      <c r="B1644">
        <v>5500</v>
      </c>
      <c r="C1644">
        <v>5</v>
      </c>
      <c r="D1644" t="s">
        <v>29</v>
      </c>
      <c r="E1644" t="s">
        <v>641</v>
      </c>
      <c r="F1644" t="s">
        <v>1333</v>
      </c>
      <c r="G1644" t="s">
        <v>650</v>
      </c>
      <c r="H1644">
        <v>64</v>
      </c>
      <c r="I1644" t="s">
        <v>647</v>
      </c>
      <c r="J1644">
        <v>27500</v>
      </c>
      <c r="K1644" s="1">
        <v>44050</v>
      </c>
      <c r="L1644">
        <v>2020</v>
      </c>
      <c r="M1644" t="str">
        <f>UPPER(TEXT(_2020_2022[[#This Row],[Data da Venda]],"mmm"))</f>
        <v>AGO</v>
      </c>
    </row>
    <row r="1645" spans="1:13" x14ac:dyDescent="0.25">
      <c r="A1645" t="s">
        <v>1442</v>
      </c>
      <c r="B1645">
        <v>1200</v>
      </c>
      <c r="C1645">
        <v>1</v>
      </c>
      <c r="D1645" t="s">
        <v>33</v>
      </c>
      <c r="E1645" t="s">
        <v>641</v>
      </c>
      <c r="F1645" t="s">
        <v>880</v>
      </c>
      <c r="G1645" t="s">
        <v>643</v>
      </c>
      <c r="H1645">
        <v>44</v>
      </c>
      <c r="I1645" t="s">
        <v>644</v>
      </c>
      <c r="J1645">
        <v>1200</v>
      </c>
      <c r="K1645" s="1">
        <v>43859</v>
      </c>
      <c r="L1645">
        <v>2020</v>
      </c>
      <c r="M1645" t="str">
        <f>UPPER(TEXT(_2020_2022[[#This Row],[Data da Venda]],"mmm"))</f>
        <v>JAN</v>
      </c>
    </row>
    <row r="1646" spans="1:13" x14ac:dyDescent="0.25">
      <c r="A1646" t="s">
        <v>9</v>
      </c>
      <c r="B1646">
        <v>1500</v>
      </c>
      <c r="C1646">
        <v>3</v>
      </c>
      <c r="D1646" t="s">
        <v>38</v>
      </c>
      <c r="E1646" t="s">
        <v>648</v>
      </c>
      <c r="F1646" t="s">
        <v>1131</v>
      </c>
      <c r="G1646" t="s">
        <v>650</v>
      </c>
      <c r="H1646">
        <v>75</v>
      </c>
      <c r="I1646" t="s">
        <v>647</v>
      </c>
      <c r="J1646">
        <v>4500</v>
      </c>
      <c r="K1646" s="1">
        <v>44159</v>
      </c>
      <c r="L1646">
        <v>2020</v>
      </c>
      <c r="M1646" t="str">
        <f>UPPER(TEXT(_2020_2022[[#This Row],[Data da Venda]],"mmm"))</f>
        <v>NOV</v>
      </c>
    </row>
    <row r="1647" spans="1:13" x14ac:dyDescent="0.25">
      <c r="A1647" t="s">
        <v>22</v>
      </c>
      <c r="B1647">
        <v>5200</v>
      </c>
      <c r="C1647">
        <v>1</v>
      </c>
      <c r="D1647" t="s">
        <v>29</v>
      </c>
      <c r="E1647" t="s">
        <v>641</v>
      </c>
      <c r="F1647" t="s">
        <v>916</v>
      </c>
      <c r="G1647" t="s">
        <v>643</v>
      </c>
      <c r="H1647">
        <v>57</v>
      </c>
      <c r="I1647" t="s">
        <v>647</v>
      </c>
      <c r="J1647">
        <v>5200</v>
      </c>
      <c r="K1647" s="1">
        <v>43956</v>
      </c>
      <c r="L1647">
        <v>2020</v>
      </c>
      <c r="M1647" t="str">
        <f>UPPER(TEXT(_2020_2022[[#This Row],[Data da Venda]],"mmm"))</f>
        <v>MAI</v>
      </c>
    </row>
    <row r="1648" spans="1:13" x14ac:dyDescent="0.25">
      <c r="A1648" t="s">
        <v>9</v>
      </c>
      <c r="B1648">
        <v>1500</v>
      </c>
      <c r="C1648">
        <v>3</v>
      </c>
      <c r="D1648" t="s">
        <v>34</v>
      </c>
      <c r="E1648" t="s">
        <v>679</v>
      </c>
      <c r="F1648" t="s">
        <v>742</v>
      </c>
      <c r="G1648" t="s">
        <v>643</v>
      </c>
      <c r="H1648">
        <v>26</v>
      </c>
      <c r="I1648" t="s">
        <v>651</v>
      </c>
      <c r="J1648">
        <v>4500</v>
      </c>
      <c r="K1648" s="1">
        <v>43929</v>
      </c>
      <c r="L1648">
        <v>2020</v>
      </c>
      <c r="M1648" t="str">
        <f>UPPER(TEXT(_2020_2022[[#This Row],[Data da Venda]],"mmm"))</f>
        <v>ABR</v>
      </c>
    </row>
    <row r="1649" spans="1:13" x14ac:dyDescent="0.25">
      <c r="A1649" t="s">
        <v>8</v>
      </c>
      <c r="B1649">
        <v>5500</v>
      </c>
      <c r="C1649">
        <v>1</v>
      </c>
      <c r="D1649" t="s">
        <v>29</v>
      </c>
      <c r="E1649" t="s">
        <v>641</v>
      </c>
      <c r="F1649" t="s">
        <v>1242</v>
      </c>
      <c r="G1649" t="s">
        <v>643</v>
      </c>
      <c r="H1649">
        <v>52</v>
      </c>
      <c r="I1649" t="s">
        <v>647</v>
      </c>
      <c r="J1649">
        <v>5500</v>
      </c>
      <c r="K1649" s="1">
        <v>44126</v>
      </c>
      <c r="L1649">
        <v>2020</v>
      </c>
      <c r="M1649" t="str">
        <f>UPPER(TEXT(_2020_2022[[#This Row],[Data da Venda]],"mmm"))</f>
        <v>OUT</v>
      </c>
    </row>
    <row r="1650" spans="1:13" x14ac:dyDescent="0.25">
      <c r="A1650" t="s">
        <v>9</v>
      </c>
      <c r="B1650">
        <v>1500</v>
      </c>
      <c r="C1650">
        <v>4</v>
      </c>
      <c r="D1650" t="s">
        <v>41</v>
      </c>
      <c r="E1650" t="s">
        <v>681</v>
      </c>
      <c r="F1650" t="s">
        <v>1268</v>
      </c>
      <c r="G1650" t="s">
        <v>643</v>
      </c>
      <c r="H1650">
        <v>30</v>
      </c>
      <c r="I1650" t="s">
        <v>644</v>
      </c>
      <c r="J1650">
        <v>6000</v>
      </c>
      <c r="K1650" s="1">
        <v>43831</v>
      </c>
      <c r="L1650">
        <v>2020</v>
      </c>
      <c r="M1650" t="str">
        <f>UPPER(TEXT(_2020_2022[[#This Row],[Data da Venda]],"mmm"))</f>
        <v>JAN</v>
      </c>
    </row>
    <row r="1651" spans="1:13" x14ac:dyDescent="0.25">
      <c r="A1651" t="s">
        <v>24</v>
      </c>
      <c r="B1651">
        <v>2000</v>
      </c>
      <c r="C1651">
        <v>3</v>
      </c>
      <c r="D1651" t="s">
        <v>37</v>
      </c>
      <c r="E1651" t="s">
        <v>645</v>
      </c>
      <c r="F1651" t="s">
        <v>704</v>
      </c>
      <c r="G1651" t="s">
        <v>643</v>
      </c>
      <c r="H1651">
        <v>38</v>
      </c>
      <c r="I1651" t="s">
        <v>644</v>
      </c>
      <c r="J1651">
        <v>6000</v>
      </c>
      <c r="K1651" s="1">
        <v>43889</v>
      </c>
      <c r="L1651">
        <v>2020</v>
      </c>
      <c r="M1651" t="str">
        <f>UPPER(TEXT(_2020_2022[[#This Row],[Data da Venda]],"mmm"))</f>
        <v>FEV</v>
      </c>
    </row>
    <row r="1652" spans="1:13" x14ac:dyDescent="0.25">
      <c r="A1652" t="s">
        <v>7</v>
      </c>
      <c r="B1652">
        <v>750</v>
      </c>
      <c r="C1652">
        <v>2</v>
      </c>
      <c r="D1652" t="s">
        <v>36</v>
      </c>
      <c r="E1652" t="s">
        <v>677</v>
      </c>
      <c r="F1652" t="s">
        <v>1198</v>
      </c>
      <c r="G1652" t="s">
        <v>650</v>
      </c>
      <c r="H1652">
        <v>65</v>
      </c>
      <c r="I1652" t="s">
        <v>647</v>
      </c>
      <c r="J1652">
        <v>1500</v>
      </c>
      <c r="K1652" s="1">
        <v>44020</v>
      </c>
      <c r="L1652">
        <v>2020</v>
      </c>
      <c r="M1652" t="str">
        <f>UPPER(TEXT(_2020_2022[[#This Row],[Data da Venda]],"mmm"))</f>
        <v>JUL</v>
      </c>
    </row>
    <row r="1653" spans="1:13" x14ac:dyDescent="0.25">
      <c r="A1653" t="s">
        <v>1444</v>
      </c>
      <c r="B1653">
        <v>1500</v>
      </c>
      <c r="C1653">
        <v>3</v>
      </c>
      <c r="D1653" t="s">
        <v>35</v>
      </c>
      <c r="E1653" t="s">
        <v>666</v>
      </c>
      <c r="F1653" t="s">
        <v>1052</v>
      </c>
      <c r="G1653" t="s">
        <v>650</v>
      </c>
      <c r="H1653">
        <v>31</v>
      </c>
      <c r="I1653" t="s">
        <v>644</v>
      </c>
      <c r="J1653">
        <v>4500</v>
      </c>
      <c r="K1653" s="1">
        <v>44140</v>
      </c>
      <c r="L1653">
        <v>2020</v>
      </c>
      <c r="M1653" t="str">
        <f>UPPER(TEXT(_2020_2022[[#This Row],[Data da Venda]],"mmm"))</f>
        <v>NOV</v>
      </c>
    </row>
    <row r="1654" spans="1:13" x14ac:dyDescent="0.25">
      <c r="A1654" t="s">
        <v>13</v>
      </c>
      <c r="B1654">
        <v>2300</v>
      </c>
      <c r="C1654">
        <v>4</v>
      </c>
      <c r="D1654" t="s">
        <v>31</v>
      </c>
      <c r="E1654" t="s">
        <v>645</v>
      </c>
      <c r="F1654" t="s">
        <v>905</v>
      </c>
      <c r="G1654" t="s">
        <v>643</v>
      </c>
      <c r="H1654">
        <v>40</v>
      </c>
      <c r="I1654" t="s">
        <v>644</v>
      </c>
      <c r="J1654">
        <v>9200</v>
      </c>
      <c r="K1654" s="1">
        <v>44037</v>
      </c>
      <c r="L1654">
        <v>2020</v>
      </c>
      <c r="M1654" t="str">
        <f>UPPER(TEXT(_2020_2022[[#This Row],[Data da Venda]],"mmm"))</f>
        <v>JUL</v>
      </c>
    </row>
    <row r="1655" spans="1:13" x14ac:dyDescent="0.25">
      <c r="A1655" t="s">
        <v>13</v>
      </c>
      <c r="B1655">
        <v>2300</v>
      </c>
      <c r="C1655">
        <v>3</v>
      </c>
      <c r="D1655" t="s">
        <v>41</v>
      </c>
      <c r="E1655" t="s">
        <v>681</v>
      </c>
      <c r="F1655" t="s">
        <v>1177</v>
      </c>
      <c r="G1655" t="s">
        <v>650</v>
      </c>
      <c r="H1655">
        <v>46</v>
      </c>
      <c r="I1655" t="s">
        <v>644</v>
      </c>
      <c r="J1655">
        <v>6900</v>
      </c>
      <c r="K1655" s="1">
        <v>43836</v>
      </c>
      <c r="L1655">
        <v>2020</v>
      </c>
      <c r="M1655" t="str">
        <f>UPPER(TEXT(_2020_2022[[#This Row],[Data da Venda]],"mmm"))</f>
        <v>JAN</v>
      </c>
    </row>
    <row r="1656" spans="1:13" x14ac:dyDescent="0.25">
      <c r="A1656" t="s">
        <v>5</v>
      </c>
      <c r="B1656">
        <v>1750</v>
      </c>
      <c r="C1656">
        <v>1</v>
      </c>
      <c r="D1656" t="s">
        <v>40</v>
      </c>
      <c r="E1656" t="s">
        <v>657</v>
      </c>
      <c r="F1656" t="s">
        <v>1034</v>
      </c>
      <c r="G1656" t="s">
        <v>643</v>
      </c>
      <c r="H1656">
        <v>75</v>
      </c>
      <c r="I1656" t="s">
        <v>647</v>
      </c>
      <c r="J1656">
        <v>1750</v>
      </c>
      <c r="K1656" s="1">
        <v>43881</v>
      </c>
      <c r="L1656">
        <v>2020</v>
      </c>
      <c r="M1656" t="str">
        <f>UPPER(TEXT(_2020_2022[[#This Row],[Data da Venda]],"mmm"))</f>
        <v>FEV</v>
      </c>
    </row>
    <row r="1657" spans="1:13" x14ac:dyDescent="0.25">
      <c r="A1657" t="s">
        <v>1445</v>
      </c>
      <c r="B1657">
        <v>1500</v>
      </c>
      <c r="C1657">
        <v>1</v>
      </c>
      <c r="D1657" t="s">
        <v>34</v>
      </c>
      <c r="E1657" t="s">
        <v>679</v>
      </c>
      <c r="F1657" t="s">
        <v>1326</v>
      </c>
      <c r="G1657" t="s">
        <v>643</v>
      </c>
      <c r="H1657">
        <v>62</v>
      </c>
      <c r="I1657" t="s">
        <v>647</v>
      </c>
      <c r="J1657">
        <v>1500</v>
      </c>
      <c r="K1657" s="1">
        <v>44098</v>
      </c>
      <c r="L1657">
        <v>2020</v>
      </c>
      <c r="M1657" t="str">
        <f>UPPER(TEXT(_2020_2022[[#This Row],[Data da Venda]],"mmm"))</f>
        <v>SET</v>
      </c>
    </row>
    <row r="1658" spans="1:13" x14ac:dyDescent="0.25">
      <c r="A1658" t="s">
        <v>24</v>
      </c>
      <c r="B1658">
        <v>2000</v>
      </c>
      <c r="C1658">
        <v>5</v>
      </c>
      <c r="D1658" t="s">
        <v>36</v>
      </c>
      <c r="E1658" t="s">
        <v>677</v>
      </c>
      <c r="F1658" t="s">
        <v>998</v>
      </c>
      <c r="G1658" t="s">
        <v>650</v>
      </c>
      <c r="H1658">
        <v>68</v>
      </c>
      <c r="I1658" t="s">
        <v>647</v>
      </c>
      <c r="J1658">
        <v>10000</v>
      </c>
      <c r="K1658" s="1">
        <v>43954</v>
      </c>
      <c r="L1658">
        <v>2020</v>
      </c>
      <c r="M1658" t="str">
        <f>UPPER(TEXT(_2020_2022[[#This Row],[Data da Venda]],"mmm"))</f>
        <v>MAI</v>
      </c>
    </row>
    <row r="1659" spans="1:13" x14ac:dyDescent="0.25">
      <c r="A1659" t="s">
        <v>1440</v>
      </c>
      <c r="B1659">
        <v>700</v>
      </c>
      <c r="C1659">
        <v>3</v>
      </c>
      <c r="D1659" t="s">
        <v>41</v>
      </c>
      <c r="E1659" t="s">
        <v>681</v>
      </c>
      <c r="F1659" t="s">
        <v>839</v>
      </c>
      <c r="G1659" t="s">
        <v>643</v>
      </c>
      <c r="H1659">
        <v>66</v>
      </c>
      <c r="I1659" t="s">
        <v>647</v>
      </c>
      <c r="J1659">
        <v>2100</v>
      </c>
      <c r="K1659" s="1">
        <v>43931</v>
      </c>
      <c r="L1659">
        <v>2020</v>
      </c>
      <c r="M1659" t="str">
        <f>UPPER(TEXT(_2020_2022[[#This Row],[Data da Venda]],"mmm"))</f>
        <v>ABR</v>
      </c>
    </row>
    <row r="1660" spans="1:13" x14ac:dyDescent="0.25">
      <c r="A1660" t="s">
        <v>13</v>
      </c>
      <c r="B1660">
        <v>2300</v>
      </c>
      <c r="C1660">
        <v>5</v>
      </c>
      <c r="D1660" t="s">
        <v>37</v>
      </c>
      <c r="E1660" t="s">
        <v>645</v>
      </c>
      <c r="F1660" t="s">
        <v>1334</v>
      </c>
      <c r="G1660" t="s">
        <v>643</v>
      </c>
      <c r="H1660">
        <v>47</v>
      </c>
      <c r="I1660" t="s">
        <v>644</v>
      </c>
      <c r="J1660">
        <v>11500</v>
      </c>
      <c r="K1660" s="1">
        <v>44025</v>
      </c>
      <c r="L1660">
        <v>2020</v>
      </c>
      <c r="M1660" t="str">
        <f>UPPER(TEXT(_2020_2022[[#This Row],[Data da Venda]],"mmm"))</f>
        <v>JUL</v>
      </c>
    </row>
    <row r="1661" spans="1:13" x14ac:dyDescent="0.25">
      <c r="A1661" t="s">
        <v>14</v>
      </c>
      <c r="B1661">
        <v>2000</v>
      </c>
      <c r="C1661">
        <v>5</v>
      </c>
      <c r="D1661" t="s">
        <v>37</v>
      </c>
      <c r="E1661" t="s">
        <v>645</v>
      </c>
      <c r="F1661" t="s">
        <v>1239</v>
      </c>
      <c r="G1661" t="s">
        <v>643</v>
      </c>
      <c r="H1661">
        <v>75</v>
      </c>
      <c r="I1661" t="s">
        <v>647</v>
      </c>
      <c r="J1661">
        <v>10000</v>
      </c>
      <c r="K1661" s="1">
        <v>43900</v>
      </c>
      <c r="L1661">
        <v>2020</v>
      </c>
      <c r="M1661" t="str">
        <f>UPPER(TEXT(_2020_2022[[#This Row],[Data da Venda]],"mmm"))</f>
        <v>MAR</v>
      </c>
    </row>
    <row r="1662" spans="1:13" x14ac:dyDescent="0.25">
      <c r="A1662" t="s">
        <v>13</v>
      </c>
      <c r="B1662">
        <v>2300</v>
      </c>
      <c r="C1662">
        <v>5</v>
      </c>
      <c r="D1662" t="s">
        <v>33</v>
      </c>
      <c r="E1662" t="s">
        <v>641</v>
      </c>
      <c r="F1662" t="s">
        <v>988</v>
      </c>
      <c r="G1662" t="s">
        <v>650</v>
      </c>
      <c r="H1662">
        <v>32</v>
      </c>
      <c r="I1662" t="s">
        <v>644</v>
      </c>
      <c r="J1662">
        <v>11500</v>
      </c>
      <c r="K1662" s="1">
        <v>43855</v>
      </c>
      <c r="L1662">
        <v>2020</v>
      </c>
      <c r="M1662" t="str">
        <f>UPPER(TEXT(_2020_2022[[#This Row],[Data da Venda]],"mmm"))</f>
        <v>JAN</v>
      </c>
    </row>
    <row r="1663" spans="1:13" x14ac:dyDescent="0.25">
      <c r="A1663" t="s">
        <v>16</v>
      </c>
      <c r="B1663">
        <v>1400</v>
      </c>
      <c r="C1663">
        <v>1</v>
      </c>
      <c r="D1663" t="s">
        <v>30</v>
      </c>
      <c r="E1663" t="s">
        <v>645</v>
      </c>
      <c r="F1663" t="s">
        <v>955</v>
      </c>
      <c r="G1663" t="s">
        <v>643</v>
      </c>
      <c r="H1663">
        <v>75</v>
      </c>
      <c r="I1663" t="s">
        <v>647</v>
      </c>
      <c r="J1663">
        <v>1400</v>
      </c>
      <c r="K1663" s="1">
        <v>44018</v>
      </c>
      <c r="L1663">
        <v>2020</v>
      </c>
      <c r="M1663" t="str">
        <f>UPPER(TEXT(_2020_2022[[#This Row],[Data da Venda]],"mmm"))</f>
        <v>JUL</v>
      </c>
    </row>
    <row r="1664" spans="1:13" x14ac:dyDescent="0.25">
      <c r="A1664" t="s">
        <v>15</v>
      </c>
      <c r="B1664">
        <v>1900</v>
      </c>
      <c r="C1664">
        <v>2</v>
      </c>
      <c r="D1664" t="s">
        <v>41</v>
      </c>
      <c r="E1664" t="s">
        <v>681</v>
      </c>
      <c r="F1664" t="s">
        <v>1162</v>
      </c>
      <c r="G1664" t="s">
        <v>650</v>
      </c>
      <c r="H1664">
        <v>57</v>
      </c>
      <c r="I1664" t="s">
        <v>647</v>
      </c>
      <c r="J1664">
        <v>3800</v>
      </c>
      <c r="K1664" s="1">
        <v>44157</v>
      </c>
      <c r="L1664">
        <v>2020</v>
      </c>
      <c r="M1664" t="str">
        <f>UPPER(TEXT(_2020_2022[[#This Row],[Data da Venda]],"mmm"))</f>
        <v>NOV</v>
      </c>
    </row>
    <row r="1665" spans="1:13" x14ac:dyDescent="0.25">
      <c r="A1665" t="s">
        <v>22</v>
      </c>
      <c r="B1665">
        <v>5200</v>
      </c>
      <c r="C1665">
        <v>1</v>
      </c>
      <c r="D1665" t="s">
        <v>29</v>
      </c>
      <c r="E1665" t="s">
        <v>641</v>
      </c>
      <c r="F1665" t="s">
        <v>663</v>
      </c>
      <c r="G1665" t="s">
        <v>650</v>
      </c>
      <c r="H1665">
        <v>60</v>
      </c>
      <c r="I1665" t="s">
        <v>647</v>
      </c>
      <c r="J1665">
        <v>5200</v>
      </c>
      <c r="K1665" s="1">
        <v>43972</v>
      </c>
      <c r="L1665">
        <v>2020</v>
      </c>
      <c r="M1665" t="str">
        <f>UPPER(TEXT(_2020_2022[[#This Row],[Data da Venda]],"mmm"))</f>
        <v>MAI</v>
      </c>
    </row>
    <row r="1666" spans="1:13" x14ac:dyDescent="0.25">
      <c r="A1666" t="s">
        <v>1442</v>
      </c>
      <c r="B1666">
        <v>1200</v>
      </c>
      <c r="C1666">
        <v>3</v>
      </c>
      <c r="D1666" t="s">
        <v>37</v>
      </c>
      <c r="E1666" t="s">
        <v>645</v>
      </c>
      <c r="F1666" t="s">
        <v>1335</v>
      </c>
      <c r="G1666" t="s">
        <v>643</v>
      </c>
      <c r="H1666">
        <v>46</v>
      </c>
      <c r="I1666" t="s">
        <v>644</v>
      </c>
      <c r="J1666">
        <v>3600</v>
      </c>
      <c r="K1666" s="1">
        <v>43863</v>
      </c>
      <c r="L1666">
        <v>2020</v>
      </c>
      <c r="M1666" t="str">
        <f>UPPER(TEXT(_2020_2022[[#This Row],[Data da Venda]],"mmm"))</f>
        <v>FEV</v>
      </c>
    </row>
    <row r="1667" spans="1:13" x14ac:dyDescent="0.25">
      <c r="A1667" t="s">
        <v>7</v>
      </c>
      <c r="B1667">
        <v>750</v>
      </c>
      <c r="C1667">
        <v>2</v>
      </c>
      <c r="D1667" t="s">
        <v>41</v>
      </c>
      <c r="E1667" t="s">
        <v>681</v>
      </c>
      <c r="F1667" t="s">
        <v>1314</v>
      </c>
      <c r="G1667" t="s">
        <v>650</v>
      </c>
      <c r="H1667">
        <v>75</v>
      </c>
      <c r="I1667" t="s">
        <v>647</v>
      </c>
      <c r="J1667">
        <v>1500</v>
      </c>
      <c r="K1667" s="1">
        <v>43966</v>
      </c>
      <c r="L1667">
        <v>2020</v>
      </c>
      <c r="M1667" t="str">
        <f>UPPER(TEXT(_2020_2022[[#This Row],[Data da Venda]],"mmm"))</f>
        <v>MAI</v>
      </c>
    </row>
    <row r="1668" spans="1:13" x14ac:dyDescent="0.25">
      <c r="A1668" t="s">
        <v>16</v>
      </c>
      <c r="B1668">
        <v>1400</v>
      </c>
      <c r="C1668">
        <v>1</v>
      </c>
      <c r="D1668" t="s">
        <v>37</v>
      </c>
      <c r="E1668" t="s">
        <v>645</v>
      </c>
      <c r="F1668" t="s">
        <v>1158</v>
      </c>
      <c r="G1668" t="s">
        <v>650</v>
      </c>
      <c r="H1668">
        <v>45</v>
      </c>
      <c r="I1668" t="s">
        <v>644</v>
      </c>
      <c r="J1668">
        <v>1400</v>
      </c>
      <c r="K1668" s="1">
        <v>43925</v>
      </c>
      <c r="L1668">
        <v>2020</v>
      </c>
      <c r="M1668" t="str">
        <f>UPPER(TEXT(_2020_2022[[#This Row],[Data da Venda]],"mmm"))</f>
        <v>ABR</v>
      </c>
    </row>
    <row r="1669" spans="1:13" x14ac:dyDescent="0.25">
      <c r="A1669" t="s">
        <v>1444</v>
      </c>
      <c r="B1669">
        <v>1500</v>
      </c>
      <c r="C1669">
        <v>1</v>
      </c>
      <c r="D1669" t="s">
        <v>30</v>
      </c>
      <c r="E1669" t="s">
        <v>645</v>
      </c>
      <c r="F1669" t="s">
        <v>1133</v>
      </c>
      <c r="G1669" t="s">
        <v>643</v>
      </c>
      <c r="H1669">
        <v>50</v>
      </c>
      <c r="I1669" t="s">
        <v>644</v>
      </c>
      <c r="J1669">
        <v>1500</v>
      </c>
      <c r="K1669" s="1">
        <v>44050</v>
      </c>
      <c r="L1669">
        <v>2020</v>
      </c>
      <c r="M1669" t="str">
        <f>UPPER(TEXT(_2020_2022[[#This Row],[Data da Venda]],"mmm"))</f>
        <v>AGO</v>
      </c>
    </row>
    <row r="1670" spans="1:13" x14ac:dyDescent="0.25">
      <c r="A1670" t="s">
        <v>11</v>
      </c>
      <c r="B1670">
        <v>4500</v>
      </c>
      <c r="C1670">
        <v>5</v>
      </c>
      <c r="D1670" t="s">
        <v>37</v>
      </c>
      <c r="E1670" t="s">
        <v>645</v>
      </c>
      <c r="F1670" t="s">
        <v>949</v>
      </c>
      <c r="G1670" t="s">
        <v>650</v>
      </c>
      <c r="H1670">
        <v>34</v>
      </c>
      <c r="I1670" t="s">
        <v>644</v>
      </c>
      <c r="J1670">
        <v>22500</v>
      </c>
      <c r="K1670" s="1">
        <v>43994</v>
      </c>
      <c r="L1670">
        <v>2020</v>
      </c>
      <c r="M1670" t="str">
        <f>UPPER(TEXT(_2020_2022[[#This Row],[Data da Venda]],"mmm"))</f>
        <v>JUN</v>
      </c>
    </row>
    <row r="1671" spans="1:13" x14ac:dyDescent="0.25">
      <c r="A1671" t="s">
        <v>18</v>
      </c>
      <c r="B1671">
        <v>3000</v>
      </c>
      <c r="C1671">
        <v>5</v>
      </c>
      <c r="D1671" t="s">
        <v>37</v>
      </c>
      <c r="E1671" t="s">
        <v>645</v>
      </c>
      <c r="F1671" t="s">
        <v>1264</v>
      </c>
      <c r="G1671" t="s">
        <v>643</v>
      </c>
      <c r="H1671">
        <v>49</v>
      </c>
      <c r="I1671" t="s">
        <v>644</v>
      </c>
      <c r="J1671">
        <v>15000</v>
      </c>
      <c r="K1671" s="1">
        <v>44160</v>
      </c>
      <c r="L1671">
        <v>2020</v>
      </c>
      <c r="M1671" t="str">
        <f>UPPER(TEXT(_2020_2022[[#This Row],[Data da Venda]],"mmm"))</f>
        <v>NOV</v>
      </c>
    </row>
    <row r="1672" spans="1:13" x14ac:dyDescent="0.25">
      <c r="A1672" t="s">
        <v>7</v>
      </c>
      <c r="B1672">
        <v>750</v>
      </c>
      <c r="C1672">
        <v>5</v>
      </c>
      <c r="D1672" t="s">
        <v>41</v>
      </c>
      <c r="E1672" t="s">
        <v>681</v>
      </c>
      <c r="F1672" t="s">
        <v>1336</v>
      </c>
      <c r="G1672" t="s">
        <v>643</v>
      </c>
      <c r="H1672">
        <v>68</v>
      </c>
      <c r="I1672" t="s">
        <v>647</v>
      </c>
      <c r="J1672">
        <v>3750</v>
      </c>
      <c r="K1672" s="1">
        <v>44068</v>
      </c>
      <c r="L1672">
        <v>2020</v>
      </c>
      <c r="M1672" t="str">
        <f>UPPER(TEXT(_2020_2022[[#This Row],[Data da Venda]],"mmm"))</f>
        <v>AGO</v>
      </c>
    </row>
    <row r="1673" spans="1:13" x14ac:dyDescent="0.25">
      <c r="A1673" t="s">
        <v>26</v>
      </c>
      <c r="B1673">
        <v>1100</v>
      </c>
      <c r="C1673">
        <v>5</v>
      </c>
      <c r="D1673" t="s">
        <v>36</v>
      </c>
      <c r="E1673" t="s">
        <v>677</v>
      </c>
      <c r="F1673" t="s">
        <v>842</v>
      </c>
      <c r="G1673" t="s">
        <v>643</v>
      </c>
      <c r="H1673">
        <v>49</v>
      </c>
      <c r="I1673" t="s">
        <v>644</v>
      </c>
      <c r="J1673">
        <v>5500</v>
      </c>
      <c r="K1673" s="1">
        <v>44002</v>
      </c>
      <c r="L1673">
        <v>2020</v>
      </c>
      <c r="M1673" t="str">
        <f>UPPER(TEXT(_2020_2022[[#This Row],[Data da Venda]],"mmm"))</f>
        <v>JUN</v>
      </c>
    </row>
    <row r="1674" spans="1:13" x14ac:dyDescent="0.25">
      <c r="A1674" t="s">
        <v>22</v>
      </c>
      <c r="B1674">
        <v>5200</v>
      </c>
      <c r="C1674">
        <v>2</v>
      </c>
      <c r="D1674" t="s">
        <v>34</v>
      </c>
      <c r="E1674" t="s">
        <v>679</v>
      </c>
      <c r="F1674" t="s">
        <v>1125</v>
      </c>
      <c r="G1674" t="s">
        <v>643</v>
      </c>
      <c r="H1674">
        <v>67</v>
      </c>
      <c r="I1674" t="s">
        <v>647</v>
      </c>
      <c r="J1674">
        <v>10400</v>
      </c>
      <c r="K1674" s="1">
        <v>43958</v>
      </c>
      <c r="L1674">
        <v>2020</v>
      </c>
      <c r="M1674" t="str">
        <f>UPPER(TEXT(_2020_2022[[#This Row],[Data da Venda]],"mmm"))</f>
        <v>MAI</v>
      </c>
    </row>
    <row r="1675" spans="1:13" x14ac:dyDescent="0.25">
      <c r="A1675" t="s">
        <v>28</v>
      </c>
      <c r="B1675">
        <v>1400</v>
      </c>
      <c r="C1675">
        <v>1</v>
      </c>
      <c r="D1675" t="s">
        <v>41</v>
      </c>
      <c r="E1675" t="s">
        <v>681</v>
      </c>
      <c r="F1675" t="s">
        <v>689</v>
      </c>
      <c r="G1675" t="s">
        <v>643</v>
      </c>
      <c r="H1675">
        <v>36</v>
      </c>
      <c r="I1675" t="s">
        <v>644</v>
      </c>
      <c r="J1675">
        <v>1400</v>
      </c>
      <c r="K1675" s="1">
        <v>43849</v>
      </c>
      <c r="L1675">
        <v>2020</v>
      </c>
      <c r="M1675" t="str">
        <f>UPPER(TEXT(_2020_2022[[#This Row],[Data da Venda]],"mmm"))</f>
        <v>JAN</v>
      </c>
    </row>
    <row r="1676" spans="1:13" x14ac:dyDescent="0.25">
      <c r="A1676" t="s">
        <v>9</v>
      </c>
      <c r="B1676">
        <v>1500</v>
      </c>
      <c r="C1676">
        <v>5</v>
      </c>
      <c r="D1676" t="s">
        <v>38</v>
      </c>
      <c r="E1676" t="s">
        <v>648</v>
      </c>
      <c r="F1676" t="s">
        <v>775</v>
      </c>
      <c r="G1676" t="s">
        <v>643</v>
      </c>
      <c r="H1676">
        <v>28</v>
      </c>
      <c r="I1676" t="s">
        <v>651</v>
      </c>
      <c r="J1676">
        <v>7500</v>
      </c>
      <c r="K1676" s="1">
        <v>43957</v>
      </c>
      <c r="L1676">
        <v>2020</v>
      </c>
      <c r="M1676" t="str">
        <f>UPPER(TEXT(_2020_2022[[#This Row],[Data da Venda]],"mmm"))</f>
        <v>MAI</v>
      </c>
    </row>
    <row r="1677" spans="1:13" x14ac:dyDescent="0.25">
      <c r="A1677" t="s">
        <v>20</v>
      </c>
      <c r="B1677">
        <v>2600</v>
      </c>
      <c r="C1677">
        <v>2</v>
      </c>
      <c r="D1677" t="s">
        <v>33</v>
      </c>
      <c r="E1677" t="s">
        <v>641</v>
      </c>
      <c r="F1677" t="s">
        <v>1337</v>
      </c>
      <c r="G1677" t="s">
        <v>643</v>
      </c>
      <c r="H1677">
        <v>29</v>
      </c>
      <c r="I1677" t="s">
        <v>651</v>
      </c>
      <c r="J1677">
        <v>5200</v>
      </c>
      <c r="K1677" s="1">
        <v>44084</v>
      </c>
      <c r="L1677">
        <v>2020</v>
      </c>
      <c r="M1677" t="str">
        <f>UPPER(TEXT(_2020_2022[[#This Row],[Data da Venda]],"mmm"))</f>
        <v>SET</v>
      </c>
    </row>
    <row r="1678" spans="1:13" x14ac:dyDescent="0.25">
      <c r="A1678" t="s">
        <v>1445</v>
      </c>
      <c r="B1678">
        <v>1500</v>
      </c>
      <c r="C1678">
        <v>1</v>
      </c>
      <c r="D1678" t="s">
        <v>41</v>
      </c>
      <c r="E1678" t="s">
        <v>681</v>
      </c>
      <c r="F1678" t="s">
        <v>879</v>
      </c>
      <c r="G1678" t="s">
        <v>650</v>
      </c>
      <c r="H1678">
        <v>71</v>
      </c>
      <c r="I1678" t="s">
        <v>647</v>
      </c>
      <c r="J1678">
        <v>1500</v>
      </c>
      <c r="K1678" s="1">
        <v>44181</v>
      </c>
      <c r="L1678">
        <v>2020</v>
      </c>
      <c r="M1678" t="str">
        <f>UPPER(TEXT(_2020_2022[[#This Row],[Data da Venda]],"mmm"))</f>
        <v>DEZ</v>
      </c>
    </row>
    <row r="1679" spans="1:13" x14ac:dyDescent="0.25">
      <c r="A1679" t="s">
        <v>11</v>
      </c>
      <c r="B1679">
        <v>4500</v>
      </c>
      <c r="C1679">
        <v>4</v>
      </c>
      <c r="D1679" t="s">
        <v>37</v>
      </c>
      <c r="E1679" t="s">
        <v>645</v>
      </c>
      <c r="F1679" t="s">
        <v>762</v>
      </c>
      <c r="G1679" t="s">
        <v>650</v>
      </c>
      <c r="H1679">
        <v>63</v>
      </c>
      <c r="I1679" t="s">
        <v>647</v>
      </c>
      <c r="J1679">
        <v>18000</v>
      </c>
      <c r="K1679" s="1">
        <v>43978</v>
      </c>
      <c r="L1679">
        <v>2020</v>
      </c>
      <c r="M1679" t="str">
        <f>UPPER(TEXT(_2020_2022[[#This Row],[Data da Venda]],"mmm"))</f>
        <v>MAI</v>
      </c>
    </row>
    <row r="1680" spans="1:13" x14ac:dyDescent="0.25">
      <c r="A1680" t="s">
        <v>16</v>
      </c>
      <c r="B1680">
        <v>1400</v>
      </c>
      <c r="C1680">
        <v>1</v>
      </c>
      <c r="D1680" t="s">
        <v>39</v>
      </c>
      <c r="E1680" t="s">
        <v>641</v>
      </c>
      <c r="F1680" t="s">
        <v>1110</v>
      </c>
      <c r="G1680" t="s">
        <v>643</v>
      </c>
      <c r="H1680">
        <v>28</v>
      </c>
      <c r="I1680" t="s">
        <v>651</v>
      </c>
      <c r="J1680">
        <v>1400</v>
      </c>
      <c r="K1680" s="1">
        <v>43896</v>
      </c>
      <c r="L1680">
        <v>2020</v>
      </c>
      <c r="M1680" t="str">
        <f>UPPER(TEXT(_2020_2022[[#This Row],[Data da Venda]],"mmm"))</f>
        <v>MAR</v>
      </c>
    </row>
    <row r="1681" spans="1:13" x14ac:dyDescent="0.25">
      <c r="A1681" t="s">
        <v>18</v>
      </c>
      <c r="B1681">
        <v>3000</v>
      </c>
      <c r="C1681">
        <v>4</v>
      </c>
      <c r="D1681" t="s">
        <v>39</v>
      </c>
      <c r="E1681" t="s">
        <v>641</v>
      </c>
      <c r="F1681" t="s">
        <v>1007</v>
      </c>
      <c r="G1681" t="s">
        <v>650</v>
      </c>
      <c r="H1681">
        <v>76</v>
      </c>
      <c r="I1681" t="s">
        <v>647</v>
      </c>
      <c r="J1681">
        <v>12000</v>
      </c>
      <c r="K1681" s="1">
        <v>44073</v>
      </c>
      <c r="L1681">
        <v>2020</v>
      </c>
      <c r="M1681" t="str">
        <f>UPPER(TEXT(_2020_2022[[#This Row],[Data da Venda]],"mmm"))</f>
        <v>AGO</v>
      </c>
    </row>
    <row r="1682" spans="1:13" x14ac:dyDescent="0.25">
      <c r="A1682" t="s">
        <v>1441</v>
      </c>
      <c r="B1682">
        <v>1450</v>
      </c>
      <c r="C1682">
        <v>1</v>
      </c>
      <c r="D1682" t="s">
        <v>31</v>
      </c>
      <c r="E1682" t="s">
        <v>645</v>
      </c>
      <c r="F1682" t="s">
        <v>1064</v>
      </c>
      <c r="G1682" t="s">
        <v>643</v>
      </c>
      <c r="H1682">
        <v>64</v>
      </c>
      <c r="I1682" t="s">
        <v>647</v>
      </c>
      <c r="J1682">
        <v>1450</v>
      </c>
      <c r="K1682" s="1">
        <v>43922</v>
      </c>
      <c r="L1682">
        <v>2020</v>
      </c>
      <c r="M1682" t="str">
        <f>UPPER(TEXT(_2020_2022[[#This Row],[Data da Venda]],"mmm"))</f>
        <v>ABR</v>
      </c>
    </row>
    <row r="1683" spans="1:13" x14ac:dyDescent="0.25">
      <c r="A1683" t="s">
        <v>9</v>
      </c>
      <c r="B1683">
        <v>1500</v>
      </c>
      <c r="C1683">
        <v>3</v>
      </c>
      <c r="D1683" t="s">
        <v>30</v>
      </c>
      <c r="E1683" t="s">
        <v>645</v>
      </c>
      <c r="F1683" t="s">
        <v>1323</v>
      </c>
      <c r="G1683" t="s">
        <v>643</v>
      </c>
      <c r="H1683">
        <v>36</v>
      </c>
      <c r="I1683" t="s">
        <v>644</v>
      </c>
      <c r="J1683">
        <v>4500</v>
      </c>
      <c r="K1683" s="1">
        <v>43930</v>
      </c>
      <c r="L1683">
        <v>2020</v>
      </c>
      <c r="M1683" t="str">
        <f>UPPER(TEXT(_2020_2022[[#This Row],[Data da Venda]],"mmm"))</f>
        <v>ABR</v>
      </c>
    </row>
    <row r="1684" spans="1:13" x14ac:dyDescent="0.25">
      <c r="A1684" t="s">
        <v>18</v>
      </c>
      <c r="B1684">
        <v>3000</v>
      </c>
      <c r="C1684">
        <v>2</v>
      </c>
      <c r="D1684" t="s">
        <v>35</v>
      </c>
      <c r="E1684" t="s">
        <v>666</v>
      </c>
      <c r="F1684" t="s">
        <v>974</v>
      </c>
      <c r="G1684" t="s">
        <v>643</v>
      </c>
      <c r="H1684">
        <v>54</v>
      </c>
      <c r="I1684" t="s">
        <v>647</v>
      </c>
      <c r="J1684">
        <v>6000</v>
      </c>
      <c r="K1684" s="1">
        <v>44064</v>
      </c>
      <c r="L1684">
        <v>2020</v>
      </c>
      <c r="M1684" t="str">
        <f>UPPER(TEXT(_2020_2022[[#This Row],[Data da Venda]],"mmm"))</f>
        <v>AGO</v>
      </c>
    </row>
    <row r="1685" spans="1:13" x14ac:dyDescent="0.25">
      <c r="A1685" t="s">
        <v>1442</v>
      </c>
      <c r="B1685">
        <v>1200</v>
      </c>
      <c r="C1685">
        <v>1</v>
      </c>
      <c r="D1685" t="s">
        <v>38</v>
      </c>
      <c r="E1685" t="s">
        <v>648</v>
      </c>
      <c r="F1685" t="s">
        <v>1282</v>
      </c>
      <c r="G1685" t="s">
        <v>643</v>
      </c>
      <c r="H1685">
        <v>74</v>
      </c>
      <c r="I1685" t="s">
        <v>647</v>
      </c>
      <c r="J1685">
        <v>1200</v>
      </c>
      <c r="K1685" s="1">
        <v>43947</v>
      </c>
      <c r="L1685">
        <v>2020</v>
      </c>
      <c r="M1685" t="str">
        <f>UPPER(TEXT(_2020_2022[[#This Row],[Data da Venda]],"mmm"))</f>
        <v>ABR</v>
      </c>
    </row>
    <row r="1686" spans="1:13" x14ac:dyDescent="0.25">
      <c r="A1686" t="s">
        <v>16</v>
      </c>
      <c r="B1686">
        <v>1400</v>
      </c>
      <c r="C1686">
        <v>3</v>
      </c>
      <c r="D1686" t="s">
        <v>31</v>
      </c>
      <c r="E1686" t="s">
        <v>645</v>
      </c>
      <c r="F1686" t="s">
        <v>1249</v>
      </c>
      <c r="G1686" t="s">
        <v>650</v>
      </c>
      <c r="H1686">
        <v>50</v>
      </c>
      <c r="I1686" t="s">
        <v>644</v>
      </c>
      <c r="J1686">
        <v>4200</v>
      </c>
      <c r="K1686" s="1">
        <v>44125</v>
      </c>
      <c r="L1686">
        <v>2020</v>
      </c>
      <c r="M1686" t="str">
        <f>UPPER(TEXT(_2020_2022[[#This Row],[Data da Venda]],"mmm"))</f>
        <v>OUT</v>
      </c>
    </row>
    <row r="1687" spans="1:13" x14ac:dyDescent="0.25">
      <c r="A1687" t="s">
        <v>1444</v>
      </c>
      <c r="B1687">
        <v>1500</v>
      </c>
      <c r="C1687">
        <v>3</v>
      </c>
      <c r="D1687" t="s">
        <v>36</v>
      </c>
      <c r="E1687" t="s">
        <v>677</v>
      </c>
      <c r="F1687" t="s">
        <v>728</v>
      </c>
      <c r="G1687" t="s">
        <v>643</v>
      </c>
      <c r="H1687">
        <v>60</v>
      </c>
      <c r="I1687" t="s">
        <v>647</v>
      </c>
      <c r="J1687">
        <v>4500</v>
      </c>
      <c r="K1687" s="1">
        <v>44109</v>
      </c>
      <c r="L1687">
        <v>2020</v>
      </c>
      <c r="M1687" t="str">
        <f>UPPER(TEXT(_2020_2022[[#This Row],[Data da Venda]],"mmm"))</f>
        <v>OUT</v>
      </c>
    </row>
    <row r="1688" spans="1:13" x14ac:dyDescent="0.25">
      <c r="A1688" t="s">
        <v>1442</v>
      </c>
      <c r="B1688">
        <v>1200</v>
      </c>
      <c r="C1688">
        <v>4</v>
      </c>
      <c r="D1688" t="s">
        <v>41</v>
      </c>
      <c r="E1688" t="s">
        <v>681</v>
      </c>
      <c r="F1688" t="s">
        <v>1048</v>
      </c>
      <c r="G1688" t="s">
        <v>643</v>
      </c>
      <c r="H1688">
        <v>38</v>
      </c>
      <c r="I1688" t="s">
        <v>644</v>
      </c>
      <c r="J1688">
        <v>4800</v>
      </c>
      <c r="K1688" s="1">
        <v>44143</v>
      </c>
      <c r="L1688">
        <v>2020</v>
      </c>
      <c r="M1688" t="str">
        <f>UPPER(TEXT(_2020_2022[[#This Row],[Data da Venda]],"mmm"))</f>
        <v>NOV</v>
      </c>
    </row>
    <row r="1689" spans="1:13" x14ac:dyDescent="0.25">
      <c r="A1689" t="s">
        <v>1443</v>
      </c>
      <c r="B1689">
        <v>1550</v>
      </c>
      <c r="C1689">
        <v>2</v>
      </c>
      <c r="D1689" t="s">
        <v>38</v>
      </c>
      <c r="E1689" t="s">
        <v>648</v>
      </c>
      <c r="F1689" t="s">
        <v>883</v>
      </c>
      <c r="G1689" t="s">
        <v>643</v>
      </c>
      <c r="H1689">
        <v>31</v>
      </c>
      <c r="I1689" t="s">
        <v>644</v>
      </c>
      <c r="J1689">
        <v>3100</v>
      </c>
      <c r="K1689" s="1">
        <v>43942</v>
      </c>
      <c r="L1689">
        <v>2020</v>
      </c>
      <c r="M1689" t="str">
        <f>UPPER(TEXT(_2020_2022[[#This Row],[Data da Venda]],"mmm"))</f>
        <v>ABR</v>
      </c>
    </row>
    <row r="1690" spans="1:13" x14ac:dyDescent="0.25">
      <c r="A1690" t="s">
        <v>1445</v>
      </c>
      <c r="B1690">
        <v>1500</v>
      </c>
      <c r="C1690">
        <v>3</v>
      </c>
      <c r="D1690" t="s">
        <v>37</v>
      </c>
      <c r="E1690" t="s">
        <v>645</v>
      </c>
      <c r="F1690" t="s">
        <v>973</v>
      </c>
      <c r="G1690" t="s">
        <v>643</v>
      </c>
      <c r="H1690">
        <v>72</v>
      </c>
      <c r="I1690" t="s">
        <v>647</v>
      </c>
      <c r="J1690">
        <v>4500</v>
      </c>
      <c r="K1690" s="1">
        <v>44174</v>
      </c>
      <c r="L1690">
        <v>2020</v>
      </c>
      <c r="M1690" t="str">
        <f>UPPER(TEXT(_2020_2022[[#This Row],[Data da Venda]],"mmm"))</f>
        <v>DEZ</v>
      </c>
    </row>
    <row r="1691" spans="1:13" x14ac:dyDescent="0.25">
      <c r="A1691" t="s">
        <v>9</v>
      </c>
      <c r="B1691">
        <v>1500</v>
      </c>
      <c r="C1691">
        <v>5</v>
      </c>
      <c r="D1691" t="s">
        <v>34</v>
      </c>
      <c r="E1691" t="s">
        <v>679</v>
      </c>
      <c r="F1691" t="s">
        <v>1321</v>
      </c>
      <c r="G1691" t="s">
        <v>643</v>
      </c>
      <c r="H1691">
        <v>45</v>
      </c>
      <c r="I1691" t="s">
        <v>644</v>
      </c>
      <c r="J1691">
        <v>7500</v>
      </c>
      <c r="K1691" s="1">
        <v>43851</v>
      </c>
      <c r="L1691">
        <v>2020</v>
      </c>
      <c r="M1691" t="str">
        <f>UPPER(TEXT(_2020_2022[[#This Row],[Data da Venda]],"mmm"))</f>
        <v>JAN</v>
      </c>
    </row>
    <row r="1692" spans="1:13" x14ac:dyDescent="0.25">
      <c r="A1692" t="s">
        <v>1442</v>
      </c>
      <c r="B1692">
        <v>1200</v>
      </c>
      <c r="C1692">
        <v>3</v>
      </c>
      <c r="D1692" t="s">
        <v>29</v>
      </c>
      <c r="E1692" t="s">
        <v>641</v>
      </c>
      <c r="F1692" t="s">
        <v>1148</v>
      </c>
      <c r="G1692" t="s">
        <v>643</v>
      </c>
      <c r="H1692">
        <v>49</v>
      </c>
      <c r="I1692" t="s">
        <v>644</v>
      </c>
      <c r="J1692">
        <v>3600</v>
      </c>
      <c r="K1692" s="1">
        <v>44114</v>
      </c>
      <c r="L1692">
        <v>2020</v>
      </c>
      <c r="M1692" t="str">
        <f>UPPER(TEXT(_2020_2022[[#This Row],[Data da Venda]],"mmm"))</f>
        <v>OUT</v>
      </c>
    </row>
    <row r="1693" spans="1:13" x14ac:dyDescent="0.25">
      <c r="A1693" t="s">
        <v>5</v>
      </c>
      <c r="B1693">
        <v>1750</v>
      </c>
      <c r="C1693">
        <v>3</v>
      </c>
      <c r="D1693" t="s">
        <v>29</v>
      </c>
      <c r="E1693" t="s">
        <v>641</v>
      </c>
      <c r="F1693" t="s">
        <v>1338</v>
      </c>
      <c r="G1693" t="s">
        <v>643</v>
      </c>
      <c r="H1693">
        <v>35</v>
      </c>
      <c r="I1693" t="s">
        <v>644</v>
      </c>
      <c r="J1693">
        <v>5250</v>
      </c>
      <c r="K1693" s="1">
        <v>44023</v>
      </c>
      <c r="L1693">
        <v>2020</v>
      </c>
      <c r="M1693" t="str">
        <f>UPPER(TEXT(_2020_2022[[#This Row],[Data da Venda]],"mmm"))</f>
        <v>JUL</v>
      </c>
    </row>
    <row r="1694" spans="1:13" x14ac:dyDescent="0.25">
      <c r="A1694" t="s">
        <v>14</v>
      </c>
      <c r="B1694">
        <v>2000</v>
      </c>
      <c r="C1694">
        <v>2</v>
      </c>
      <c r="D1694" t="s">
        <v>29</v>
      </c>
      <c r="E1694" t="s">
        <v>641</v>
      </c>
      <c r="F1694" t="s">
        <v>1033</v>
      </c>
      <c r="G1694" t="s">
        <v>650</v>
      </c>
      <c r="H1694">
        <v>44</v>
      </c>
      <c r="I1694" t="s">
        <v>644</v>
      </c>
      <c r="J1694">
        <v>4000</v>
      </c>
      <c r="K1694" s="1">
        <v>44177</v>
      </c>
      <c r="L1694">
        <v>2020</v>
      </c>
      <c r="M1694" t="str">
        <f>UPPER(TEXT(_2020_2022[[#This Row],[Data da Venda]],"mmm"))</f>
        <v>DEZ</v>
      </c>
    </row>
    <row r="1695" spans="1:13" x14ac:dyDescent="0.25">
      <c r="A1695" t="s">
        <v>20</v>
      </c>
      <c r="B1695">
        <v>2600</v>
      </c>
      <c r="C1695">
        <v>2</v>
      </c>
      <c r="D1695" t="s">
        <v>36</v>
      </c>
      <c r="E1695" t="s">
        <v>677</v>
      </c>
      <c r="F1695" t="s">
        <v>799</v>
      </c>
      <c r="G1695" t="s">
        <v>650</v>
      </c>
      <c r="H1695">
        <v>50</v>
      </c>
      <c r="I1695" t="s">
        <v>644</v>
      </c>
      <c r="J1695">
        <v>5200</v>
      </c>
      <c r="K1695" s="1">
        <v>43886</v>
      </c>
      <c r="L1695">
        <v>2020</v>
      </c>
      <c r="M1695" t="str">
        <f>UPPER(TEXT(_2020_2022[[#This Row],[Data da Venda]],"mmm"))</f>
        <v>FEV</v>
      </c>
    </row>
    <row r="1696" spans="1:13" x14ac:dyDescent="0.25">
      <c r="A1696" t="s">
        <v>8</v>
      </c>
      <c r="B1696">
        <v>5500</v>
      </c>
      <c r="C1696">
        <v>3</v>
      </c>
      <c r="D1696" t="s">
        <v>29</v>
      </c>
      <c r="E1696" t="s">
        <v>641</v>
      </c>
      <c r="F1696" t="s">
        <v>1339</v>
      </c>
      <c r="G1696" t="s">
        <v>643</v>
      </c>
      <c r="H1696">
        <v>37</v>
      </c>
      <c r="I1696" t="s">
        <v>644</v>
      </c>
      <c r="J1696">
        <v>16500</v>
      </c>
      <c r="K1696" s="1">
        <v>44140</v>
      </c>
      <c r="L1696">
        <v>2020</v>
      </c>
      <c r="M1696" t="str">
        <f>UPPER(TEXT(_2020_2022[[#This Row],[Data da Venda]],"mmm"))</f>
        <v>NOV</v>
      </c>
    </row>
    <row r="1697" spans="1:13" x14ac:dyDescent="0.25">
      <c r="A1697" t="s">
        <v>15</v>
      </c>
      <c r="B1697">
        <v>1900</v>
      </c>
      <c r="C1697">
        <v>3</v>
      </c>
      <c r="D1697" t="s">
        <v>35</v>
      </c>
      <c r="E1697" t="s">
        <v>666</v>
      </c>
      <c r="F1697" t="s">
        <v>1006</v>
      </c>
      <c r="G1697" t="s">
        <v>650</v>
      </c>
      <c r="H1697">
        <v>27</v>
      </c>
      <c r="I1697" t="s">
        <v>651</v>
      </c>
      <c r="J1697">
        <v>5700</v>
      </c>
      <c r="K1697" s="1">
        <v>43858</v>
      </c>
      <c r="L1697">
        <v>2020</v>
      </c>
      <c r="M1697" t="str">
        <f>UPPER(TEXT(_2020_2022[[#This Row],[Data da Venda]],"mmm"))</f>
        <v>JAN</v>
      </c>
    </row>
    <row r="1698" spans="1:13" x14ac:dyDescent="0.25">
      <c r="A1698" t="s">
        <v>1442</v>
      </c>
      <c r="B1698">
        <v>1200</v>
      </c>
      <c r="C1698">
        <v>5</v>
      </c>
      <c r="D1698" t="s">
        <v>40</v>
      </c>
      <c r="E1698" t="s">
        <v>657</v>
      </c>
      <c r="F1698" t="s">
        <v>1340</v>
      </c>
      <c r="G1698" t="s">
        <v>650</v>
      </c>
      <c r="H1698">
        <v>53</v>
      </c>
      <c r="I1698" t="s">
        <v>647</v>
      </c>
      <c r="J1698">
        <v>6000</v>
      </c>
      <c r="K1698" s="1">
        <v>43963</v>
      </c>
      <c r="L1698">
        <v>2020</v>
      </c>
      <c r="M1698" t="str">
        <f>UPPER(TEXT(_2020_2022[[#This Row],[Data da Venda]],"mmm"))</f>
        <v>MAI</v>
      </c>
    </row>
    <row r="1699" spans="1:13" x14ac:dyDescent="0.25">
      <c r="A1699" t="s">
        <v>16</v>
      </c>
      <c r="B1699">
        <v>1400</v>
      </c>
      <c r="C1699">
        <v>1</v>
      </c>
      <c r="D1699" t="s">
        <v>32</v>
      </c>
      <c r="E1699" t="s">
        <v>652</v>
      </c>
      <c r="F1699" t="s">
        <v>797</v>
      </c>
      <c r="G1699" t="s">
        <v>643</v>
      </c>
      <c r="H1699">
        <v>56</v>
      </c>
      <c r="I1699" t="s">
        <v>647</v>
      </c>
      <c r="J1699">
        <v>1400</v>
      </c>
      <c r="K1699" s="1">
        <v>43942</v>
      </c>
      <c r="L1699">
        <v>2020</v>
      </c>
      <c r="M1699" t="str">
        <f>UPPER(TEXT(_2020_2022[[#This Row],[Data da Venda]],"mmm"))</f>
        <v>ABR</v>
      </c>
    </row>
    <row r="1700" spans="1:13" x14ac:dyDescent="0.25">
      <c r="A1700" t="s">
        <v>18</v>
      </c>
      <c r="B1700">
        <v>3000</v>
      </c>
      <c r="C1700">
        <v>4</v>
      </c>
      <c r="D1700" t="s">
        <v>38</v>
      </c>
      <c r="E1700" t="s">
        <v>648</v>
      </c>
      <c r="F1700" t="s">
        <v>837</v>
      </c>
      <c r="G1700" t="s">
        <v>650</v>
      </c>
      <c r="H1700">
        <v>63</v>
      </c>
      <c r="I1700" t="s">
        <v>647</v>
      </c>
      <c r="J1700">
        <v>12000</v>
      </c>
      <c r="K1700" s="1">
        <v>43970</v>
      </c>
      <c r="L1700">
        <v>2020</v>
      </c>
      <c r="M1700" t="str">
        <f>UPPER(TEXT(_2020_2022[[#This Row],[Data da Venda]],"mmm"))</f>
        <v>MAI</v>
      </c>
    </row>
    <row r="1701" spans="1:13" x14ac:dyDescent="0.25">
      <c r="A1701" t="s">
        <v>26</v>
      </c>
      <c r="B1701">
        <v>1100</v>
      </c>
      <c r="C1701">
        <v>3</v>
      </c>
      <c r="D1701" t="s">
        <v>33</v>
      </c>
      <c r="E1701" t="s">
        <v>641</v>
      </c>
      <c r="F1701" t="s">
        <v>1159</v>
      </c>
      <c r="G1701" t="s">
        <v>643</v>
      </c>
      <c r="H1701">
        <v>48</v>
      </c>
      <c r="I1701" t="s">
        <v>644</v>
      </c>
      <c r="J1701">
        <v>3300</v>
      </c>
      <c r="K1701" s="1">
        <v>44094</v>
      </c>
      <c r="L1701">
        <v>2020</v>
      </c>
      <c r="M1701" t="str">
        <f>UPPER(TEXT(_2020_2022[[#This Row],[Data da Venda]],"mmm"))</f>
        <v>SET</v>
      </c>
    </row>
    <row r="1702" spans="1:13" x14ac:dyDescent="0.25">
      <c r="A1702" t="s">
        <v>11</v>
      </c>
      <c r="B1702">
        <v>4500</v>
      </c>
      <c r="C1702">
        <v>2</v>
      </c>
      <c r="D1702" t="s">
        <v>35</v>
      </c>
      <c r="E1702" t="s">
        <v>666</v>
      </c>
      <c r="F1702" t="s">
        <v>697</v>
      </c>
      <c r="G1702" t="s">
        <v>650</v>
      </c>
      <c r="H1702">
        <v>41</v>
      </c>
      <c r="I1702" t="s">
        <v>644</v>
      </c>
      <c r="J1702">
        <v>9000</v>
      </c>
      <c r="K1702" s="1">
        <v>44152</v>
      </c>
      <c r="L1702">
        <v>2020</v>
      </c>
      <c r="M1702" t="str">
        <f>UPPER(TEXT(_2020_2022[[#This Row],[Data da Venda]],"mmm"))</f>
        <v>NOV</v>
      </c>
    </row>
    <row r="1703" spans="1:13" x14ac:dyDescent="0.25">
      <c r="A1703" t="s">
        <v>12</v>
      </c>
      <c r="B1703">
        <v>6500</v>
      </c>
      <c r="C1703">
        <v>4</v>
      </c>
      <c r="D1703" t="s">
        <v>33</v>
      </c>
      <c r="E1703" t="s">
        <v>641</v>
      </c>
      <c r="F1703" t="s">
        <v>840</v>
      </c>
      <c r="G1703" t="s">
        <v>650</v>
      </c>
      <c r="H1703">
        <v>64</v>
      </c>
      <c r="I1703" t="s">
        <v>647</v>
      </c>
      <c r="J1703">
        <v>26000</v>
      </c>
      <c r="K1703" s="1">
        <v>44030</v>
      </c>
      <c r="L1703">
        <v>2020</v>
      </c>
      <c r="M1703" t="str">
        <f>UPPER(TEXT(_2020_2022[[#This Row],[Data da Venda]],"mmm"))</f>
        <v>JUL</v>
      </c>
    </row>
    <row r="1704" spans="1:13" x14ac:dyDescent="0.25">
      <c r="A1704" t="s">
        <v>20</v>
      </c>
      <c r="B1704">
        <v>2600</v>
      </c>
      <c r="C1704">
        <v>2</v>
      </c>
      <c r="D1704" t="s">
        <v>34</v>
      </c>
      <c r="E1704" t="s">
        <v>679</v>
      </c>
      <c r="F1704" t="s">
        <v>906</v>
      </c>
      <c r="G1704" t="s">
        <v>650</v>
      </c>
      <c r="H1704">
        <v>58</v>
      </c>
      <c r="I1704" t="s">
        <v>647</v>
      </c>
      <c r="J1704">
        <v>5200</v>
      </c>
      <c r="K1704" s="1">
        <v>43898</v>
      </c>
      <c r="L1704">
        <v>2020</v>
      </c>
      <c r="M1704" t="str">
        <f>UPPER(TEXT(_2020_2022[[#This Row],[Data da Venda]],"mmm"))</f>
        <v>MAR</v>
      </c>
    </row>
    <row r="1705" spans="1:13" x14ac:dyDescent="0.25">
      <c r="A1705" t="s">
        <v>11</v>
      </c>
      <c r="B1705">
        <v>4500</v>
      </c>
      <c r="C1705">
        <v>1</v>
      </c>
      <c r="D1705" t="s">
        <v>34</v>
      </c>
      <c r="E1705" t="s">
        <v>679</v>
      </c>
      <c r="F1705" t="s">
        <v>896</v>
      </c>
      <c r="G1705" t="s">
        <v>643</v>
      </c>
      <c r="H1705">
        <v>71</v>
      </c>
      <c r="I1705" t="s">
        <v>647</v>
      </c>
      <c r="J1705">
        <v>4500</v>
      </c>
      <c r="K1705" s="1">
        <v>43961</v>
      </c>
      <c r="L1705">
        <v>2020</v>
      </c>
      <c r="M1705" t="str">
        <f>UPPER(TEXT(_2020_2022[[#This Row],[Data da Venda]],"mmm"))</f>
        <v>MAI</v>
      </c>
    </row>
    <row r="1706" spans="1:13" x14ac:dyDescent="0.25">
      <c r="A1706" t="s">
        <v>5</v>
      </c>
      <c r="B1706">
        <v>1750</v>
      </c>
      <c r="C1706">
        <v>4</v>
      </c>
      <c r="D1706" t="s">
        <v>41</v>
      </c>
      <c r="E1706" t="s">
        <v>681</v>
      </c>
      <c r="F1706" t="s">
        <v>1341</v>
      </c>
      <c r="G1706" t="s">
        <v>650</v>
      </c>
      <c r="H1706">
        <v>56</v>
      </c>
      <c r="I1706" t="s">
        <v>647</v>
      </c>
      <c r="J1706">
        <v>7000</v>
      </c>
      <c r="K1706" s="1">
        <v>44136</v>
      </c>
      <c r="L1706">
        <v>2020</v>
      </c>
      <c r="M1706" t="str">
        <f>UPPER(TEXT(_2020_2022[[#This Row],[Data da Venda]],"mmm"))</f>
        <v>NOV</v>
      </c>
    </row>
    <row r="1707" spans="1:13" x14ac:dyDescent="0.25">
      <c r="A1707" t="s">
        <v>8</v>
      </c>
      <c r="B1707">
        <v>5500</v>
      </c>
      <c r="C1707">
        <v>2</v>
      </c>
      <c r="D1707" t="s">
        <v>41</v>
      </c>
      <c r="E1707" t="s">
        <v>681</v>
      </c>
      <c r="F1707" t="s">
        <v>1213</v>
      </c>
      <c r="G1707" t="s">
        <v>643</v>
      </c>
      <c r="H1707">
        <v>56</v>
      </c>
      <c r="I1707" t="s">
        <v>647</v>
      </c>
      <c r="J1707">
        <v>11000</v>
      </c>
      <c r="K1707" s="1">
        <v>44112</v>
      </c>
      <c r="L1707">
        <v>2020</v>
      </c>
      <c r="M1707" t="str">
        <f>UPPER(TEXT(_2020_2022[[#This Row],[Data da Venda]],"mmm"))</f>
        <v>OUT</v>
      </c>
    </row>
    <row r="1708" spans="1:13" x14ac:dyDescent="0.25">
      <c r="A1708" t="s">
        <v>1444</v>
      </c>
      <c r="B1708">
        <v>1500</v>
      </c>
      <c r="C1708">
        <v>3</v>
      </c>
      <c r="D1708" t="s">
        <v>40</v>
      </c>
      <c r="E1708" t="s">
        <v>657</v>
      </c>
      <c r="F1708" t="s">
        <v>784</v>
      </c>
      <c r="G1708" t="s">
        <v>650</v>
      </c>
      <c r="H1708">
        <v>41</v>
      </c>
      <c r="I1708" t="s">
        <v>644</v>
      </c>
      <c r="J1708">
        <v>4500</v>
      </c>
      <c r="K1708" s="1">
        <v>43891</v>
      </c>
      <c r="L1708">
        <v>2020</v>
      </c>
      <c r="M1708" t="str">
        <f>UPPER(TEXT(_2020_2022[[#This Row],[Data da Venda]],"mmm"))</f>
        <v>MAR</v>
      </c>
    </row>
    <row r="1709" spans="1:13" x14ac:dyDescent="0.25">
      <c r="A1709" t="s">
        <v>1444</v>
      </c>
      <c r="B1709">
        <v>1500</v>
      </c>
      <c r="C1709">
        <v>3</v>
      </c>
      <c r="D1709" t="s">
        <v>37</v>
      </c>
      <c r="E1709" t="s">
        <v>645</v>
      </c>
      <c r="F1709" t="s">
        <v>1258</v>
      </c>
      <c r="G1709" t="s">
        <v>643</v>
      </c>
      <c r="H1709">
        <v>61</v>
      </c>
      <c r="I1709" t="s">
        <v>647</v>
      </c>
      <c r="J1709">
        <v>4500</v>
      </c>
      <c r="K1709" s="1">
        <v>44036</v>
      </c>
      <c r="L1709">
        <v>2020</v>
      </c>
      <c r="M1709" t="str">
        <f>UPPER(TEXT(_2020_2022[[#This Row],[Data da Venda]],"mmm"))</f>
        <v>JUL</v>
      </c>
    </row>
    <row r="1710" spans="1:13" x14ac:dyDescent="0.25">
      <c r="A1710" t="s">
        <v>1442</v>
      </c>
      <c r="B1710">
        <v>1200</v>
      </c>
      <c r="C1710">
        <v>1</v>
      </c>
      <c r="D1710" t="s">
        <v>40</v>
      </c>
      <c r="E1710" t="s">
        <v>657</v>
      </c>
      <c r="F1710" t="s">
        <v>1230</v>
      </c>
      <c r="G1710" t="s">
        <v>643</v>
      </c>
      <c r="H1710">
        <v>37</v>
      </c>
      <c r="I1710" t="s">
        <v>644</v>
      </c>
      <c r="J1710">
        <v>1200</v>
      </c>
      <c r="K1710" s="1">
        <v>43952</v>
      </c>
      <c r="L1710">
        <v>2020</v>
      </c>
      <c r="M1710" t="str">
        <f>UPPER(TEXT(_2020_2022[[#This Row],[Data da Venda]],"mmm"))</f>
        <v>MAI</v>
      </c>
    </row>
    <row r="1711" spans="1:13" x14ac:dyDescent="0.25">
      <c r="A1711" t="s">
        <v>1443</v>
      </c>
      <c r="B1711">
        <v>1550</v>
      </c>
      <c r="C1711">
        <v>5</v>
      </c>
      <c r="D1711" t="s">
        <v>34</v>
      </c>
      <c r="E1711" t="s">
        <v>679</v>
      </c>
      <c r="F1711" t="s">
        <v>1342</v>
      </c>
      <c r="G1711" t="s">
        <v>643</v>
      </c>
      <c r="H1711">
        <v>39</v>
      </c>
      <c r="I1711" t="s">
        <v>644</v>
      </c>
      <c r="J1711">
        <v>7750</v>
      </c>
      <c r="K1711" s="1">
        <v>44003</v>
      </c>
      <c r="L1711">
        <v>2020</v>
      </c>
      <c r="M1711" t="str">
        <f>UPPER(TEXT(_2020_2022[[#This Row],[Data da Venda]],"mmm"))</f>
        <v>JUN</v>
      </c>
    </row>
    <row r="1712" spans="1:13" x14ac:dyDescent="0.25">
      <c r="A1712" t="s">
        <v>1441</v>
      </c>
      <c r="B1712">
        <v>1450</v>
      </c>
      <c r="C1712">
        <v>2</v>
      </c>
      <c r="D1712" t="s">
        <v>33</v>
      </c>
      <c r="E1712" t="s">
        <v>641</v>
      </c>
      <c r="F1712" t="s">
        <v>723</v>
      </c>
      <c r="G1712" t="s">
        <v>643</v>
      </c>
      <c r="H1712">
        <v>41</v>
      </c>
      <c r="I1712" t="s">
        <v>644</v>
      </c>
      <c r="J1712">
        <v>2900</v>
      </c>
      <c r="K1712" s="1">
        <v>43904</v>
      </c>
      <c r="L1712">
        <v>2020</v>
      </c>
      <c r="M1712" t="str">
        <f>UPPER(TEXT(_2020_2022[[#This Row],[Data da Venda]],"mmm"))</f>
        <v>MAR</v>
      </c>
    </row>
    <row r="1713" spans="1:13" x14ac:dyDescent="0.25">
      <c r="A1713" t="s">
        <v>12</v>
      </c>
      <c r="B1713">
        <v>6500</v>
      </c>
      <c r="C1713">
        <v>4</v>
      </c>
      <c r="D1713" t="s">
        <v>38</v>
      </c>
      <c r="E1713" t="s">
        <v>648</v>
      </c>
      <c r="F1713" t="s">
        <v>693</v>
      </c>
      <c r="G1713" t="s">
        <v>643</v>
      </c>
      <c r="H1713">
        <v>62</v>
      </c>
      <c r="I1713" t="s">
        <v>647</v>
      </c>
      <c r="J1713">
        <v>26000</v>
      </c>
      <c r="K1713" s="1">
        <v>44089</v>
      </c>
      <c r="L1713">
        <v>2020</v>
      </c>
      <c r="M1713" t="str">
        <f>UPPER(TEXT(_2020_2022[[#This Row],[Data da Venda]],"mmm"))</f>
        <v>SET</v>
      </c>
    </row>
    <row r="1714" spans="1:13" x14ac:dyDescent="0.25">
      <c r="A1714" t="s">
        <v>7</v>
      </c>
      <c r="B1714">
        <v>750</v>
      </c>
      <c r="C1714">
        <v>2</v>
      </c>
      <c r="D1714" t="s">
        <v>39</v>
      </c>
      <c r="E1714" t="s">
        <v>641</v>
      </c>
      <c r="F1714" t="s">
        <v>1318</v>
      </c>
      <c r="G1714" t="s">
        <v>643</v>
      </c>
      <c r="H1714">
        <v>63</v>
      </c>
      <c r="I1714" t="s">
        <v>647</v>
      </c>
      <c r="J1714">
        <v>1500</v>
      </c>
      <c r="K1714" s="1">
        <v>44068</v>
      </c>
      <c r="L1714">
        <v>2020</v>
      </c>
      <c r="M1714" t="str">
        <f>UPPER(TEXT(_2020_2022[[#This Row],[Data da Venda]],"mmm"))</f>
        <v>AGO</v>
      </c>
    </row>
    <row r="1715" spans="1:13" x14ac:dyDescent="0.25">
      <c r="A1715" t="s">
        <v>1443</v>
      </c>
      <c r="B1715">
        <v>1550</v>
      </c>
      <c r="C1715">
        <v>5</v>
      </c>
      <c r="D1715" t="s">
        <v>32</v>
      </c>
      <c r="E1715" t="s">
        <v>652</v>
      </c>
      <c r="F1715" t="s">
        <v>1053</v>
      </c>
      <c r="G1715" t="s">
        <v>643</v>
      </c>
      <c r="H1715">
        <v>27</v>
      </c>
      <c r="I1715" t="s">
        <v>651</v>
      </c>
      <c r="J1715">
        <v>7750</v>
      </c>
      <c r="K1715" s="1">
        <v>44140</v>
      </c>
      <c r="L1715">
        <v>2020</v>
      </c>
      <c r="M1715" t="str">
        <f>UPPER(TEXT(_2020_2022[[#This Row],[Data da Venda]],"mmm"))</f>
        <v>NOV</v>
      </c>
    </row>
    <row r="1716" spans="1:13" x14ac:dyDescent="0.25">
      <c r="A1716" t="s">
        <v>12</v>
      </c>
      <c r="B1716">
        <v>6500</v>
      </c>
      <c r="C1716">
        <v>2</v>
      </c>
      <c r="D1716" t="s">
        <v>37</v>
      </c>
      <c r="E1716" t="s">
        <v>645</v>
      </c>
      <c r="F1716" t="s">
        <v>1108</v>
      </c>
      <c r="G1716" t="s">
        <v>643</v>
      </c>
      <c r="H1716">
        <v>71</v>
      </c>
      <c r="I1716" t="s">
        <v>647</v>
      </c>
      <c r="J1716">
        <v>13000</v>
      </c>
      <c r="K1716" s="1">
        <v>43922</v>
      </c>
      <c r="L1716">
        <v>2020</v>
      </c>
      <c r="M1716" t="str">
        <f>UPPER(TEXT(_2020_2022[[#This Row],[Data da Venda]],"mmm"))</f>
        <v>ABR</v>
      </c>
    </row>
    <row r="1717" spans="1:13" x14ac:dyDescent="0.25">
      <c r="A1717" t="s">
        <v>22</v>
      </c>
      <c r="B1717">
        <v>5200</v>
      </c>
      <c r="C1717">
        <v>4</v>
      </c>
      <c r="D1717" t="s">
        <v>32</v>
      </c>
      <c r="E1717" t="s">
        <v>652</v>
      </c>
      <c r="F1717" t="s">
        <v>1259</v>
      </c>
      <c r="G1717" t="s">
        <v>643</v>
      </c>
      <c r="H1717">
        <v>69</v>
      </c>
      <c r="I1717" t="s">
        <v>647</v>
      </c>
      <c r="J1717">
        <v>20800</v>
      </c>
      <c r="K1717" s="1">
        <v>43894</v>
      </c>
      <c r="L1717">
        <v>2020</v>
      </c>
      <c r="M1717" t="str">
        <f>UPPER(TEXT(_2020_2022[[#This Row],[Data da Venda]],"mmm"))</f>
        <v>MAR</v>
      </c>
    </row>
    <row r="1718" spans="1:13" x14ac:dyDescent="0.25">
      <c r="A1718" t="s">
        <v>1440</v>
      </c>
      <c r="B1718">
        <v>700</v>
      </c>
      <c r="C1718">
        <v>5</v>
      </c>
      <c r="D1718" t="s">
        <v>29</v>
      </c>
      <c r="E1718" t="s">
        <v>641</v>
      </c>
      <c r="F1718" t="s">
        <v>957</v>
      </c>
      <c r="G1718" t="s">
        <v>643</v>
      </c>
      <c r="H1718">
        <v>38</v>
      </c>
      <c r="I1718" t="s">
        <v>644</v>
      </c>
      <c r="J1718">
        <v>3500</v>
      </c>
      <c r="K1718" s="1">
        <v>44009</v>
      </c>
      <c r="L1718">
        <v>2020</v>
      </c>
      <c r="M1718" t="str">
        <f>UPPER(TEXT(_2020_2022[[#This Row],[Data da Venda]],"mmm"))</f>
        <v>JUN</v>
      </c>
    </row>
    <row r="1719" spans="1:13" x14ac:dyDescent="0.25">
      <c r="A1719" t="s">
        <v>14</v>
      </c>
      <c r="B1719">
        <v>2000</v>
      </c>
      <c r="C1719">
        <v>3</v>
      </c>
      <c r="D1719" t="s">
        <v>32</v>
      </c>
      <c r="E1719" t="s">
        <v>652</v>
      </c>
      <c r="F1719" t="s">
        <v>750</v>
      </c>
      <c r="G1719" t="s">
        <v>650</v>
      </c>
      <c r="H1719">
        <v>43</v>
      </c>
      <c r="I1719" t="s">
        <v>644</v>
      </c>
      <c r="J1719">
        <v>6000</v>
      </c>
      <c r="K1719" s="1">
        <v>43974</v>
      </c>
      <c r="L1719">
        <v>2020</v>
      </c>
      <c r="M1719" t="str">
        <f>UPPER(TEXT(_2020_2022[[#This Row],[Data da Venda]],"mmm"))</f>
        <v>MAI</v>
      </c>
    </row>
    <row r="1720" spans="1:13" x14ac:dyDescent="0.25">
      <c r="A1720" t="s">
        <v>9</v>
      </c>
      <c r="B1720">
        <v>1500</v>
      </c>
      <c r="C1720">
        <v>4</v>
      </c>
      <c r="D1720" t="s">
        <v>39</v>
      </c>
      <c r="E1720" t="s">
        <v>641</v>
      </c>
      <c r="F1720" t="s">
        <v>844</v>
      </c>
      <c r="G1720" t="s">
        <v>650</v>
      </c>
      <c r="H1720">
        <v>30</v>
      </c>
      <c r="I1720" t="s">
        <v>644</v>
      </c>
      <c r="J1720">
        <v>6000</v>
      </c>
      <c r="K1720" s="1">
        <v>44135</v>
      </c>
      <c r="L1720">
        <v>2020</v>
      </c>
      <c r="M1720" t="str">
        <f>UPPER(TEXT(_2020_2022[[#This Row],[Data da Venda]],"mmm"))</f>
        <v>OUT</v>
      </c>
    </row>
    <row r="1721" spans="1:13" x14ac:dyDescent="0.25">
      <c r="A1721" t="s">
        <v>16</v>
      </c>
      <c r="B1721">
        <v>1400</v>
      </c>
      <c r="C1721">
        <v>5</v>
      </c>
      <c r="D1721" t="s">
        <v>35</v>
      </c>
      <c r="E1721" t="s">
        <v>666</v>
      </c>
      <c r="F1721" t="s">
        <v>985</v>
      </c>
      <c r="G1721" t="s">
        <v>643</v>
      </c>
      <c r="H1721">
        <v>42</v>
      </c>
      <c r="I1721" t="s">
        <v>644</v>
      </c>
      <c r="J1721">
        <v>7000</v>
      </c>
      <c r="K1721" s="1">
        <v>43929</v>
      </c>
      <c r="L1721">
        <v>2020</v>
      </c>
      <c r="M1721" t="str">
        <f>UPPER(TEXT(_2020_2022[[#This Row],[Data da Venda]],"mmm"))</f>
        <v>ABR</v>
      </c>
    </row>
    <row r="1722" spans="1:13" x14ac:dyDescent="0.25">
      <c r="A1722" t="s">
        <v>25</v>
      </c>
      <c r="B1722">
        <v>2500</v>
      </c>
      <c r="C1722">
        <v>1</v>
      </c>
      <c r="D1722" t="s">
        <v>33</v>
      </c>
      <c r="E1722" t="s">
        <v>641</v>
      </c>
      <c r="F1722" t="s">
        <v>1189</v>
      </c>
      <c r="G1722" t="s">
        <v>650</v>
      </c>
      <c r="H1722">
        <v>70</v>
      </c>
      <c r="I1722" t="s">
        <v>647</v>
      </c>
      <c r="J1722">
        <v>2500</v>
      </c>
      <c r="K1722" s="1">
        <v>44055</v>
      </c>
      <c r="L1722">
        <v>2020</v>
      </c>
      <c r="M1722" t="str">
        <f>UPPER(TEXT(_2020_2022[[#This Row],[Data da Venda]],"mmm"))</f>
        <v>AGO</v>
      </c>
    </row>
    <row r="1723" spans="1:13" x14ac:dyDescent="0.25">
      <c r="A1723" t="s">
        <v>24</v>
      </c>
      <c r="B1723">
        <v>2000</v>
      </c>
      <c r="C1723">
        <v>2</v>
      </c>
      <c r="D1723" t="s">
        <v>29</v>
      </c>
      <c r="E1723" t="s">
        <v>641</v>
      </c>
      <c r="F1723" t="s">
        <v>1169</v>
      </c>
      <c r="G1723" t="s">
        <v>650</v>
      </c>
      <c r="H1723">
        <v>54</v>
      </c>
      <c r="I1723" t="s">
        <v>647</v>
      </c>
      <c r="J1723">
        <v>4000</v>
      </c>
      <c r="K1723" s="1">
        <v>43986</v>
      </c>
      <c r="L1723">
        <v>2020</v>
      </c>
      <c r="M1723" t="str">
        <f>UPPER(TEXT(_2020_2022[[#This Row],[Data da Venda]],"mmm"))</f>
        <v>JUN</v>
      </c>
    </row>
    <row r="1724" spans="1:13" x14ac:dyDescent="0.25">
      <c r="A1724" t="s">
        <v>1443</v>
      </c>
      <c r="B1724">
        <v>1550</v>
      </c>
      <c r="C1724">
        <v>3</v>
      </c>
      <c r="D1724" t="s">
        <v>41</v>
      </c>
      <c r="E1724" t="s">
        <v>681</v>
      </c>
      <c r="F1724" t="s">
        <v>860</v>
      </c>
      <c r="G1724" t="s">
        <v>643</v>
      </c>
      <c r="H1724">
        <v>42</v>
      </c>
      <c r="I1724" t="s">
        <v>644</v>
      </c>
      <c r="J1724">
        <v>4650</v>
      </c>
      <c r="K1724" s="1">
        <v>43959</v>
      </c>
      <c r="L1724">
        <v>2020</v>
      </c>
      <c r="M1724" t="str">
        <f>UPPER(TEXT(_2020_2022[[#This Row],[Data da Venda]],"mmm"))</f>
        <v>MAI</v>
      </c>
    </row>
    <row r="1725" spans="1:13" x14ac:dyDescent="0.25">
      <c r="A1725" t="s">
        <v>5</v>
      </c>
      <c r="B1725">
        <v>1750</v>
      </c>
      <c r="C1725">
        <v>2</v>
      </c>
      <c r="D1725" t="s">
        <v>35</v>
      </c>
      <c r="E1725" t="s">
        <v>666</v>
      </c>
      <c r="F1725" t="s">
        <v>1181</v>
      </c>
      <c r="G1725" t="s">
        <v>643</v>
      </c>
      <c r="H1725">
        <v>69</v>
      </c>
      <c r="I1725" t="s">
        <v>647</v>
      </c>
      <c r="J1725">
        <v>3500</v>
      </c>
      <c r="K1725" s="1">
        <v>44006</v>
      </c>
      <c r="L1725">
        <v>2020</v>
      </c>
      <c r="M1725" t="str">
        <f>UPPER(TEXT(_2020_2022[[#This Row],[Data da Venda]],"mmm"))</f>
        <v>JUN</v>
      </c>
    </row>
    <row r="1726" spans="1:13" x14ac:dyDescent="0.25">
      <c r="A1726" t="s">
        <v>28</v>
      </c>
      <c r="B1726">
        <v>1400</v>
      </c>
      <c r="C1726">
        <v>2</v>
      </c>
      <c r="D1726" t="s">
        <v>38</v>
      </c>
      <c r="E1726" t="s">
        <v>648</v>
      </c>
      <c r="F1726" t="s">
        <v>1017</v>
      </c>
      <c r="G1726" t="s">
        <v>643</v>
      </c>
      <c r="H1726">
        <v>58</v>
      </c>
      <c r="I1726" t="s">
        <v>647</v>
      </c>
      <c r="J1726">
        <v>2800</v>
      </c>
      <c r="K1726" s="1">
        <v>43968</v>
      </c>
      <c r="L1726">
        <v>2020</v>
      </c>
      <c r="M1726" t="str">
        <f>UPPER(TEXT(_2020_2022[[#This Row],[Data da Venda]],"mmm"))</f>
        <v>MAI</v>
      </c>
    </row>
    <row r="1727" spans="1:13" x14ac:dyDescent="0.25">
      <c r="A1727" t="s">
        <v>16</v>
      </c>
      <c r="B1727">
        <v>1400</v>
      </c>
      <c r="C1727">
        <v>1</v>
      </c>
      <c r="D1727" t="s">
        <v>39</v>
      </c>
      <c r="E1727" t="s">
        <v>641</v>
      </c>
      <c r="F1727" t="s">
        <v>1153</v>
      </c>
      <c r="G1727" t="s">
        <v>650</v>
      </c>
      <c r="H1727">
        <v>61</v>
      </c>
      <c r="I1727" t="s">
        <v>647</v>
      </c>
      <c r="J1727">
        <v>1400</v>
      </c>
      <c r="K1727" s="1">
        <v>44175</v>
      </c>
      <c r="L1727">
        <v>2020</v>
      </c>
      <c r="M1727" t="str">
        <f>UPPER(TEXT(_2020_2022[[#This Row],[Data da Venda]],"mmm"))</f>
        <v>DEZ</v>
      </c>
    </row>
    <row r="1728" spans="1:13" x14ac:dyDescent="0.25">
      <c r="A1728" t="s">
        <v>25</v>
      </c>
      <c r="B1728">
        <v>2500</v>
      </c>
      <c r="C1728">
        <v>4</v>
      </c>
      <c r="D1728" t="s">
        <v>33</v>
      </c>
      <c r="E1728" t="s">
        <v>641</v>
      </c>
      <c r="F1728" t="s">
        <v>683</v>
      </c>
      <c r="G1728" t="s">
        <v>643</v>
      </c>
      <c r="H1728">
        <v>76</v>
      </c>
      <c r="I1728" t="s">
        <v>647</v>
      </c>
      <c r="J1728">
        <v>10000</v>
      </c>
      <c r="K1728" s="1">
        <v>44129</v>
      </c>
      <c r="L1728">
        <v>2020</v>
      </c>
      <c r="M1728" t="str">
        <f>UPPER(TEXT(_2020_2022[[#This Row],[Data da Venda]],"mmm"))</f>
        <v>OUT</v>
      </c>
    </row>
    <row r="1729" spans="1:13" x14ac:dyDescent="0.25">
      <c r="A1729" t="s">
        <v>7</v>
      </c>
      <c r="B1729">
        <v>750</v>
      </c>
      <c r="C1729">
        <v>5</v>
      </c>
      <c r="D1729" t="s">
        <v>32</v>
      </c>
      <c r="E1729" t="s">
        <v>652</v>
      </c>
      <c r="F1729" t="s">
        <v>808</v>
      </c>
      <c r="G1729" t="s">
        <v>650</v>
      </c>
      <c r="H1729">
        <v>57</v>
      </c>
      <c r="I1729" t="s">
        <v>647</v>
      </c>
      <c r="J1729">
        <v>3750</v>
      </c>
      <c r="K1729" s="1">
        <v>43832</v>
      </c>
      <c r="L1729">
        <v>2020</v>
      </c>
      <c r="M1729" t="str">
        <f>UPPER(TEXT(_2020_2022[[#This Row],[Data da Venda]],"mmm"))</f>
        <v>JAN</v>
      </c>
    </row>
    <row r="1730" spans="1:13" x14ac:dyDescent="0.25">
      <c r="A1730" t="s">
        <v>24</v>
      </c>
      <c r="B1730">
        <v>2000</v>
      </c>
      <c r="C1730">
        <v>4</v>
      </c>
      <c r="D1730" t="s">
        <v>38</v>
      </c>
      <c r="E1730" t="s">
        <v>648</v>
      </c>
      <c r="F1730" t="s">
        <v>1091</v>
      </c>
      <c r="G1730" t="s">
        <v>650</v>
      </c>
      <c r="H1730">
        <v>40</v>
      </c>
      <c r="I1730" t="s">
        <v>644</v>
      </c>
      <c r="J1730">
        <v>8000</v>
      </c>
      <c r="K1730" s="1">
        <v>43867</v>
      </c>
      <c r="L1730">
        <v>2020</v>
      </c>
      <c r="M1730" t="str">
        <f>UPPER(TEXT(_2020_2022[[#This Row],[Data da Venda]],"mmm"))</f>
        <v>FEV</v>
      </c>
    </row>
    <row r="1731" spans="1:13" x14ac:dyDescent="0.25">
      <c r="A1731" t="s">
        <v>9</v>
      </c>
      <c r="B1731">
        <v>1500</v>
      </c>
      <c r="C1731">
        <v>4</v>
      </c>
      <c r="D1731" t="s">
        <v>29</v>
      </c>
      <c r="E1731" t="s">
        <v>641</v>
      </c>
      <c r="F1731" t="s">
        <v>1027</v>
      </c>
      <c r="G1731" t="s">
        <v>643</v>
      </c>
      <c r="H1731">
        <v>34</v>
      </c>
      <c r="I1731" t="s">
        <v>644</v>
      </c>
      <c r="J1731">
        <v>6000</v>
      </c>
      <c r="K1731" s="1">
        <v>44087</v>
      </c>
      <c r="L1731">
        <v>2020</v>
      </c>
      <c r="M1731" t="str">
        <f>UPPER(TEXT(_2020_2022[[#This Row],[Data da Venda]],"mmm"))</f>
        <v>SET</v>
      </c>
    </row>
    <row r="1732" spans="1:13" x14ac:dyDescent="0.25">
      <c r="A1732" t="s">
        <v>1445</v>
      </c>
      <c r="B1732">
        <v>1500</v>
      </c>
      <c r="C1732">
        <v>1</v>
      </c>
      <c r="D1732" t="s">
        <v>38</v>
      </c>
      <c r="E1732" t="s">
        <v>648</v>
      </c>
      <c r="F1732" t="s">
        <v>931</v>
      </c>
      <c r="G1732" t="s">
        <v>650</v>
      </c>
      <c r="H1732">
        <v>54</v>
      </c>
      <c r="I1732" t="s">
        <v>647</v>
      </c>
      <c r="J1732">
        <v>1500</v>
      </c>
      <c r="K1732" s="1">
        <v>44147</v>
      </c>
      <c r="L1732">
        <v>2020</v>
      </c>
      <c r="M1732" t="str">
        <f>UPPER(TEXT(_2020_2022[[#This Row],[Data da Venda]],"mmm"))</f>
        <v>NOV</v>
      </c>
    </row>
    <row r="1733" spans="1:13" x14ac:dyDescent="0.25">
      <c r="A1733" t="s">
        <v>20</v>
      </c>
      <c r="B1733">
        <v>2600</v>
      </c>
      <c r="C1733">
        <v>4</v>
      </c>
      <c r="D1733" t="s">
        <v>35</v>
      </c>
      <c r="E1733" t="s">
        <v>666</v>
      </c>
      <c r="F1733" t="s">
        <v>1134</v>
      </c>
      <c r="G1733" t="s">
        <v>650</v>
      </c>
      <c r="H1733">
        <v>68</v>
      </c>
      <c r="I1733" t="s">
        <v>647</v>
      </c>
      <c r="J1733">
        <v>10400</v>
      </c>
      <c r="K1733" s="1">
        <v>43930</v>
      </c>
      <c r="L1733">
        <v>2020</v>
      </c>
      <c r="M1733" t="str">
        <f>UPPER(TEXT(_2020_2022[[#This Row],[Data da Venda]],"mmm"))</f>
        <v>ABR</v>
      </c>
    </row>
    <row r="1734" spans="1:13" x14ac:dyDescent="0.25">
      <c r="A1734" t="s">
        <v>25</v>
      </c>
      <c r="B1734">
        <v>2500</v>
      </c>
      <c r="C1734">
        <v>1</v>
      </c>
      <c r="D1734" t="s">
        <v>29</v>
      </c>
      <c r="E1734" t="s">
        <v>641</v>
      </c>
      <c r="F1734" t="s">
        <v>787</v>
      </c>
      <c r="G1734" t="s">
        <v>650</v>
      </c>
      <c r="H1734">
        <v>68</v>
      </c>
      <c r="I1734" t="s">
        <v>647</v>
      </c>
      <c r="J1734">
        <v>2500</v>
      </c>
      <c r="K1734" s="1">
        <v>43939</v>
      </c>
      <c r="L1734">
        <v>2020</v>
      </c>
      <c r="M1734" t="str">
        <f>UPPER(TEXT(_2020_2022[[#This Row],[Data da Venda]],"mmm"))</f>
        <v>ABR</v>
      </c>
    </row>
    <row r="1735" spans="1:13" x14ac:dyDescent="0.25">
      <c r="A1735" t="s">
        <v>7</v>
      </c>
      <c r="B1735">
        <v>750</v>
      </c>
      <c r="C1735">
        <v>1</v>
      </c>
      <c r="D1735" t="s">
        <v>35</v>
      </c>
      <c r="E1735" t="s">
        <v>666</v>
      </c>
      <c r="F1735" t="s">
        <v>1343</v>
      </c>
      <c r="G1735" t="s">
        <v>650</v>
      </c>
      <c r="H1735">
        <v>33</v>
      </c>
      <c r="I1735" t="s">
        <v>644</v>
      </c>
      <c r="J1735">
        <v>750</v>
      </c>
      <c r="K1735" s="1">
        <v>43929</v>
      </c>
      <c r="L1735">
        <v>2020</v>
      </c>
      <c r="M1735" t="str">
        <f>UPPER(TEXT(_2020_2022[[#This Row],[Data da Venda]],"mmm"))</f>
        <v>ABR</v>
      </c>
    </row>
    <row r="1736" spans="1:13" x14ac:dyDescent="0.25">
      <c r="A1736" t="s">
        <v>1442</v>
      </c>
      <c r="B1736">
        <v>1200</v>
      </c>
      <c r="C1736">
        <v>2</v>
      </c>
      <c r="D1736" t="s">
        <v>41</v>
      </c>
      <c r="E1736" t="s">
        <v>681</v>
      </c>
      <c r="F1736" t="s">
        <v>1246</v>
      </c>
      <c r="G1736" t="s">
        <v>650</v>
      </c>
      <c r="H1736">
        <v>42</v>
      </c>
      <c r="I1736" t="s">
        <v>644</v>
      </c>
      <c r="J1736">
        <v>2400</v>
      </c>
      <c r="K1736" s="1">
        <v>44186</v>
      </c>
      <c r="L1736">
        <v>2020</v>
      </c>
      <c r="M1736" t="str">
        <f>UPPER(TEXT(_2020_2022[[#This Row],[Data da Venda]],"mmm"))</f>
        <v>DEZ</v>
      </c>
    </row>
    <row r="1737" spans="1:13" x14ac:dyDescent="0.25">
      <c r="A1737" t="s">
        <v>1441</v>
      </c>
      <c r="B1737">
        <v>1450</v>
      </c>
      <c r="C1737">
        <v>5</v>
      </c>
      <c r="D1737" t="s">
        <v>40</v>
      </c>
      <c r="E1737" t="s">
        <v>657</v>
      </c>
      <c r="F1737" t="s">
        <v>1230</v>
      </c>
      <c r="G1737" t="s">
        <v>643</v>
      </c>
      <c r="H1737">
        <v>37</v>
      </c>
      <c r="I1737" t="s">
        <v>644</v>
      </c>
      <c r="J1737">
        <v>7250</v>
      </c>
      <c r="K1737" s="1">
        <v>44185</v>
      </c>
      <c r="L1737">
        <v>2020</v>
      </c>
      <c r="M1737" t="str">
        <f>UPPER(TEXT(_2020_2022[[#This Row],[Data da Venda]],"mmm"))</f>
        <v>DEZ</v>
      </c>
    </row>
    <row r="1738" spans="1:13" x14ac:dyDescent="0.25">
      <c r="A1738" t="s">
        <v>25</v>
      </c>
      <c r="B1738">
        <v>2500</v>
      </c>
      <c r="C1738">
        <v>3</v>
      </c>
      <c r="D1738" t="s">
        <v>31</v>
      </c>
      <c r="E1738" t="s">
        <v>645</v>
      </c>
      <c r="F1738" t="s">
        <v>846</v>
      </c>
      <c r="G1738" t="s">
        <v>643</v>
      </c>
      <c r="H1738">
        <v>35</v>
      </c>
      <c r="I1738" t="s">
        <v>644</v>
      </c>
      <c r="J1738">
        <v>7500</v>
      </c>
      <c r="K1738" s="1">
        <v>44182</v>
      </c>
      <c r="L1738">
        <v>2020</v>
      </c>
      <c r="M1738" t="str">
        <f>UPPER(TEXT(_2020_2022[[#This Row],[Data da Venda]],"mmm"))</f>
        <v>DEZ</v>
      </c>
    </row>
    <row r="1739" spans="1:13" x14ac:dyDescent="0.25">
      <c r="A1739" t="s">
        <v>11</v>
      </c>
      <c r="B1739">
        <v>4500</v>
      </c>
      <c r="C1739">
        <v>5</v>
      </c>
      <c r="D1739" t="s">
        <v>31</v>
      </c>
      <c r="E1739" t="s">
        <v>645</v>
      </c>
      <c r="F1739" t="s">
        <v>1078</v>
      </c>
      <c r="G1739" t="s">
        <v>650</v>
      </c>
      <c r="H1739">
        <v>45</v>
      </c>
      <c r="I1739" t="s">
        <v>644</v>
      </c>
      <c r="J1739">
        <v>22500</v>
      </c>
      <c r="K1739" s="1">
        <v>44044</v>
      </c>
      <c r="L1739">
        <v>2020</v>
      </c>
      <c r="M1739" t="str">
        <f>UPPER(TEXT(_2020_2022[[#This Row],[Data da Venda]],"mmm"))</f>
        <v>AGO</v>
      </c>
    </row>
    <row r="1740" spans="1:13" x14ac:dyDescent="0.25">
      <c r="A1740" t="s">
        <v>24</v>
      </c>
      <c r="B1740">
        <v>2000</v>
      </c>
      <c r="C1740">
        <v>1</v>
      </c>
      <c r="D1740" t="s">
        <v>39</v>
      </c>
      <c r="E1740" t="s">
        <v>641</v>
      </c>
      <c r="F1740" t="s">
        <v>1344</v>
      </c>
      <c r="G1740" t="s">
        <v>650</v>
      </c>
      <c r="H1740">
        <v>74</v>
      </c>
      <c r="I1740" t="s">
        <v>647</v>
      </c>
      <c r="J1740">
        <v>2000</v>
      </c>
      <c r="K1740" s="1">
        <v>44134</v>
      </c>
      <c r="L1740">
        <v>2020</v>
      </c>
      <c r="M1740" t="str">
        <f>UPPER(TEXT(_2020_2022[[#This Row],[Data da Venda]],"mmm"))</f>
        <v>OUT</v>
      </c>
    </row>
    <row r="1741" spans="1:13" x14ac:dyDescent="0.25">
      <c r="A1741" t="s">
        <v>1443</v>
      </c>
      <c r="B1741">
        <v>1550</v>
      </c>
      <c r="C1741">
        <v>4</v>
      </c>
      <c r="D1741" t="s">
        <v>29</v>
      </c>
      <c r="E1741" t="s">
        <v>641</v>
      </c>
      <c r="F1741" t="s">
        <v>1288</v>
      </c>
      <c r="G1741" t="s">
        <v>650</v>
      </c>
      <c r="H1741">
        <v>35</v>
      </c>
      <c r="I1741" t="s">
        <v>644</v>
      </c>
      <c r="J1741">
        <v>6200</v>
      </c>
      <c r="K1741" s="1">
        <v>43883</v>
      </c>
      <c r="L1741">
        <v>2020</v>
      </c>
      <c r="M1741" t="str">
        <f>UPPER(TEXT(_2020_2022[[#This Row],[Data da Venda]],"mmm"))</f>
        <v>FEV</v>
      </c>
    </row>
    <row r="1742" spans="1:13" x14ac:dyDescent="0.25">
      <c r="A1742" t="s">
        <v>18</v>
      </c>
      <c r="B1742">
        <v>3000</v>
      </c>
      <c r="C1742">
        <v>1</v>
      </c>
      <c r="D1742" t="s">
        <v>41</v>
      </c>
      <c r="E1742" t="s">
        <v>681</v>
      </c>
      <c r="F1742" t="s">
        <v>1345</v>
      </c>
      <c r="G1742" t="s">
        <v>643</v>
      </c>
      <c r="H1742">
        <v>25</v>
      </c>
      <c r="I1742" t="s">
        <v>651</v>
      </c>
      <c r="J1742">
        <v>3000</v>
      </c>
      <c r="K1742" s="1">
        <v>44104</v>
      </c>
      <c r="L1742">
        <v>2020</v>
      </c>
      <c r="M1742" t="str">
        <f>UPPER(TEXT(_2020_2022[[#This Row],[Data da Venda]],"mmm"))</f>
        <v>SET</v>
      </c>
    </row>
    <row r="1743" spans="1:13" x14ac:dyDescent="0.25">
      <c r="A1743" t="s">
        <v>15</v>
      </c>
      <c r="B1743">
        <v>1900</v>
      </c>
      <c r="C1743">
        <v>4</v>
      </c>
      <c r="D1743" t="s">
        <v>31</v>
      </c>
      <c r="E1743" t="s">
        <v>645</v>
      </c>
      <c r="F1743" t="s">
        <v>1078</v>
      </c>
      <c r="G1743" t="s">
        <v>650</v>
      </c>
      <c r="H1743">
        <v>45</v>
      </c>
      <c r="I1743" t="s">
        <v>644</v>
      </c>
      <c r="J1743">
        <v>7600</v>
      </c>
      <c r="K1743" s="1">
        <v>43909</v>
      </c>
      <c r="L1743">
        <v>2020</v>
      </c>
      <c r="M1743" t="str">
        <f>UPPER(TEXT(_2020_2022[[#This Row],[Data da Venda]],"mmm"))</f>
        <v>MAR</v>
      </c>
    </row>
    <row r="1744" spans="1:13" x14ac:dyDescent="0.25">
      <c r="A1744" t="s">
        <v>12</v>
      </c>
      <c r="B1744">
        <v>6500</v>
      </c>
      <c r="C1744">
        <v>5</v>
      </c>
      <c r="D1744" t="s">
        <v>36</v>
      </c>
      <c r="E1744" t="s">
        <v>677</v>
      </c>
      <c r="F1744" t="s">
        <v>1161</v>
      </c>
      <c r="G1744" t="s">
        <v>643</v>
      </c>
      <c r="H1744">
        <v>70</v>
      </c>
      <c r="I1744" t="s">
        <v>647</v>
      </c>
      <c r="J1744">
        <v>32500</v>
      </c>
      <c r="K1744" s="1">
        <v>44015</v>
      </c>
      <c r="L1744">
        <v>2020</v>
      </c>
      <c r="M1744" t="str">
        <f>UPPER(TEXT(_2020_2022[[#This Row],[Data da Venda]],"mmm"))</f>
        <v>JUL</v>
      </c>
    </row>
    <row r="1745" spans="1:13" x14ac:dyDescent="0.25">
      <c r="A1745" t="s">
        <v>1442</v>
      </c>
      <c r="B1745">
        <v>1200</v>
      </c>
      <c r="C1745">
        <v>1</v>
      </c>
      <c r="D1745" t="s">
        <v>32</v>
      </c>
      <c r="E1745" t="s">
        <v>652</v>
      </c>
      <c r="F1745" t="s">
        <v>808</v>
      </c>
      <c r="G1745" t="s">
        <v>650</v>
      </c>
      <c r="H1745">
        <v>57</v>
      </c>
      <c r="I1745" t="s">
        <v>647</v>
      </c>
      <c r="J1745">
        <v>1200</v>
      </c>
      <c r="K1745" s="1">
        <v>43991</v>
      </c>
      <c r="L1745">
        <v>2020</v>
      </c>
      <c r="M1745" t="str">
        <f>UPPER(TEXT(_2020_2022[[#This Row],[Data da Venda]],"mmm"))</f>
        <v>JUN</v>
      </c>
    </row>
    <row r="1746" spans="1:13" x14ac:dyDescent="0.25">
      <c r="A1746" t="s">
        <v>9</v>
      </c>
      <c r="B1746">
        <v>1500</v>
      </c>
      <c r="C1746">
        <v>1</v>
      </c>
      <c r="D1746" t="s">
        <v>33</v>
      </c>
      <c r="E1746" t="s">
        <v>641</v>
      </c>
      <c r="F1746" t="s">
        <v>1346</v>
      </c>
      <c r="G1746" t="s">
        <v>650</v>
      </c>
      <c r="H1746">
        <v>31</v>
      </c>
      <c r="I1746" t="s">
        <v>644</v>
      </c>
      <c r="J1746">
        <v>1500</v>
      </c>
      <c r="K1746" s="1">
        <v>44025</v>
      </c>
      <c r="L1746">
        <v>2020</v>
      </c>
      <c r="M1746" t="str">
        <f>UPPER(TEXT(_2020_2022[[#This Row],[Data da Venda]],"mmm"))</f>
        <v>JUL</v>
      </c>
    </row>
    <row r="1747" spans="1:13" x14ac:dyDescent="0.25">
      <c r="A1747" t="s">
        <v>18</v>
      </c>
      <c r="B1747">
        <v>3000</v>
      </c>
      <c r="C1747">
        <v>5</v>
      </c>
      <c r="D1747" t="s">
        <v>29</v>
      </c>
      <c r="E1747" t="s">
        <v>641</v>
      </c>
      <c r="F1747" t="s">
        <v>708</v>
      </c>
      <c r="G1747" t="s">
        <v>650</v>
      </c>
      <c r="H1747">
        <v>35</v>
      </c>
      <c r="I1747" t="s">
        <v>644</v>
      </c>
      <c r="J1747">
        <v>15000</v>
      </c>
      <c r="K1747" s="1">
        <v>44012</v>
      </c>
      <c r="L1747">
        <v>2020</v>
      </c>
      <c r="M1747" t="str">
        <f>UPPER(TEXT(_2020_2022[[#This Row],[Data da Venda]],"mmm"))</f>
        <v>JUN</v>
      </c>
    </row>
    <row r="1748" spans="1:13" x14ac:dyDescent="0.25">
      <c r="A1748" t="s">
        <v>15</v>
      </c>
      <c r="B1748">
        <v>1900</v>
      </c>
      <c r="C1748">
        <v>3</v>
      </c>
      <c r="D1748" t="s">
        <v>39</v>
      </c>
      <c r="E1748" t="s">
        <v>641</v>
      </c>
      <c r="F1748" t="s">
        <v>1163</v>
      </c>
      <c r="G1748" t="s">
        <v>650</v>
      </c>
      <c r="H1748">
        <v>42</v>
      </c>
      <c r="I1748" t="s">
        <v>644</v>
      </c>
      <c r="J1748">
        <v>5700</v>
      </c>
      <c r="K1748" s="1">
        <v>43916</v>
      </c>
      <c r="L1748">
        <v>2020</v>
      </c>
      <c r="M1748" t="str">
        <f>UPPER(TEXT(_2020_2022[[#This Row],[Data da Venda]],"mmm"))</f>
        <v>MAR</v>
      </c>
    </row>
    <row r="1749" spans="1:13" x14ac:dyDescent="0.25">
      <c r="A1749" t="s">
        <v>18</v>
      </c>
      <c r="B1749">
        <v>3000</v>
      </c>
      <c r="C1749">
        <v>1</v>
      </c>
      <c r="D1749" t="s">
        <v>36</v>
      </c>
      <c r="E1749" t="s">
        <v>677</v>
      </c>
      <c r="F1749" t="s">
        <v>1274</v>
      </c>
      <c r="G1749" t="s">
        <v>650</v>
      </c>
      <c r="H1749">
        <v>36</v>
      </c>
      <c r="I1749" t="s">
        <v>644</v>
      </c>
      <c r="J1749">
        <v>3000</v>
      </c>
      <c r="K1749" s="1">
        <v>44114</v>
      </c>
      <c r="L1749">
        <v>2020</v>
      </c>
      <c r="M1749" t="str">
        <f>UPPER(TEXT(_2020_2022[[#This Row],[Data da Venda]],"mmm"))</f>
        <v>OUT</v>
      </c>
    </row>
    <row r="1750" spans="1:13" x14ac:dyDescent="0.25">
      <c r="A1750" t="s">
        <v>11</v>
      </c>
      <c r="B1750">
        <v>4500</v>
      </c>
      <c r="C1750">
        <v>4</v>
      </c>
      <c r="D1750" t="s">
        <v>32</v>
      </c>
      <c r="E1750" t="s">
        <v>652</v>
      </c>
      <c r="F1750" t="s">
        <v>897</v>
      </c>
      <c r="G1750" t="s">
        <v>643</v>
      </c>
      <c r="H1750">
        <v>39</v>
      </c>
      <c r="I1750" t="s">
        <v>644</v>
      </c>
      <c r="J1750">
        <v>18000</v>
      </c>
      <c r="K1750" s="1">
        <v>43842</v>
      </c>
      <c r="L1750">
        <v>2020</v>
      </c>
      <c r="M1750" t="str">
        <f>UPPER(TEXT(_2020_2022[[#This Row],[Data da Venda]],"mmm"))</f>
        <v>JAN</v>
      </c>
    </row>
    <row r="1751" spans="1:13" x14ac:dyDescent="0.25">
      <c r="A1751" t="s">
        <v>1441</v>
      </c>
      <c r="B1751">
        <v>1450</v>
      </c>
      <c r="C1751">
        <v>3</v>
      </c>
      <c r="D1751" t="s">
        <v>41</v>
      </c>
      <c r="E1751" t="s">
        <v>681</v>
      </c>
      <c r="F1751" t="s">
        <v>1003</v>
      </c>
      <c r="G1751" t="s">
        <v>650</v>
      </c>
      <c r="H1751">
        <v>51</v>
      </c>
      <c r="I1751" t="s">
        <v>647</v>
      </c>
      <c r="J1751">
        <v>4350</v>
      </c>
      <c r="K1751" s="1">
        <v>44004</v>
      </c>
      <c r="L1751">
        <v>2020</v>
      </c>
      <c r="M1751" t="str">
        <f>UPPER(TEXT(_2020_2022[[#This Row],[Data da Venda]],"mmm"))</f>
        <v>JUN</v>
      </c>
    </row>
    <row r="1752" spans="1:13" x14ac:dyDescent="0.25">
      <c r="A1752" t="s">
        <v>1444</v>
      </c>
      <c r="B1752">
        <v>1500</v>
      </c>
      <c r="C1752">
        <v>5</v>
      </c>
      <c r="D1752" t="s">
        <v>41</v>
      </c>
      <c r="E1752" t="s">
        <v>681</v>
      </c>
      <c r="F1752" t="s">
        <v>1347</v>
      </c>
      <c r="G1752" t="s">
        <v>643</v>
      </c>
      <c r="H1752">
        <v>30</v>
      </c>
      <c r="I1752" t="s">
        <v>644</v>
      </c>
      <c r="J1752">
        <v>7500</v>
      </c>
      <c r="K1752" s="1">
        <v>44192</v>
      </c>
      <c r="L1752">
        <v>2020</v>
      </c>
      <c r="M1752" t="str">
        <f>UPPER(TEXT(_2020_2022[[#This Row],[Data da Venda]],"mmm"))</f>
        <v>DEZ</v>
      </c>
    </row>
    <row r="1753" spans="1:13" x14ac:dyDescent="0.25">
      <c r="A1753" t="s">
        <v>25</v>
      </c>
      <c r="B1753">
        <v>2500</v>
      </c>
      <c r="C1753">
        <v>5</v>
      </c>
      <c r="D1753" t="s">
        <v>30</v>
      </c>
      <c r="E1753" t="s">
        <v>645</v>
      </c>
      <c r="F1753" t="s">
        <v>1047</v>
      </c>
      <c r="G1753" t="s">
        <v>650</v>
      </c>
      <c r="H1753">
        <v>29</v>
      </c>
      <c r="I1753" t="s">
        <v>651</v>
      </c>
      <c r="J1753">
        <v>12500</v>
      </c>
      <c r="K1753" s="1">
        <v>43855</v>
      </c>
      <c r="L1753">
        <v>2020</v>
      </c>
      <c r="M1753" t="str">
        <f>UPPER(TEXT(_2020_2022[[#This Row],[Data da Venda]],"mmm"))</f>
        <v>JAN</v>
      </c>
    </row>
    <row r="1754" spans="1:13" x14ac:dyDescent="0.25">
      <c r="A1754" t="s">
        <v>20</v>
      </c>
      <c r="B1754">
        <v>2600</v>
      </c>
      <c r="C1754">
        <v>3</v>
      </c>
      <c r="D1754" t="s">
        <v>32</v>
      </c>
      <c r="E1754" t="s">
        <v>652</v>
      </c>
      <c r="F1754" t="s">
        <v>1151</v>
      </c>
      <c r="G1754" t="s">
        <v>650</v>
      </c>
      <c r="H1754">
        <v>28</v>
      </c>
      <c r="I1754" t="s">
        <v>651</v>
      </c>
      <c r="J1754">
        <v>7800</v>
      </c>
      <c r="K1754" s="1">
        <v>43996</v>
      </c>
      <c r="L1754">
        <v>2020</v>
      </c>
      <c r="M1754" t="str">
        <f>UPPER(TEXT(_2020_2022[[#This Row],[Data da Venda]],"mmm"))</f>
        <v>JUN</v>
      </c>
    </row>
    <row r="1755" spans="1:13" x14ac:dyDescent="0.25">
      <c r="A1755" t="s">
        <v>1443</v>
      </c>
      <c r="B1755">
        <v>1550</v>
      </c>
      <c r="C1755">
        <v>3</v>
      </c>
      <c r="D1755" t="s">
        <v>37</v>
      </c>
      <c r="E1755" t="s">
        <v>645</v>
      </c>
      <c r="F1755" t="s">
        <v>881</v>
      </c>
      <c r="G1755" t="s">
        <v>643</v>
      </c>
      <c r="H1755">
        <v>68</v>
      </c>
      <c r="I1755" t="s">
        <v>647</v>
      </c>
      <c r="J1755">
        <v>4650</v>
      </c>
      <c r="K1755" s="1">
        <v>44138</v>
      </c>
      <c r="L1755">
        <v>2020</v>
      </c>
      <c r="M1755" t="str">
        <f>UPPER(TEXT(_2020_2022[[#This Row],[Data da Venda]],"mmm"))</f>
        <v>NOV</v>
      </c>
    </row>
    <row r="1756" spans="1:13" x14ac:dyDescent="0.25">
      <c r="A1756" t="s">
        <v>1442</v>
      </c>
      <c r="B1756">
        <v>1200</v>
      </c>
      <c r="C1756">
        <v>4</v>
      </c>
      <c r="D1756" t="s">
        <v>29</v>
      </c>
      <c r="E1756" t="s">
        <v>641</v>
      </c>
      <c r="F1756" t="s">
        <v>872</v>
      </c>
      <c r="G1756" t="s">
        <v>650</v>
      </c>
      <c r="H1756">
        <v>49</v>
      </c>
      <c r="I1756" t="s">
        <v>644</v>
      </c>
      <c r="J1756">
        <v>4800</v>
      </c>
      <c r="K1756" s="1">
        <v>44021</v>
      </c>
      <c r="L1756">
        <v>2020</v>
      </c>
      <c r="M1756" t="str">
        <f>UPPER(TEXT(_2020_2022[[#This Row],[Data da Venda]],"mmm"))</f>
        <v>JUL</v>
      </c>
    </row>
    <row r="1757" spans="1:13" x14ac:dyDescent="0.25">
      <c r="A1757" t="s">
        <v>11</v>
      </c>
      <c r="B1757">
        <v>4500</v>
      </c>
      <c r="C1757">
        <v>3</v>
      </c>
      <c r="D1757" t="s">
        <v>31</v>
      </c>
      <c r="E1757" t="s">
        <v>645</v>
      </c>
      <c r="F1757" t="s">
        <v>967</v>
      </c>
      <c r="G1757" t="s">
        <v>643</v>
      </c>
      <c r="H1757">
        <v>38</v>
      </c>
      <c r="I1757" t="s">
        <v>644</v>
      </c>
      <c r="J1757">
        <v>13500</v>
      </c>
      <c r="K1757" s="1">
        <v>44158</v>
      </c>
      <c r="L1757">
        <v>2020</v>
      </c>
      <c r="M1757" t="str">
        <f>UPPER(TEXT(_2020_2022[[#This Row],[Data da Venda]],"mmm"))</f>
        <v>NOV</v>
      </c>
    </row>
    <row r="1758" spans="1:13" x14ac:dyDescent="0.25">
      <c r="A1758" t="s">
        <v>1445</v>
      </c>
      <c r="B1758">
        <v>1500</v>
      </c>
      <c r="C1758">
        <v>2</v>
      </c>
      <c r="D1758" t="s">
        <v>40</v>
      </c>
      <c r="E1758" t="s">
        <v>657</v>
      </c>
      <c r="F1758" t="s">
        <v>1023</v>
      </c>
      <c r="G1758" t="s">
        <v>650</v>
      </c>
      <c r="H1758">
        <v>43</v>
      </c>
      <c r="I1758" t="s">
        <v>644</v>
      </c>
      <c r="J1758">
        <v>3000</v>
      </c>
      <c r="K1758" s="1">
        <v>43943</v>
      </c>
      <c r="L1758">
        <v>2020</v>
      </c>
      <c r="M1758" t="str">
        <f>UPPER(TEXT(_2020_2022[[#This Row],[Data da Venda]],"mmm"))</f>
        <v>ABR</v>
      </c>
    </row>
    <row r="1759" spans="1:13" x14ac:dyDescent="0.25">
      <c r="A1759" t="s">
        <v>25</v>
      </c>
      <c r="B1759">
        <v>2500</v>
      </c>
      <c r="C1759">
        <v>5</v>
      </c>
      <c r="D1759" t="s">
        <v>38</v>
      </c>
      <c r="E1759" t="s">
        <v>648</v>
      </c>
      <c r="F1759" t="s">
        <v>1100</v>
      </c>
      <c r="G1759" t="s">
        <v>650</v>
      </c>
      <c r="H1759">
        <v>35</v>
      </c>
      <c r="I1759" t="s">
        <v>644</v>
      </c>
      <c r="J1759">
        <v>12500</v>
      </c>
      <c r="K1759" s="1">
        <v>43870</v>
      </c>
      <c r="L1759">
        <v>2020</v>
      </c>
      <c r="M1759" t="str">
        <f>UPPER(TEXT(_2020_2022[[#This Row],[Data da Venda]],"mmm"))</f>
        <v>FEV</v>
      </c>
    </row>
    <row r="1760" spans="1:13" x14ac:dyDescent="0.25">
      <c r="A1760" t="s">
        <v>1443</v>
      </c>
      <c r="B1760">
        <v>1550</v>
      </c>
      <c r="C1760">
        <v>5</v>
      </c>
      <c r="D1760" t="s">
        <v>30</v>
      </c>
      <c r="E1760" t="s">
        <v>645</v>
      </c>
      <c r="F1760" t="s">
        <v>940</v>
      </c>
      <c r="G1760" t="s">
        <v>650</v>
      </c>
      <c r="H1760">
        <v>45</v>
      </c>
      <c r="I1760" t="s">
        <v>644</v>
      </c>
      <c r="J1760">
        <v>7750</v>
      </c>
      <c r="K1760" s="1">
        <v>44064</v>
      </c>
      <c r="L1760">
        <v>2020</v>
      </c>
      <c r="M1760" t="str">
        <f>UPPER(TEXT(_2020_2022[[#This Row],[Data da Venda]],"mmm"))</f>
        <v>AGO</v>
      </c>
    </row>
    <row r="1761" spans="1:13" x14ac:dyDescent="0.25">
      <c r="A1761" t="s">
        <v>11</v>
      </c>
      <c r="B1761">
        <v>4500</v>
      </c>
      <c r="C1761">
        <v>1</v>
      </c>
      <c r="D1761" t="s">
        <v>35</v>
      </c>
      <c r="E1761" t="s">
        <v>666</v>
      </c>
      <c r="F1761" t="s">
        <v>1016</v>
      </c>
      <c r="G1761" t="s">
        <v>650</v>
      </c>
      <c r="H1761">
        <v>46</v>
      </c>
      <c r="I1761" t="s">
        <v>644</v>
      </c>
      <c r="J1761">
        <v>4500</v>
      </c>
      <c r="K1761" s="1">
        <v>43843</v>
      </c>
      <c r="L1761">
        <v>2020</v>
      </c>
      <c r="M1761" t="str">
        <f>UPPER(TEXT(_2020_2022[[#This Row],[Data da Venda]],"mmm"))</f>
        <v>JAN</v>
      </c>
    </row>
    <row r="1762" spans="1:13" x14ac:dyDescent="0.25">
      <c r="A1762" t="s">
        <v>1441</v>
      </c>
      <c r="B1762">
        <v>1450</v>
      </c>
      <c r="C1762">
        <v>1</v>
      </c>
      <c r="D1762" t="s">
        <v>30</v>
      </c>
      <c r="E1762" t="s">
        <v>645</v>
      </c>
      <c r="F1762" t="s">
        <v>736</v>
      </c>
      <c r="G1762" t="s">
        <v>643</v>
      </c>
      <c r="H1762">
        <v>37</v>
      </c>
      <c r="I1762" t="s">
        <v>644</v>
      </c>
      <c r="J1762">
        <v>1450</v>
      </c>
      <c r="K1762" s="1">
        <v>43930</v>
      </c>
      <c r="L1762">
        <v>2020</v>
      </c>
      <c r="M1762" t="str">
        <f>UPPER(TEXT(_2020_2022[[#This Row],[Data da Venda]],"mmm"))</f>
        <v>ABR</v>
      </c>
    </row>
    <row r="1763" spans="1:13" x14ac:dyDescent="0.25">
      <c r="A1763" t="s">
        <v>1441</v>
      </c>
      <c r="B1763">
        <v>1450</v>
      </c>
      <c r="C1763">
        <v>2</v>
      </c>
      <c r="D1763" t="s">
        <v>29</v>
      </c>
      <c r="E1763" t="s">
        <v>641</v>
      </c>
      <c r="F1763" t="s">
        <v>789</v>
      </c>
      <c r="G1763" t="s">
        <v>650</v>
      </c>
      <c r="H1763">
        <v>28</v>
      </c>
      <c r="I1763" t="s">
        <v>651</v>
      </c>
      <c r="J1763">
        <v>2900</v>
      </c>
      <c r="K1763" s="1">
        <v>44123</v>
      </c>
      <c r="L1763">
        <v>2020</v>
      </c>
      <c r="M1763" t="str">
        <f>UPPER(TEXT(_2020_2022[[#This Row],[Data da Venda]],"mmm"))</f>
        <v>OUT</v>
      </c>
    </row>
    <row r="1764" spans="1:13" x14ac:dyDescent="0.25">
      <c r="A1764" t="s">
        <v>20</v>
      </c>
      <c r="B1764">
        <v>2600</v>
      </c>
      <c r="C1764">
        <v>2</v>
      </c>
      <c r="D1764" t="s">
        <v>41</v>
      </c>
      <c r="E1764" t="s">
        <v>681</v>
      </c>
      <c r="F1764" t="s">
        <v>1267</v>
      </c>
      <c r="G1764" t="s">
        <v>650</v>
      </c>
      <c r="H1764">
        <v>72</v>
      </c>
      <c r="I1764" t="s">
        <v>647</v>
      </c>
      <c r="J1764">
        <v>5200</v>
      </c>
      <c r="K1764" s="1">
        <v>44118</v>
      </c>
      <c r="L1764">
        <v>2020</v>
      </c>
      <c r="M1764" t="str">
        <f>UPPER(TEXT(_2020_2022[[#This Row],[Data da Venda]],"mmm"))</f>
        <v>OUT</v>
      </c>
    </row>
    <row r="1765" spans="1:13" x14ac:dyDescent="0.25">
      <c r="A1765" t="s">
        <v>16</v>
      </c>
      <c r="B1765">
        <v>1400</v>
      </c>
      <c r="C1765">
        <v>1</v>
      </c>
      <c r="D1765" t="s">
        <v>37</v>
      </c>
      <c r="E1765" t="s">
        <v>645</v>
      </c>
      <c r="F1765" t="s">
        <v>1334</v>
      </c>
      <c r="G1765" t="s">
        <v>643</v>
      </c>
      <c r="H1765">
        <v>47</v>
      </c>
      <c r="I1765" t="s">
        <v>644</v>
      </c>
      <c r="J1765">
        <v>1400</v>
      </c>
      <c r="K1765" s="1">
        <v>43890</v>
      </c>
      <c r="L1765">
        <v>2020</v>
      </c>
      <c r="M1765" t="str">
        <f>UPPER(TEXT(_2020_2022[[#This Row],[Data da Venda]],"mmm"))</f>
        <v>FEV</v>
      </c>
    </row>
    <row r="1766" spans="1:13" x14ac:dyDescent="0.25">
      <c r="A1766" t="s">
        <v>11</v>
      </c>
      <c r="B1766">
        <v>4500</v>
      </c>
      <c r="C1766">
        <v>3</v>
      </c>
      <c r="D1766" t="s">
        <v>29</v>
      </c>
      <c r="E1766" t="s">
        <v>641</v>
      </c>
      <c r="F1766" t="s">
        <v>1174</v>
      </c>
      <c r="G1766" t="s">
        <v>650</v>
      </c>
      <c r="H1766">
        <v>40</v>
      </c>
      <c r="I1766" t="s">
        <v>644</v>
      </c>
      <c r="J1766">
        <v>13500</v>
      </c>
      <c r="K1766" s="1">
        <v>44164</v>
      </c>
      <c r="L1766">
        <v>2020</v>
      </c>
      <c r="M1766" t="str">
        <f>UPPER(TEXT(_2020_2022[[#This Row],[Data da Venda]],"mmm"))</f>
        <v>NOV</v>
      </c>
    </row>
    <row r="1767" spans="1:13" x14ac:dyDescent="0.25">
      <c r="A1767" t="s">
        <v>11</v>
      </c>
      <c r="B1767">
        <v>4500</v>
      </c>
      <c r="C1767">
        <v>3</v>
      </c>
      <c r="D1767" t="s">
        <v>37</v>
      </c>
      <c r="E1767" t="s">
        <v>645</v>
      </c>
      <c r="F1767" t="s">
        <v>1348</v>
      </c>
      <c r="G1767" t="s">
        <v>650</v>
      </c>
      <c r="H1767">
        <v>61</v>
      </c>
      <c r="I1767" t="s">
        <v>647</v>
      </c>
      <c r="J1767">
        <v>13500</v>
      </c>
      <c r="K1767" s="1">
        <v>44029</v>
      </c>
      <c r="L1767">
        <v>2020</v>
      </c>
      <c r="M1767" t="str">
        <f>UPPER(TEXT(_2020_2022[[#This Row],[Data da Venda]],"mmm"))</f>
        <v>JUL</v>
      </c>
    </row>
    <row r="1768" spans="1:13" x14ac:dyDescent="0.25">
      <c r="A1768" t="s">
        <v>18</v>
      </c>
      <c r="B1768">
        <v>3000</v>
      </c>
      <c r="C1768">
        <v>1</v>
      </c>
      <c r="D1768" t="s">
        <v>32</v>
      </c>
      <c r="E1768" t="s">
        <v>652</v>
      </c>
      <c r="F1768" t="s">
        <v>849</v>
      </c>
      <c r="G1768" t="s">
        <v>650</v>
      </c>
      <c r="H1768">
        <v>42</v>
      </c>
      <c r="I1768" t="s">
        <v>644</v>
      </c>
      <c r="J1768">
        <v>3000</v>
      </c>
      <c r="K1768" s="1">
        <v>43874</v>
      </c>
      <c r="L1768">
        <v>2020</v>
      </c>
      <c r="M1768" t="str">
        <f>UPPER(TEXT(_2020_2022[[#This Row],[Data da Venda]],"mmm"))</f>
        <v>FEV</v>
      </c>
    </row>
    <row r="1769" spans="1:13" x14ac:dyDescent="0.25">
      <c r="A1769" t="s">
        <v>15</v>
      </c>
      <c r="B1769">
        <v>1900</v>
      </c>
      <c r="C1769">
        <v>1</v>
      </c>
      <c r="D1769" t="s">
        <v>36</v>
      </c>
      <c r="E1769" t="s">
        <v>677</v>
      </c>
      <c r="F1769" t="s">
        <v>1349</v>
      </c>
      <c r="G1769" t="s">
        <v>650</v>
      </c>
      <c r="H1769">
        <v>26</v>
      </c>
      <c r="I1769" t="s">
        <v>651</v>
      </c>
      <c r="J1769">
        <v>1900</v>
      </c>
      <c r="K1769" s="1">
        <v>44146</v>
      </c>
      <c r="L1769">
        <v>2020</v>
      </c>
      <c r="M1769" t="str">
        <f>UPPER(TEXT(_2020_2022[[#This Row],[Data da Venda]],"mmm"))</f>
        <v>NOV</v>
      </c>
    </row>
    <row r="1770" spans="1:13" x14ac:dyDescent="0.25">
      <c r="A1770" t="s">
        <v>1444</v>
      </c>
      <c r="B1770">
        <v>1500</v>
      </c>
      <c r="C1770">
        <v>4</v>
      </c>
      <c r="D1770" t="s">
        <v>37</v>
      </c>
      <c r="E1770" t="s">
        <v>645</v>
      </c>
      <c r="F1770" t="s">
        <v>971</v>
      </c>
      <c r="G1770" t="s">
        <v>643</v>
      </c>
      <c r="H1770">
        <v>43</v>
      </c>
      <c r="I1770" t="s">
        <v>644</v>
      </c>
      <c r="J1770">
        <v>6000</v>
      </c>
      <c r="K1770" s="1">
        <v>43968</v>
      </c>
      <c r="L1770">
        <v>2020</v>
      </c>
      <c r="M1770" t="str">
        <f>UPPER(TEXT(_2020_2022[[#This Row],[Data da Venda]],"mmm"))</f>
        <v>MAI</v>
      </c>
    </row>
    <row r="1771" spans="1:13" x14ac:dyDescent="0.25">
      <c r="A1771" t="s">
        <v>1442</v>
      </c>
      <c r="B1771">
        <v>1200</v>
      </c>
      <c r="C1771">
        <v>3</v>
      </c>
      <c r="D1771" t="s">
        <v>30</v>
      </c>
      <c r="E1771" t="s">
        <v>645</v>
      </c>
      <c r="F1771" t="s">
        <v>1350</v>
      </c>
      <c r="G1771" t="s">
        <v>643</v>
      </c>
      <c r="H1771">
        <v>59</v>
      </c>
      <c r="I1771" t="s">
        <v>647</v>
      </c>
      <c r="J1771">
        <v>3600</v>
      </c>
      <c r="K1771" s="1">
        <v>43888</v>
      </c>
      <c r="L1771">
        <v>2020</v>
      </c>
      <c r="M1771" t="str">
        <f>UPPER(TEXT(_2020_2022[[#This Row],[Data da Venda]],"mmm"))</f>
        <v>FEV</v>
      </c>
    </row>
    <row r="1772" spans="1:13" x14ac:dyDescent="0.25">
      <c r="A1772" t="s">
        <v>20</v>
      </c>
      <c r="B1772">
        <v>2600</v>
      </c>
      <c r="C1772">
        <v>3</v>
      </c>
      <c r="D1772" t="s">
        <v>30</v>
      </c>
      <c r="E1772" t="s">
        <v>645</v>
      </c>
      <c r="F1772" t="s">
        <v>1270</v>
      </c>
      <c r="G1772" t="s">
        <v>650</v>
      </c>
      <c r="H1772">
        <v>40</v>
      </c>
      <c r="I1772" t="s">
        <v>644</v>
      </c>
      <c r="J1772">
        <v>7800</v>
      </c>
      <c r="K1772" s="1">
        <v>44004</v>
      </c>
      <c r="L1772">
        <v>2020</v>
      </c>
      <c r="M1772" t="str">
        <f>UPPER(TEXT(_2020_2022[[#This Row],[Data da Venda]],"mmm"))</f>
        <v>JUN</v>
      </c>
    </row>
    <row r="1773" spans="1:13" x14ac:dyDescent="0.25">
      <c r="A1773" t="s">
        <v>1443</v>
      </c>
      <c r="B1773">
        <v>1550</v>
      </c>
      <c r="C1773">
        <v>3</v>
      </c>
      <c r="D1773" t="s">
        <v>32</v>
      </c>
      <c r="E1773" t="s">
        <v>652</v>
      </c>
      <c r="F1773" t="s">
        <v>653</v>
      </c>
      <c r="G1773" t="s">
        <v>643</v>
      </c>
      <c r="H1773">
        <v>27</v>
      </c>
      <c r="I1773" t="s">
        <v>651</v>
      </c>
      <c r="J1773">
        <v>4650</v>
      </c>
      <c r="K1773" s="1">
        <v>43868</v>
      </c>
      <c r="L1773">
        <v>2020</v>
      </c>
      <c r="M1773" t="str">
        <f>UPPER(TEXT(_2020_2022[[#This Row],[Data da Venda]],"mmm"))</f>
        <v>FEV</v>
      </c>
    </row>
    <row r="1774" spans="1:13" x14ac:dyDescent="0.25">
      <c r="A1774" t="s">
        <v>26</v>
      </c>
      <c r="B1774">
        <v>1100</v>
      </c>
      <c r="C1774">
        <v>5</v>
      </c>
      <c r="D1774" t="s">
        <v>29</v>
      </c>
      <c r="E1774" t="s">
        <v>641</v>
      </c>
      <c r="F1774" t="s">
        <v>1169</v>
      </c>
      <c r="G1774" t="s">
        <v>650</v>
      </c>
      <c r="H1774">
        <v>54</v>
      </c>
      <c r="I1774" t="s">
        <v>647</v>
      </c>
      <c r="J1774">
        <v>5500</v>
      </c>
      <c r="K1774" s="1">
        <v>44161</v>
      </c>
      <c r="L1774">
        <v>2020</v>
      </c>
      <c r="M1774" t="str">
        <f>UPPER(TEXT(_2020_2022[[#This Row],[Data da Venda]],"mmm"))</f>
        <v>NOV</v>
      </c>
    </row>
    <row r="1775" spans="1:13" x14ac:dyDescent="0.25">
      <c r="A1775" t="s">
        <v>8</v>
      </c>
      <c r="B1775">
        <v>5500</v>
      </c>
      <c r="C1775">
        <v>2</v>
      </c>
      <c r="D1775" t="s">
        <v>29</v>
      </c>
      <c r="E1775" t="s">
        <v>641</v>
      </c>
      <c r="F1775" t="s">
        <v>969</v>
      </c>
      <c r="G1775" t="s">
        <v>650</v>
      </c>
      <c r="H1775">
        <v>34</v>
      </c>
      <c r="I1775" t="s">
        <v>644</v>
      </c>
      <c r="J1775">
        <v>11000</v>
      </c>
      <c r="K1775" s="1">
        <v>44094</v>
      </c>
      <c r="L1775">
        <v>2020</v>
      </c>
      <c r="M1775" t="str">
        <f>UPPER(TEXT(_2020_2022[[#This Row],[Data da Venda]],"mmm"))</f>
        <v>SET</v>
      </c>
    </row>
    <row r="1776" spans="1:13" x14ac:dyDescent="0.25">
      <c r="A1776" t="s">
        <v>11</v>
      </c>
      <c r="B1776">
        <v>4500</v>
      </c>
      <c r="C1776">
        <v>2</v>
      </c>
      <c r="D1776" t="s">
        <v>34</v>
      </c>
      <c r="E1776" t="s">
        <v>679</v>
      </c>
      <c r="F1776" t="s">
        <v>1244</v>
      </c>
      <c r="G1776" t="s">
        <v>643</v>
      </c>
      <c r="H1776">
        <v>48</v>
      </c>
      <c r="I1776" t="s">
        <v>644</v>
      </c>
      <c r="J1776">
        <v>9000</v>
      </c>
      <c r="K1776" s="1">
        <v>43925</v>
      </c>
      <c r="L1776">
        <v>2020</v>
      </c>
      <c r="M1776" t="str">
        <f>UPPER(TEXT(_2020_2022[[#This Row],[Data da Venda]],"mmm"))</f>
        <v>ABR</v>
      </c>
    </row>
    <row r="1777" spans="1:13" x14ac:dyDescent="0.25">
      <c r="A1777" t="s">
        <v>12</v>
      </c>
      <c r="B1777">
        <v>6500</v>
      </c>
      <c r="C1777">
        <v>5</v>
      </c>
      <c r="D1777" t="s">
        <v>34</v>
      </c>
      <c r="E1777" t="s">
        <v>679</v>
      </c>
      <c r="F1777" t="s">
        <v>929</v>
      </c>
      <c r="G1777" t="s">
        <v>643</v>
      </c>
      <c r="H1777">
        <v>69</v>
      </c>
      <c r="I1777" t="s">
        <v>647</v>
      </c>
      <c r="J1777">
        <v>32500</v>
      </c>
      <c r="K1777" s="1">
        <v>44091</v>
      </c>
      <c r="L1777">
        <v>2020</v>
      </c>
      <c r="M1777" t="str">
        <f>UPPER(TEXT(_2020_2022[[#This Row],[Data da Venda]],"mmm"))</f>
        <v>SET</v>
      </c>
    </row>
    <row r="1778" spans="1:13" x14ac:dyDescent="0.25">
      <c r="A1778" t="s">
        <v>18</v>
      </c>
      <c r="B1778">
        <v>3000</v>
      </c>
      <c r="C1778">
        <v>2</v>
      </c>
      <c r="D1778" t="s">
        <v>41</v>
      </c>
      <c r="E1778" t="s">
        <v>681</v>
      </c>
      <c r="F1778" t="s">
        <v>1351</v>
      </c>
      <c r="G1778" t="s">
        <v>650</v>
      </c>
      <c r="H1778">
        <v>40</v>
      </c>
      <c r="I1778" t="s">
        <v>644</v>
      </c>
      <c r="J1778">
        <v>6000</v>
      </c>
      <c r="K1778" s="1">
        <v>43961</v>
      </c>
      <c r="L1778">
        <v>2020</v>
      </c>
      <c r="M1778" t="str">
        <f>UPPER(TEXT(_2020_2022[[#This Row],[Data da Venda]],"mmm"))</f>
        <v>MAI</v>
      </c>
    </row>
    <row r="1779" spans="1:13" x14ac:dyDescent="0.25">
      <c r="A1779" t="s">
        <v>25</v>
      </c>
      <c r="B1779">
        <v>2500</v>
      </c>
      <c r="C1779">
        <v>4</v>
      </c>
      <c r="D1779" t="s">
        <v>29</v>
      </c>
      <c r="E1779" t="s">
        <v>641</v>
      </c>
      <c r="F1779" t="s">
        <v>1155</v>
      </c>
      <c r="G1779" t="s">
        <v>650</v>
      </c>
      <c r="H1779">
        <v>29</v>
      </c>
      <c r="I1779" t="s">
        <v>651</v>
      </c>
      <c r="J1779">
        <v>10000</v>
      </c>
      <c r="K1779" s="1">
        <v>44160</v>
      </c>
      <c r="L1779">
        <v>2020</v>
      </c>
      <c r="M1779" t="str">
        <f>UPPER(TEXT(_2020_2022[[#This Row],[Data da Venda]],"mmm"))</f>
        <v>NOV</v>
      </c>
    </row>
    <row r="1780" spans="1:13" x14ac:dyDescent="0.25">
      <c r="A1780" t="s">
        <v>16</v>
      </c>
      <c r="B1780">
        <v>1400</v>
      </c>
      <c r="C1780">
        <v>4</v>
      </c>
      <c r="D1780" t="s">
        <v>34</v>
      </c>
      <c r="E1780" t="s">
        <v>679</v>
      </c>
      <c r="F1780" t="s">
        <v>822</v>
      </c>
      <c r="G1780" t="s">
        <v>643</v>
      </c>
      <c r="H1780">
        <v>54</v>
      </c>
      <c r="I1780" t="s">
        <v>647</v>
      </c>
      <c r="J1780">
        <v>5600</v>
      </c>
      <c r="K1780" s="1">
        <v>43898</v>
      </c>
      <c r="L1780">
        <v>2020</v>
      </c>
      <c r="M1780" t="str">
        <f>UPPER(TEXT(_2020_2022[[#This Row],[Data da Venda]],"mmm"))</f>
        <v>MAR</v>
      </c>
    </row>
    <row r="1781" spans="1:13" x14ac:dyDescent="0.25">
      <c r="A1781" t="s">
        <v>13</v>
      </c>
      <c r="B1781">
        <v>2300</v>
      </c>
      <c r="C1781">
        <v>5</v>
      </c>
      <c r="D1781" t="s">
        <v>34</v>
      </c>
      <c r="E1781" t="s">
        <v>679</v>
      </c>
      <c r="F1781" t="s">
        <v>1244</v>
      </c>
      <c r="G1781" t="s">
        <v>643</v>
      </c>
      <c r="H1781">
        <v>48</v>
      </c>
      <c r="I1781" t="s">
        <v>644</v>
      </c>
      <c r="J1781">
        <v>11500</v>
      </c>
      <c r="K1781" s="1">
        <v>44038</v>
      </c>
      <c r="L1781">
        <v>2020</v>
      </c>
      <c r="M1781" t="str">
        <f>UPPER(TEXT(_2020_2022[[#This Row],[Data da Venda]],"mmm"))</f>
        <v>JUL</v>
      </c>
    </row>
    <row r="1782" spans="1:13" x14ac:dyDescent="0.25">
      <c r="A1782" t="s">
        <v>21</v>
      </c>
      <c r="B1782">
        <v>2400</v>
      </c>
      <c r="C1782">
        <v>4</v>
      </c>
      <c r="D1782" t="s">
        <v>30</v>
      </c>
      <c r="E1782" t="s">
        <v>645</v>
      </c>
      <c r="F1782" t="s">
        <v>921</v>
      </c>
      <c r="G1782" t="s">
        <v>643</v>
      </c>
      <c r="H1782">
        <v>49</v>
      </c>
      <c r="I1782" t="s">
        <v>644</v>
      </c>
      <c r="J1782">
        <v>9600</v>
      </c>
      <c r="K1782" s="1">
        <v>43943</v>
      </c>
      <c r="L1782">
        <v>2020</v>
      </c>
      <c r="M1782" t="str">
        <f>UPPER(TEXT(_2020_2022[[#This Row],[Data da Venda]],"mmm"))</f>
        <v>ABR</v>
      </c>
    </row>
    <row r="1783" spans="1:13" x14ac:dyDescent="0.25">
      <c r="A1783" t="s">
        <v>1442</v>
      </c>
      <c r="B1783">
        <v>1200</v>
      </c>
      <c r="C1783">
        <v>4</v>
      </c>
      <c r="D1783" t="s">
        <v>41</v>
      </c>
      <c r="E1783" t="s">
        <v>681</v>
      </c>
      <c r="F1783" t="s">
        <v>1352</v>
      </c>
      <c r="G1783" t="s">
        <v>643</v>
      </c>
      <c r="H1783">
        <v>56</v>
      </c>
      <c r="I1783" t="s">
        <v>647</v>
      </c>
      <c r="J1783">
        <v>4800</v>
      </c>
      <c r="K1783" s="1">
        <v>43986</v>
      </c>
      <c r="L1783">
        <v>2020</v>
      </c>
      <c r="M1783" t="str">
        <f>UPPER(TEXT(_2020_2022[[#This Row],[Data da Venda]],"mmm"))</f>
        <v>JUN</v>
      </c>
    </row>
    <row r="1784" spans="1:13" x14ac:dyDescent="0.25">
      <c r="A1784" t="s">
        <v>13</v>
      </c>
      <c r="B1784">
        <v>2300</v>
      </c>
      <c r="C1784">
        <v>1</v>
      </c>
      <c r="D1784" t="s">
        <v>37</v>
      </c>
      <c r="E1784" t="s">
        <v>645</v>
      </c>
      <c r="F1784" t="s">
        <v>1164</v>
      </c>
      <c r="G1784" t="s">
        <v>643</v>
      </c>
      <c r="H1784">
        <v>39</v>
      </c>
      <c r="I1784" t="s">
        <v>644</v>
      </c>
      <c r="J1784">
        <v>2300</v>
      </c>
      <c r="K1784" s="1">
        <v>43968</v>
      </c>
      <c r="L1784">
        <v>2020</v>
      </c>
      <c r="M1784" t="str">
        <f>UPPER(TEXT(_2020_2022[[#This Row],[Data da Venda]],"mmm"))</f>
        <v>MAI</v>
      </c>
    </row>
    <row r="1785" spans="1:13" x14ac:dyDescent="0.25">
      <c r="A1785" t="s">
        <v>8</v>
      </c>
      <c r="B1785">
        <v>5500</v>
      </c>
      <c r="C1785">
        <v>3</v>
      </c>
      <c r="D1785" t="s">
        <v>30</v>
      </c>
      <c r="E1785" t="s">
        <v>645</v>
      </c>
      <c r="F1785" t="s">
        <v>877</v>
      </c>
      <c r="G1785" t="s">
        <v>643</v>
      </c>
      <c r="H1785">
        <v>52</v>
      </c>
      <c r="I1785" t="s">
        <v>647</v>
      </c>
      <c r="J1785">
        <v>16500</v>
      </c>
      <c r="K1785" s="1">
        <v>44072</v>
      </c>
      <c r="L1785">
        <v>2020</v>
      </c>
      <c r="M1785" t="str">
        <f>UPPER(TEXT(_2020_2022[[#This Row],[Data da Venda]],"mmm"))</f>
        <v>AGO</v>
      </c>
    </row>
    <row r="1786" spans="1:13" x14ac:dyDescent="0.25">
      <c r="A1786" t="s">
        <v>22</v>
      </c>
      <c r="B1786">
        <v>5200</v>
      </c>
      <c r="C1786">
        <v>1</v>
      </c>
      <c r="D1786" t="s">
        <v>29</v>
      </c>
      <c r="E1786" t="s">
        <v>641</v>
      </c>
      <c r="F1786" t="s">
        <v>675</v>
      </c>
      <c r="G1786" t="s">
        <v>643</v>
      </c>
      <c r="H1786">
        <v>71</v>
      </c>
      <c r="I1786" t="s">
        <v>647</v>
      </c>
      <c r="J1786">
        <v>5200</v>
      </c>
      <c r="K1786" s="1">
        <v>44024</v>
      </c>
      <c r="L1786">
        <v>2020</v>
      </c>
      <c r="M1786" t="str">
        <f>UPPER(TEXT(_2020_2022[[#This Row],[Data da Venda]],"mmm"))</f>
        <v>JUL</v>
      </c>
    </row>
    <row r="1787" spans="1:13" x14ac:dyDescent="0.25">
      <c r="A1787" t="s">
        <v>20</v>
      </c>
      <c r="B1787">
        <v>2600</v>
      </c>
      <c r="C1787">
        <v>5</v>
      </c>
      <c r="D1787" t="s">
        <v>29</v>
      </c>
      <c r="E1787" t="s">
        <v>641</v>
      </c>
      <c r="F1787" t="s">
        <v>1301</v>
      </c>
      <c r="G1787" t="s">
        <v>650</v>
      </c>
      <c r="H1787">
        <v>55</v>
      </c>
      <c r="I1787" t="s">
        <v>647</v>
      </c>
      <c r="J1787">
        <v>13000</v>
      </c>
      <c r="K1787" s="1">
        <v>43880</v>
      </c>
      <c r="L1787">
        <v>2020</v>
      </c>
      <c r="M1787" t="str">
        <f>UPPER(TEXT(_2020_2022[[#This Row],[Data da Venda]],"mmm"))</f>
        <v>FEV</v>
      </c>
    </row>
    <row r="1788" spans="1:13" x14ac:dyDescent="0.25">
      <c r="A1788" t="s">
        <v>28</v>
      </c>
      <c r="B1788">
        <v>1400</v>
      </c>
      <c r="C1788">
        <v>1</v>
      </c>
      <c r="D1788" t="s">
        <v>38</v>
      </c>
      <c r="E1788" t="s">
        <v>648</v>
      </c>
      <c r="F1788" t="s">
        <v>659</v>
      </c>
      <c r="G1788" t="s">
        <v>643</v>
      </c>
      <c r="H1788">
        <v>50</v>
      </c>
      <c r="I1788" t="s">
        <v>644</v>
      </c>
      <c r="J1788">
        <v>1400</v>
      </c>
      <c r="K1788" s="1">
        <v>44003</v>
      </c>
      <c r="L1788">
        <v>2020</v>
      </c>
      <c r="M1788" t="str">
        <f>UPPER(TEXT(_2020_2022[[#This Row],[Data da Venda]],"mmm"))</f>
        <v>JUN</v>
      </c>
    </row>
    <row r="1789" spans="1:13" x14ac:dyDescent="0.25">
      <c r="A1789" t="s">
        <v>1441</v>
      </c>
      <c r="B1789">
        <v>1450</v>
      </c>
      <c r="C1789">
        <v>1</v>
      </c>
      <c r="D1789" t="s">
        <v>29</v>
      </c>
      <c r="E1789" t="s">
        <v>641</v>
      </c>
      <c r="F1789" t="s">
        <v>734</v>
      </c>
      <c r="G1789" t="s">
        <v>643</v>
      </c>
      <c r="H1789">
        <v>52</v>
      </c>
      <c r="I1789" t="s">
        <v>647</v>
      </c>
      <c r="J1789">
        <v>1450</v>
      </c>
      <c r="K1789" s="1">
        <v>43931</v>
      </c>
      <c r="L1789">
        <v>2020</v>
      </c>
      <c r="M1789" t="str">
        <f>UPPER(TEXT(_2020_2022[[#This Row],[Data da Venda]],"mmm"))</f>
        <v>ABR</v>
      </c>
    </row>
    <row r="1790" spans="1:13" x14ac:dyDescent="0.25">
      <c r="A1790" t="s">
        <v>20</v>
      </c>
      <c r="B1790">
        <v>2600</v>
      </c>
      <c r="C1790">
        <v>1</v>
      </c>
      <c r="D1790" t="s">
        <v>37</v>
      </c>
      <c r="E1790" t="s">
        <v>645</v>
      </c>
      <c r="F1790" t="s">
        <v>1353</v>
      </c>
      <c r="G1790" t="s">
        <v>650</v>
      </c>
      <c r="H1790">
        <v>63</v>
      </c>
      <c r="I1790" t="s">
        <v>647</v>
      </c>
      <c r="J1790">
        <v>2600</v>
      </c>
      <c r="K1790" s="1">
        <v>44190</v>
      </c>
      <c r="L1790">
        <v>2020</v>
      </c>
      <c r="M1790" t="str">
        <f>UPPER(TEXT(_2020_2022[[#This Row],[Data da Venda]],"mmm"))</f>
        <v>DEZ</v>
      </c>
    </row>
    <row r="1791" spans="1:13" x14ac:dyDescent="0.25">
      <c r="A1791" t="s">
        <v>24</v>
      </c>
      <c r="B1791">
        <v>2000</v>
      </c>
      <c r="C1791">
        <v>2</v>
      </c>
      <c r="D1791" t="s">
        <v>37</v>
      </c>
      <c r="E1791" t="s">
        <v>645</v>
      </c>
      <c r="F1791" t="s">
        <v>746</v>
      </c>
      <c r="G1791" t="s">
        <v>643</v>
      </c>
      <c r="H1791">
        <v>45</v>
      </c>
      <c r="I1791" t="s">
        <v>644</v>
      </c>
      <c r="J1791">
        <v>4000</v>
      </c>
      <c r="K1791" s="1">
        <v>43999</v>
      </c>
      <c r="L1791">
        <v>2020</v>
      </c>
      <c r="M1791" t="str">
        <f>UPPER(TEXT(_2020_2022[[#This Row],[Data da Venda]],"mmm"))</f>
        <v>JUN</v>
      </c>
    </row>
    <row r="1792" spans="1:13" x14ac:dyDescent="0.25">
      <c r="A1792" t="s">
        <v>9</v>
      </c>
      <c r="B1792">
        <v>1500</v>
      </c>
      <c r="C1792">
        <v>5</v>
      </c>
      <c r="D1792" t="s">
        <v>29</v>
      </c>
      <c r="E1792" t="s">
        <v>641</v>
      </c>
      <c r="F1792" t="s">
        <v>1070</v>
      </c>
      <c r="G1792" t="s">
        <v>643</v>
      </c>
      <c r="H1792">
        <v>49</v>
      </c>
      <c r="I1792" t="s">
        <v>644</v>
      </c>
      <c r="J1792">
        <v>7500</v>
      </c>
      <c r="K1792" s="1">
        <v>44132</v>
      </c>
      <c r="L1792">
        <v>2020</v>
      </c>
      <c r="M1792" t="str">
        <f>UPPER(TEXT(_2020_2022[[#This Row],[Data da Venda]],"mmm"))</f>
        <v>OUT</v>
      </c>
    </row>
    <row r="1793" spans="1:13" x14ac:dyDescent="0.25">
      <c r="A1793" t="s">
        <v>15</v>
      </c>
      <c r="B1793">
        <v>1900</v>
      </c>
      <c r="C1793">
        <v>1</v>
      </c>
      <c r="D1793" t="s">
        <v>33</v>
      </c>
      <c r="E1793" t="s">
        <v>641</v>
      </c>
      <c r="F1793" t="s">
        <v>854</v>
      </c>
      <c r="G1793" t="s">
        <v>643</v>
      </c>
      <c r="H1793">
        <v>46</v>
      </c>
      <c r="I1793" t="s">
        <v>644</v>
      </c>
      <c r="J1793">
        <v>1900</v>
      </c>
      <c r="K1793" s="1">
        <v>44064</v>
      </c>
      <c r="L1793">
        <v>2020</v>
      </c>
      <c r="M1793" t="str">
        <f>UPPER(TEXT(_2020_2022[[#This Row],[Data da Venda]],"mmm"))</f>
        <v>AGO</v>
      </c>
    </row>
    <row r="1794" spans="1:13" x14ac:dyDescent="0.25">
      <c r="A1794" t="s">
        <v>1440</v>
      </c>
      <c r="B1794">
        <v>700</v>
      </c>
      <c r="C1794">
        <v>2</v>
      </c>
      <c r="D1794" t="s">
        <v>30</v>
      </c>
      <c r="E1794" t="s">
        <v>645</v>
      </c>
      <c r="F1794" t="s">
        <v>722</v>
      </c>
      <c r="G1794" t="s">
        <v>643</v>
      </c>
      <c r="H1794">
        <v>64</v>
      </c>
      <c r="I1794" t="s">
        <v>647</v>
      </c>
      <c r="J1794">
        <v>1400</v>
      </c>
      <c r="K1794" s="1">
        <v>43939</v>
      </c>
      <c r="L1794">
        <v>2020</v>
      </c>
      <c r="M1794" t="str">
        <f>UPPER(TEXT(_2020_2022[[#This Row],[Data da Venda]],"mmm"))</f>
        <v>ABR</v>
      </c>
    </row>
    <row r="1795" spans="1:13" x14ac:dyDescent="0.25">
      <c r="A1795" t="s">
        <v>1442</v>
      </c>
      <c r="B1795">
        <v>1200</v>
      </c>
      <c r="C1795">
        <v>5</v>
      </c>
      <c r="D1795" t="s">
        <v>36</v>
      </c>
      <c r="E1795" t="s">
        <v>677</v>
      </c>
      <c r="F1795" t="s">
        <v>756</v>
      </c>
      <c r="G1795" t="s">
        <v>643</v>
      </c>
      <c r="H1795">
        <v>59</v>
      </c>
      <c r="I1795" t="s">
        <v>647</v>
      </c>
      <c r="J1795">
        <v>6000</v>
      </c>
      <c r="K1795" s="1">
        <v>44167</v>
      </c>
      <c r="L1795">
        <v>2020</v>
      </c>
      <c r="M1795" t="str">
        <f>UPPER(TEXT(_2020_2022[[#This Row],[Data da Venda]],"mmm"))</f>
        <v>DEZ</v>
      </c>
    </row>
    <row r="1796" spans="1:13" x14ac:dyDescent="0.25">
      <c r="A1796" t="s">
        <v>21</v>
      </c>
      <c r="B1796">
        <v>2400</v>
      </c>
      <c r="C1796">
        <v>2</v>
      </c>
      <c r="D1796" t="s">
        <v>29</v>
      </c>
      <c r="E1796" t="s">
        <v>641</v>
      </c>
      <c r="F1796" t="s">
        <v>1240</v>
      </c>
      <c r="G1796" t="s">
        <v>643</v>
      </c>
      <c r="H1796">
        <v>48</v>
      </c>
      <c r="I1796" t="s">
        <v>644</v>
      </c>
      <c r="J1796">
        <v>4800</v>
      </c>
      <c r="K1796" s="1">
        <v>44114</v>
      </c>
      <c r="L1796">
        <v>2020</v>
      </c>
      <c r="M1796" t="str">
        <f>UPPER(TEXT(_2020_2022[[#This Row],[Data da Venda]],"mmm"))</f>
        <v>OUT</v>
      </c>
    </row>
    <row r="1797" spans="1:13" x14ac:dyDescent="0.25">
      <c r="A1797" t="s">
        <v>21</v>
      </c>
      <c r="B1797">
        <v>2400</v>
      </c>
      <c r="C1797">
        <v>4</v>
      </c>
      <c r="D1797" t="s">
        <v>31</v>
      </c>
      <c r="E1797" t="s">
        <v>645</v>
      </c>
      <c r="F1797" t="s">
        <v>885</v>
      </c>
      <c r="G1797" t="s">
        <v>643</v>
      </c>
      <c r="H1797">
        <v>46</v>
      </c>
      <c r="I1797" t="s">
        <v>644</v>
      </c>
      <c r="J1797">
        <v>9600</v>
      </c>
      <c r="K1797" s="1">
        <v>43871</v>
      </c>
      <c r="L1797">
        <v>2020</v>
      </c>
      <c r="M1797" t="str">
        <f>UPPER(TEXT(_2020_2022[[#This Row],[Data da Venda]],"mmm"))</f>
        <v>FEV</v>
      </c>
    </row>
    <row r="1798" spans="1:13" x14ac:dyDescent="0.25">
      <c r="A1798" t="s">
        <v>14</v>
      </c>
      <c r="B1798">
        <v>2000</v>
      </c>
      <c r="C1798">
        <v>3</v>
      </c>
      <c r="D1798" t="s">
        <v>32</v>
      </c>
      <c r="E1798" t="s">
        <v>652</v>
      </c>
      <c r="F1798" t="s">
        <v>797</v>
      </c>
      <c r="G1798" t="s">
        <v>643</v>
      </c>
      <c r="H1798">
        <v>56</v>
      </c>
      <c r="I1798" t="s">
        <v>647</v>
      </c>
      <c r="J1798">
        <v>6000</v>
      </c>
      <c r="K1798" s="1">
        <v>43987</v>
      </c>
      <c r="L1798">
        <v>2020</v>
      </c>
      <c r="M1798" t="str">
        <f>UPPER(TEXT(_2020_2022[[#This Row],[Data da Venda]],"mmm"))</f>
        <v>JUN</v>
      </c>
    </row>
    <row r="1799" spans="1:13" x14ac:dyDescent="0.25">
      <c r="A1799" t="s">
        <v>1443</v>
      </c>
      <c r="B1799">
        <v>1550</v>
      </c>
      <c r="C1799">
        <v>4</v>
      </c>
      <c r="D1799" t="s">
        <v>40</v>
      </c>
      <c r="E1799" t="s">
        <v>657</v>
      </c>
      <c r="F1799" t="s">
        <v>770</v>
      </c>
      <c r="G1799" t="s">
        <v>643</v>
      </c>
      <c r="H1799">
        <v>31</v>
      </c>
      <c r="I1799" t="s">
        <v>644</v>
      </c>
      <c r="J1799">
        <v>6200</v>
      </c>
      <c r="K1799" s="1">
        <v>43970</v>
      </c>
      <c r="L1799">
        <v>2020</v>
      </c>
      <c r="M1799" t="str">
        <f>UPPER(TEXT(_2020_2022[[#This Row],[Data da Venda]],"mmm"))</f>
        <v>MAI</v>
      </c>
    </row>
    <row r="1800" spans="1:13" x14ac:dyDescent="0.25">
      <c r="A1800" t="s">
        <v>28</v>
      </c>
      <c r="B1800">
        <v>1400</v>
      </c>
      <c r="C1800">
        <v>1</v>
      </c>
      <c r="D1800" t="s">
        <v>31</v>
      </c>
      <c r="E1800" t="s">
        <v>645</v>
      </c>
      <c r="F1800" t="s">
        <v>905</v>
      </c>
      <c r="G1800" t="s">
        <v>643</v>
      </c>
      <c r="H1800">
        <v>40</v>
      </c>
      <c r="I1800" t="s">
        <v>644</v>
      </c>
      <c r="J1800">
        <v>1400</v>
      </c>
      <c r="K1800" s="1">
        <v>44172</v>
      </c>
      <c r="L1800">
        <v>2020</v>
      </c>
      <c r="M1800" t="str">
        <f>UPPER(TEXT(_2020_2022[[#This Row],[Data da Venda]],"mmm"))</f>
        <v>DEZ</v>
      </c>
    </row>
    <row r="1801" spans="1:13" x14ac:dyDescent="0.25">
      <c r="A1801" t="s">
        <v>9</v>
      </c>
      <c r="B1801">
        <v>1500</v>
      </c>
      <c r="C1801">
        <v>2</v>
      </c>
      <c r="D1801" t="s">
        <v>31</v>
      </c>
      <c r="E1801" t="s">
        <v>645</v>
      </c>
      <c r="F1801" t="s">
        <v>1293</v>
      </c>
      <c r="G1801" t="s">
        <v>650</v>
      </c>
      <c r="H1801">
        <v>38</v>
      </c>
      <c r="I1801" t="s">
        <v>644</v>
      </c>
      <c r="J1801">
        <v>3000</v>
      </c>
      <c r="K1801" s="1">
        <v>44089</v>
      </c>
      <c r="L1801">
        <v>2020</v>
      </c>
      <c r="M1801" t="str">
        <f>UPPER(TEXT(_2020_2022[[#This Row],[Data da Venda]],"mmm"))</f>
        <v>SET</v>
      </c>
    </row>
    <row r="1802" spans="1:13" x14ac:dyDescent="0.25">
      <c r="A1802" t="s">
        <v>14</v>
      </c>
      <c r="B1802">
        <v>2000</v>
      </c>
      <c r="C1802">
        <v>4</v>
      </c>
      <c r="D1802" t="s">
        <v>32</v>
      </c>
      <c r="E1802" t="s">
        <v>652</v>
      </c>
      <c r="F1802" t="s">
        <v>861</v>
      </c>
      <c r="G1802" t="s">
        <v>650</v>
      </c>
      <c r="H1802">
        <v>34</v>
      </c>
      <c r="I1802" t="s">
        <v>644</v>
      </c>
      <c r="J1802">
        <v>8000</v>
      </c>
      <c r="K1802" s="1">
        <v>43863</v>
      </c>
      <c r="L1802">
        <v>2020</v>
      </c>
      <c r="M1802" t="str">
        <f>UPPER(TEXT(_2020_2022[[#This Row],[Data da Venda]],"mmm"))</f>
        <v>FEV</v>
      </c>
    </row>
    <row r="1803" spans="1:13" x14ac:dyDescent="0.25">
      <c r="A1803" t="s">
        <v>1443</v>
      </c>
      <c r="B1803">
        <v>1550</v>
      </c>
      <c r="C1803">
        <v>4</v>
      </c>
      <c r="D1803" t="s">
        <v>32</v>
      </c>
      <c r="E1803" t="s">
        <v>652</v>
      </c>
      <c r="F1803" t="s">
        <v>1098</v>
      </c>
      <c r="G1803" t="s">
        <v>650</v>
      </c>
      <c r="H1803">
        <v>44</v>
      </c>
      <c r="I1803" t="s">
        <v>644</v>
      </c>
      <c r="J1803">
        <v>6200</v>
      </c>
      <c r="K1803" s="1">
        <v>44042</v>
      </c>
      <c r="L1803">
        <v>2020</v>
      </c>
      <c r="M1803" t="str">
        <f>UPPER(TEXT(_2020_2022[[#This Row],[Data da Venda]],"mmm"))</f>
        <v>JUL</v>
      </c>
    </row>
    <row r="1804" spans="1:13" x14ac:dyDescent="0.25">
      <c r="A1804" t="s">
        <v>26</v>
      </c>
      <c r="B1804">
        <v>1100</v>
      </c>
      <c r="C1804">
        <v>3</v>
      </c>
      <c r="D1804" t="s">
        <v>37</v>
      </c>
      <c r="E1804" t="s">
        <v>645</v>
      </c>
      <c r="F1804" t="s">
        <v>691</v>
      </c>
      <c r="G1804" t="s">
        <v>650</v>
      </c>
      <c r="H1804">
        <v>45</v>
      </c>
      <c r="I1804" t="s">
        <v>644</v>
      </c>
      <c r="J1804">
        <v>3300</v>
      </c>
      <c r="K1804" s="1">
        <v>44052</v>
      </c>
      <c r="L1804">
        <v>2020</v>
      </c>
      <c r="M1804" t="str">
        <f>UPPER(TEXT(_2020_2022[[#This Row],[Data da Venda]],"mmm"))</f>
        <v>AGO</v>
      </c>
    </row>
    <row r="1805" spans="1:13" x14ac:dyDescent="0.25">
      <c r="A1805" t="s">
        <v>12</v>
      </c>
      <c r="B1805">
        <v>6500</v>
      </c>
      <c r="C1805">
        <v>3</v>
      </c>
      <c r="D1805" t="s">
        <v>30</v>
      </c>
      <c r="E1805" t="s">
        <v>645</v>
      </c>
      <c r="F1805" t="s">
        <v>725</v>
      </c>
      <c r="G1805" t="s">
        <v>650</v>
      </c>
      <c r="H1805">
        <v>36</v>
      </c>
      <c r="I1805" t="s">
        <v>644</v>
      </c>
      <c r="J1805">
        <v>19500</v>
      </c>
      <c r="K1805" s="1">
        <v>43867</v>
      </c>
      <c r="L1805">
        <v>2020</v>
      </c>
      <c r="M1805" t="str">
        <f>UPPER(TEXT(_2020_2022[[#This Row],[Data da Venda]],"mmm"))</f>
        <v>FEV</v>
      </c>
    </row>
    <row r="1806" spans="1:13" x14ac:dyDescent="0.25">
      <c r="A1806" t="s">
        <v>25</v>
      </c>
      <c r="B1806">
        <v>2500</v>
      </c>
      <c r="C1806">
        <v>3</v>
      </c>
      <c r="D1806" t="s">
        <v>40</v>
      </c>
      <c r="E1806" t="s">
        <v>657</v>
      </c>
      <c r="F1806" t="s">
        <v>1076</v>
      </c>
      <c r="G1806" t="s">
        <v>650</v>
      </c>
      <c r="H1806">
        <v>42</v>
      </c>
      <c r="I1806" t="s">
        <v>644</v>
      </c>
      <c r="J1806">
        <v>7500</v>
      </c>
      <c r="K1806" s="1">
        <v>43960</v>
      </c>
      <c r="L1806">
        <v>2020</v>
      </c>
      <c r="M1806" t="str">
        <f>UPPER(TEXT(_2020_2022[[#This Row],[Data da Venda]],"mmm"))</f>
        <v>MAI</v>
      </c>
    </row>
    <row r="1807" spans="1:13" x14ac:dyDescent="0.25">
      <c r="A1807" t="s">
        <v>15</v>
      </c>
      <c r="B1807">
        <v>1900</v>
      </c>
      <c r="C1807">
        <v>5</v>
      </c>
      <c r="D1807" t="s">
        <v>38</v>
      </c>
      <c r="E1807" t="s">
        <v>648</v>
      </c>
      <c r="F1807" t="s">
        <v>1282</v>
      </c>
      <c r="G1807" t="s">
        <v>643</v>
      </c>
      <c r="H1807">
        <v>74</v>
      </c>
      <c r="I1807" t="s">
        <v>647</v>
      </c>
      <c r="J1807">
        <v>9500</v>
      </c>
      <c r="K1807" s="1">
        <v>43832</v>
      </c>
      <c r="L1807">
        <v>2020</v>
      </c>
      <c r="M1807" t="str">
        <f>UPPER(TEXT(_2020_2022[[#This Row],[Data da Venda]],"mmm"))</f>
        <v>JAN</v>
      </c>
    </row>
    <row r="1808" spans="1:13" x14ac:dyDescent="0.25">
      <c r="A1808" t="s">
        <v>25</v>
      </c>
      <c r="B1808">
        <v>2500</v>
      </c>
      <c r="C1808">
        <v>3</v>
      </c>
      <c r="D1808" t="s">
        <v>41</v>
      </c>
      <c r="E1808" t="s">
        <v>681</v>
      </c>
      <c r="F1808" t="s">
        <v>1063</v>
      </c>
      <c r="G1808" t="s">
        <v>650</v>
      </c>
      <c r="H1808">
        <v>27</v>
      </c>
      <c r="I1808" t="s">
        <v>651</v>
      </c>
      <c r="J1808">
        <v>7500</v>
      </c>
      <c r="K1808" s="1">
        <v>44102</v>
      </c>
      <c r="L1808">
        <v>2020</v>
      </c>
      <c r="M1808" t="str">
        <f>UPPER(TEXT(_2020_2022[[#This Row],[Data da Venda]],"mmm"))</f>
        <v>SET</v>
      </c>
    </row>
    <row r="1809" spans="1:13" x14ac:dyDescent="0.25">
      <c r="A1809" t="s">
        <v>11</v>
      </c>
      <c r="B1809">
        <v>4500</v>
      </c>
      <c r="C1809">
        <v>5</v>
      </c>
      <c r="D1809" t="s">
        <v>40</v>
      </c>
      <c r="E1809" t="s">
        <v>657</v>
      </c>
      <c r="F1809" t="s">
        <v>773</v>
      </c>
      <c r="G1809" t="s">
        <v>643</v>
      </c>
      <c r="H1809">
        <v>27</v>
      </c>
      <c r="I1809" t="s">
        <v>651</v>
      </c>
      <c r="J1809">
        <v>22500</v>
      </c>
      <c r="K1809" s="1">
        <v>43961</v>
      </c>
      <c r="L1809">
        <v>2020</v>
      </c>
      <c r="M1809" t="str">
        <f>UPPER(TEXT(_2020_2022[[#This Row],[Data da Venda]],"mmm"))</f>
        <v>MAI</v>
      </c>
    </row>
    <row r="1810" spans="1:13" x14ac:dyDescent="0.25">
      <c r="A1810" t="s">
        <v>15</v>
      </c>
      <c r="B1810">
        <v>1900</v>
      </c>
      <c r="C1810">
        <v>5</v>
      </c>
      <c r="D1810" t="s">
        <v>29</v>
      </c>
      <c r="E1810" t="s">
        <v>641</v>
      </c>
      <c r="F1810" t="s">
        <v>813</v>
      </c>
      <c r="G1810" t="s">
        <v>650</v>
      </c>
      <c r="H1810">
        <v>40</v>
      </c>
      <c r="I1810" t="s">
        <v>644</v>
      </c>
      <c r="J1810">
        <v>9500</v>
      </c>
      <c r="K1810" s="1">
        <v>43903</v>
      </c>
      <c r="L1810">
        <v>2020</v>
      </c>
      <c r="M1810" t="str">
        <f>UPPER(TEXT(_2020_2022[[#This Row],[Data da Venda]],"mmm"))</f>
        <v>MAR</v>
      </c>
    </row>
    <row r="1811" spans="1:13" x14ac:dyDescent="0.25">
      <c r="A1811" t="s">
        <v>8</v>
      </c>
      <c r="B1811">
        <v>5500</v>
      </c>
      <c r="C1811">
        <v>5</v>
      </c>
      <c r="D1811" t="s">
        <v>34</v>
      </c>
      <c r="E1811" t="s">
        <v>679</v>
      </c>
      <c r="F1811" t="s">
        <v>1125</v>
      </c>
      <c r="G1811" t="s">
        <v>643</v>
      </c>
      <c r="H1811">
        <v>67</v>
      </c>
      <c r="I1811" t="s">
        <v>647</v>
      </c>
      <c r="J1811">
        <v>27500</v>
      </c>
      <c r="K1811" s="1">
        <v>43995</v>
      </c>
      <c r="L1811">
        <v>2020</v>
      </c>
      <c r="M1811" t="str">
        <f>UPPER(TEXT(_2020_2022[[#This Row],[Data da Venda]],"mmm"))</f>
        <v>JUN</v>
      </c>
    </row>
    <row r="1812" spans="1:13" x14ac:dyDescent="0.25">
      <c r="A1812" t="s">
        <v>1441</v>
      </c>
      <c r="B1812">
        <v>1450</v>
      </c>
      <c r="C1812">
        <v>2</v>
      </c>
      <c r="D1812" t="s">
        <v>33</v>
      </c>
      <c r="E1812" t="s">
        <v>641</v>
      </c>
      <c r="F1812" t="s">
        <v>738</v>
      </c>
      <c r="G1812" t="s">
        <v>650</v>
      </c>
      <c r="H1812">
        <v>73</v>
      </c>
      <c r="I1812" t="s">
        <v>647</v>
      </c>
      <c r="J1812">
        <v>2900</v>
      </c>
      <c r="K1812" s="1">
        <v>44025</v>
      </c>
      <c r="L1812">
        <v>2020</v>
      </c>
      <c r="M1812" t="str">
        <f>UPPER(TEXT(_2020_2022[[#This Row],[Data da Venda]],"mmm"))</f>
        <v>JUL</v>
      </c>
    </row>
    <row r="1813" spans="1:13" x14ac:dyDescent="0.25">
      <c r="A1813" t="s">
        <v>24</v>
      </c>
      <c r="B1813">
        <v>2000</v>
      </c>
      <c r="C1813">
        <v>2</v>
      </c>
      <c r="D1813" t="s">
        <v>36</v>
      </c>
      <c r="E1813" t="s">
        <v>677</v>
      </c>
      <c r="F1813" t="s">
        <v>842</v>
      </c>
      <c r="G1813" t="s">
        <v>643</v>
      </c>
      <c r="H1813">
        <v>49</v>
      </c>
      <c r="I1813" t="s">
        <v>644</v>
      </c>
      <c r="J1813">
        <v>4000</v>
      </c>
      <c r="K1813" s="1">
        <v>43983</v>
      </c>
      <c r="L1813">
        <v>2020</v>
      </c>
      <c r="M1813" t="str">
        <f>UPPER(TEXT(_2020_2022[[#This Row],[Data da Venda]],"mmm"))</f>
        <v>JUN</v>
      </c>
    </row>
    <row r="1814" spans="1:13" x14ac:dyDescent="0.25">
      <c r="A1814" t="s">
        <v>16</v>
      </c>
      <c r="B1814">
        <v>1400</v>
      </c>
      <c r="C1814">
        <v>5</v>
      </c>
      <c r="D1814" t="s">
        <v>40</v>
      </c>
      <c r="E1814" t="s">
        <v>657</v>
      </c>
      <c r="F1814" t="s">
        <v>1199</v>
      </c>
      <c r="G1814" t="s">
        <v>643</v>
      </c>
      <c r="H1814">
        <v>71</v>
      </c>
      <c r="I1814" t="s">
        <v>647</v>
      </c>
      <c r="J1814">
        <v>7000</v>
      </c>
      <c r="K1814" s="1">
        <v>44081</v>
      </c>
      <c r="L1814">
        <v>2020</v>
      </c>
      <c r="M1814" t="str">
        <f>UPPER(TEXT(_2020_2022[[#This Row],[Data da Venda]],"mmm"))</f>
        <v>SET</v>
      </c>
    </row>
    <row r="1815" spans="1:13" x14ac:dyDescent="0.25">
      <c r="A1815" t="s">
        <v>24</v>
      </c>
      <c r="B1815">
        <v>2000</v>
      </c>
      <c r="C1815">
        <v>4</v>
      </c>
      <c r="D1815" t="s">
        <v>33</v>
      </c>
      <c r="E1815" t="s">
        <v>641</v>
      </c>
      <c r="F1815" t="s">
        <v>1123</v>
      </c>
      <c r="G1815" t="s">
        <v>650</v>
      </c>
      <c r="H1815">
        <v>41</v>
      </c>
      <c r="I1815" t="s">
        <v>644</v>
      </c>
      <c r="J1815">
        <v>8000</v>
      </c>
      <c r="K1815" s="1">
        <v>43877</v>
      </c>
      <c r="L1815">
        <v>2020</v>
      </c>
      <c r="M1815" t="str">
        <f>UPPER(TEXT(_2020_2022[[#This Row],[Data da Venda]],"mmm"))</f>
        <v>FEV</v>
      </c>
    </row>
    <row r="1816" spans="1:13" x14ac:dyDescent="0.25">
      <c r="A1816" t="s">
        <v>1444</v>
      </c>
      <c r="B1816">
        <v>1500</v>
      </c>
      <c r="C1816">
        <v>3</v>
      </c>
      <c r="D1816" t="s">
        <v>31</v>
      </c>
      <c r="E1816" t="s">
        <v>645</v>
      </c>
      <c r="F1816" t="s">
        <v>1220</v>
      </c>
      <c r="G1816" t="s">
        <v>650</v>
      </c>
      <c r="H1816">
        <v>30</v>
      </c>
      <c r="I1816" t="s">
        <v>644</v>
      </c>
      <c r="J1816">
        <v>4500</v>
      </c>
      <c r="K1816" s="1">
        <v>44166</v>
      </c>
      <c r="L1816">
        <v>2020</v>
      </c>
      <c r="M1816" t="str">
        <f>UPPER(TEXT(_2020_2022[[#This Row],[Data da Venda]],"mmm"))</f>
        <v>DEZ</v>
      </c>
    </row>
    <row r="1817" spans="1:13" x14ac:dyDescent="0.25">
      <c r="A1817" t="s">
        <v>1445</v>
      </c>
      <c r="B1817">
        <v>1500</v>
      </c>
      <c r="C1817">
        <v>5</v>
      </c>
      <c r="D1817" t="s">
        <v>34</v>
      </c>
      <c r="E1817" t="s">
        <v>679</v>
      </c>
      <c r="F1817" t="s">
        <v>873</v>
      </c>
      <c r="G1817" t="s">
        <v>643</v>
      </c>
      <c r="H1817">
        <v>62</v>
      </c>
      <c r="I1817" t="s">
        <v>647</v>
      </c>
      <c r="J1817">
        <v>7500</v>
      </c>
      <c r="K1817" s="1">
        <v>43948</v>
      </c>
      <c r="L1817">
        <v>2020</v>
      </c>
      <c r="M1817" t="str">
        <f>UPPER(TEXT(_2020_2022[[#This Row],[Data da Venda]],"mmm"))</f>
        <v>ABR</v>
      </c>
    </row>
    <row r="1818" spans="1:13" x14ac:dyDescent="0.25">
      <c r="A1818" t="s">
        <v>25</v>
      </c>
      <c r="B1818">
        <v>2500</v>
      </c>
      <c r="C1818">
        <v>4</v>
      </c>
      <c r="D1818" t="s">
        <v>31</v>
      </c>
      <c r="E1818" t="s">
        <v>645</v>
      </c>
      <c r="F1818" t="s">
        <v>889</v>
      </c>
      <c r="G1818" t="s">
        <v>643</v>
      </c>
      <c r="H1818">
        <v>26</v>
      </c>
      <c r="I1818" t="s">
        <v>651</v>
      </c>
      <c r="J1818">
        <v>10000</v>
      </c>
      <c r="K1818" s="1">
        <v>44007</v>
      </c>
      <c r="L1818">
        <v>2020</v>
      </c>
      <c r="M1818" t="str">
        <f>UPPER(TEXT(_2020_2022[[#This Row],[Data da Venda]],"mmm"))</f>
        <v>JUN</v>
      </c>
    </row>
    <row r="1819" spans="1:13" x14ac:dyDescent="0.25">
      <c r="A1819" t="s">
        <v>1440</v>
      </c>
      <c r="B1819">
        <v>700</v>
      </c>
      <c r="C1819">
        <v>2</v>
      </c>
      <c r="D1819" t="s">
        <v>39</v>
      </c>
      <c r="E1819" t="s">
        <v>641</v>
      </c>
      <c r="F1819" t="s">
        <v>1160</v>
      </c>
      <c r="G1819" t="s">
        <v>643</v>
      </c>
      <c r="H1819">
        <v>34</v>
      </c>
      <c r="I1819" t="s">
        <v>644</v>
      </c>
      <c r="J1819">
        <v>1400</v>
      </c>
      <c r="K1819" s="1">
        <v>44054</v>
      </c>
      <c r="L1819">
        <v>2020</v>
      </c>
      <c r="M1819" t="str">
        <f>UPPER(TEXT(_2020_2022[[#This Row],[Data da Venda]],"mmm"))</f>
        <v>AGO</v>
      </c>
    </row>
    <row r="1820" spans="1:13" x14ac:dyDescent="0.25">
      <c r="A1820" t="s">
        <v>1445</v>
      </c>
      <c r="B1820">
        <v>1500</v>
      </c>
      <c r="C1820">
        <v>3</v>
      </c>
      <c r="D1820" t="s">
        <v>36</v>
      </c>
      <c r="E1820" t="s">
        <v>677</v>
      </c>
      <c r="F1820" t="s">
        <v>1119</v>
      </c>
      <c r="G1820" t="s">
        <v>643</v>
      </c>
      <c r="H1820">
        <v>72</v>
      </c>
      <c r="I1820" t="s">
        <v>647</v>
      </c>
      <c r="J1820">
        <v>4500</v>
      </c>
      <c r="K1820" s="1">
        <v>44188</v>
      </c>
      <c r="L1820">
        <v>2020</v>
      </c>
      <c r="M1820" t="str">
        <f>UPPER(TEXT(_2020_2022[[#This Row],[Data da Venda]],"mmm"))</f>
        <v>DEZ</v>
      </c>
    </row>
    <row r="1821" spans="1:13" x14ac:dyDescent="0.25">
      <c r="A1821" t="s">
        <v>15</v>
      </c>
      <c r="B1821">
        <v>1900</v>
      </c>
      <c r="C1821">
        <v>1</v>
      </c>
      <c r="D1821" t="s">
        <v>41</v>
      </c>
      <c r="E1821" t="s">
        <v>681</v>
      </c>
      <c r="F1821" t="s">
        <v>689</v>
      </c>
      <c r="G1821" t="s">
        <v>643</v>
      </c>
      <c r="H1821">
        <v>36</v>
      </c>
      <c r="I1821" t="s">
        <v>644</v>
      </c>
      <c r="J1821">
        <v>1900</v>
      </c>
      <c r="K1821" s="1">
        <v>44076</v>
      </c>
      <c r="L1821">
        <v>2020</v>
      </c>
      <c r="M1821" t="str">
        <f>UPPER(TEXT(_2020_2022[[#This Row],[Data da Venda]],"mmm"))</f>
        <v>SET</v>
      </c>
    </row>
    <row r="1822" spans="1:13" x14ac:dyDescent="0.25">
      <c r="A1822" t="s">
        <v>24</v>
      </c>
      <c r="B1822">
        <v>2000</v>
      </c>
      <c r="C1822">
        <v>3</v>
      </c>
      <c r="D1822" t="s">
        <v>35</v>
      </c>
      <c r="E1822" t="s">
        <v>666</v>
      </c>
      <c r="F1822" t="s">
        <v>1016</v>
      </c>
      <c r="G1822" t="s">
        <v>650</v>
      </c>
      <c r="H1822">
        <v>46</v>
      </c>
      <c r="I1822" t="s">
        <v>644</v>
      </c>
      <c r="J1822">
        <v>6000</v>
      </c>
      <c r="K1822" s="1">
        <v>44193</v>
      </c>
      <c r="L1822">
        <v>2020</v>
      </c>
      <c r="M1822" t="str">
        <f>UPPER(TEXT(_2020_2022[[#This Row],[Data da Venda]],"mmm"))</f>
        <v>DEZ</v>
      </c>
    </row>
    <row r="1823" spans="1:13" x14ac:dyDescent="0.25">
      <c r="A1823" t="s">
        <v>1442</v>
      </c>
      <c r="B1823">
        <v>1200</v>
      </c>
      <c r="C1823">
        <v>2</v>
      </c>
      <c r="D1823" t="s">
        <v>33</v>
      </c>
      <c r="E1823" t="s">
        <v>641</v>
      </c>
      <c r="F1823" t="s">
        <v>1089</v>
      </c>
      <c r="G1823" t="s">
        <v>643</v>
      </c>
      <c r="H1823">
        <v>69</v>
      </c>
      <c r="I1823" t="s">
        <v>647</v>
      </c>
      <c r="J1823">
        <v>2400</v>
      </c>
      <c r="K1823" s="1">
        <v>43971</v>
      </c>
      <c r="L1823">
        <v>2020</v>
      </c>
      <c r="M1823" t="str">
        <f>UPPER(TEXT(_2020_2022[[#This Row],[Data da Venda]],"mmm"))</f>
        <v>MAI</v>
      </c>
    </row>
    <row r="1824" spans="1:13" x14ac:dyDescent="0.25">
      <c r="A1824" t="s">
        <v>18</v>
      </c>
      <c r="B1824">
        <v>3000</v>
      </c>
      <c r="C1824">
        <v>3</v>
      </c>
      <c r="D1824" t="s">
        <v>33</v>
      </c>
      <c r="E1824" t="s">
        <v>641</v>
      </c>
      <c r="F1824" t="s">
        <v>688</v>
      </c>
      <c r="G1824" t="s">
        <v>643</v>
      </c>
      <c r="H1824">
        <v>61</v>
      </c>
      <c r="I1824" t="s">
        <v>647</v>
      </c>
      <c r="J1824">
        <v>9000</v>
      </c>
      <c r="K1824" s="1">
        <v>43961</v>
      </c>
      <c r="L1824">
        <v>2020</v>
      </c>
      <c r="M1824" t="str">
        <f>UPPER(TEXT(_2020_2022[[#This Row],[Data da Venda]],"mmm"))</f>
        <v>MAI</v>
      </c>
    </row>
    <row r="1825" spans="1:13" x14ac:dyDescent="0.25">
      <c r="A1825" t="s">
        <v>1441</v>
      </c>
      <c r="B1825">
        <v>1450</v>
      </c>
      <c r="C1825">
        <v>4</v>
      </c>
      <c r="D1825" t="s">
        <v>36</v>
      </c>
      <c r="E1825" t="s">
        <v>677</v>
      </c>
      <c r="F1825" t="s">
        <v>900</v>
      </c>
      <c r="G1825" t="s">
        <v>650</v>
      </c>
      <c r="H1825">
        <v>32</v>
      </c>
      <c r="I1825" t="s">
        <v>644</v>
      </c>
      <c r="J1825">
        <v>5800</v>
      </c>
      <c r="K1825" s="1">
        <v>43881</v>
      </c>
      <c r="L1825">
        <v>2020</v>
      </c>
      <c r="M1825" t="str">
        <f>UPPER(TEXT(_2020_2022[[#This Row],[Data da Venda]],"mmm"))</f>
        <v>FEV</v>
      </c>
    </row>
    <row r="1826" spans="1:13" x14ac:dyDescent="0.25">
      <c r="A1826" t="s">
        <v>21</v>
      </c>
      <c r="B1826">
        <v>2400</v>
      </c>
      <c r="C1826">
        <v>1</v>
      </c>
      <c r="D1826" t="s">
        <v>41</v>
      </c>
      <c r="E1826" t="s">
        <v>681</v>
      </c>
      <c r="F1826" t="s">
        <v>1121</v>
      </c>
      <c r="G1826" t="s">
        <v>650</v>
      </c>
      <c r="H1826">
        <v>31</v>
      </c>
      <c r="I1826" t="s">
        <v>644</v>
      </c>
      <c r="J1826">
        <v>2400</v>
      </c>
      <c r="K1826" s="1">
        <v>44161</v>
      </c>
      <c r="L1826">
        <v>2020</v>
      </c>
      <c r="M1826" t="str">
        <f>UPPER(TEXT(_2020_2022[[#This Row],[Data da Venda]],"mmm"))</f>
        <v>NOV</v>
      </c>
    </row>
    <row r="1827" spans="1:13" x14ac:dyDescent="0.25">
      <c r="A1827" t="s">
        <v>16</v>
      </c>
      <c r="B1827">
        <v>1400</v>
      </c>
      <c r="C1827">
        <v>5</v>
      </c>
      <c r="D1827" t="s">
        <v>29</v>
      </c>
      <c r="E1827" t="s">
        <v>641</v>
      </c>
      <c r="F1827" t="s">
        <v>1228</v>
      </c>
      <c r="G1827" t="s">
        <v>643</v>
      </c>
      <c r="H1827">
        <v>31</v>
      </c>
      <c r="I1827" t="s">
        <v>644</v>
      </c>
      <c r="J1827">
        <v>7000</v>
      </c>
      <c r="K1827" s="1">
        <v>43934</v>
      </c>
      <c r="L1827">
        <v>2020</v>
      </c>
      <c r="M1827" t="str">
        <f>UPPER(TEXT(_2020_2022[[#This Row],[Data da Venda]],"mmm"))</f>
        <v>ABR</v>
      </c>
    </row>
    <row r="1828" spans="1:13" x14ac:dyDescent="0.25">
      <c r="A1828" t="s">
        <v>12</v>
      </c>
      <c r="B1828">
        <v>6500</v>
      </c>
      <c r="C1828">
        <v>3</v>
      </c>
      <c r="D1828" t="s">
        <v>29</v>
      </c>
      <c r="E1828" t="s">
        <v>641</v>
      </c>
      <c r="F1828" t="s">
        <v>1144</v>
      </c>
      <c r="G1828" t="s">
        <v>643</v>
      </c>
      <c r="H1828">
        <v>65</v>
      </c>
      <c r="I1828" t="s">
        <v>647</v>
      </c>
      <c r="J1828">
        <v>19500</v>
      </c>
      <c r="K1828" s="1">
        <v>44057</v>
      </c>
      <c r="L1828">
        <v>2020</v>
      </c>
      <c r="M1828" t="str">
        <f>UPPER(TEXT(_2020_2022[[#This Row],[Data da Venda]],"mmm"))</f>
        <v>AGO</v>
      </c>
    </row>
    <row r="1829" spans="1:13" x14ac:dyDescent="0.25">
      <c r="A1829" t="s">
        <v>7</v>
      </c>
      <c r="B1829">
        <v>750</v>
      </c>
      <c r="C1829">
        <v>3</v>
      </c>
      <c r="D1829" t="s">
        <v>40</v>
      </c>
      <c r="E1829" t="s">
        <v>657</v>
      </c>
      <c r="F1829" t="s">
        <v>800</v>
      </c>
      <c r="G1829" t="s">
        <v>650</v>
      </c>
      <c r="H1829">
        <v>58</v>
      </c>
      <c r="I1829" t="s">
        <v>647</v>
      </c>
      <c r="J1829">
        <v>2250</v>
      </c>
      <c r="K1829" s="1">
        <v>43839</v>
      </c>
      <c r="L1829">
        <v>2020</v>
      </c>
      <c r="M1829" t="str">
        <f>UPPER(TEXT(_2020_2022[[#This Row],[Data da Venda]],"mmm"))</f>
        <v>JAN</v>
      </c>
    </row>
    <row r="1830" spans="1:13" x14ac:dyDescent="0.25">
      <c r="A1830" t="s">
        <v>16</v>
      </c>
      <c r="B1830">
        <v>1400</v>
      </c>
      <c r="C1830">
        <v>5</v>
      </c>
      <c r="D1830" t="s">
        <v>39</v>
      </c>
      <c r="E1830" t="s">
        <v>641</v>
      </c>
      <c r="F1830" t="s">
        <v>1354</v>
      </c>
      <c r="G1830" t="s">
        <v>643</v>
      </c>
      <c r="H1830">
        <v>42</v>
      </c>
      <c r="I1830" t="s">
        <v>644</v>
      </c>
      <c r="J1830">
        <v>7000</v>
      </c>
      <c r="K1830" s="1">
        <v>44091</v>
      </c>
      <c r="L1830">
        <v>2020</v>
      </c>
      <c r="M1830" t="str">
        <f>UPPER(TEXT(_2020_2022[[#This Row],[Data da Venda]],"mmm"))</f>
        <v>SET</v>
      </c>
    </row>
    <row r="1831" spans="1:13" x14ac:dyDescent="0.25">
      <c r="A1831" t="s">
        <v>12</v>
      </c>
      <c r="B1831">
        <v>6500</v>
      </c>
      <c r="C1831">
        <v>4</v>
      </c>
      <c r="D1831" t="s">
        <v>34</v>
      </c>
      <c r="E1831" t="s">
        <v>679</v>
      </c>
      <c r="F1831" t="s">
        <v>1096</v>
      </c>
      <c r="G1831" t="s">
        <v>643</v>
      </c>
      <c r="H1831">
        <v>26</v>
      </c>
      <c r="I1831" t="s">
        <v>651</v>
      </c>
      <c r="J1831">
        <v>26000</v>
      </c>
      <c r="K1831" s="1">
        <v>43889</v>
      </c>
      <c r="L1831">
        <v>2020</v>
      </c>
      <c r="M1831" t="str">
        <f>UPPER(TEXT(_2020_2022[[#This Row],[Data da Venda]],"mmm"))</f>
        <v>FEV</v>
      </c>
    </row>
    <row r="1832" spans="1:13" x14ac:dyDescent="0.25">
      <c r="A1832" t="s">
        <v>22</v>
      </c>
      <c r="B1832">
        <v>5200</v>
      </c>
      <c r="C1832">
        <v>5</v>
      </c>
      <c r="D1832" t="s">
        <v>29</v>
      </c>
      <c r="E1832" t="s">
        <v>641</v>
      </c>
      <c r="F1832" t="s">
        <v>986</v>
      </c>
      <c r="G1832" t="s">
        <v>650</v>
      </c>
      <c r="H1832">
        <v>53</v>
      </c>
      <c r="I1832" t="s">
        <v>647</v>
      </c>
      <c r="J1832">
        <v>26000</v>
      </c>
      <c r="K1832" s="1">
        <v>44006</v>
      </c>
      <c r="L1832">
        <v>2020</v>
      </c>
      <c r="M1832" t="str">
        <f>UPPER(TEXT(_2020_2022[[#This Row],[Data da Venda]],"mmm"))</f>
        <v>JUN</v>
      </c>
    </row>
    <row r="1833" spans="1:13" x14ac:dyDescent="0.25">
      <c r="A1833" t="s">
        <v>1445</v>
      </c>
      <c r="B1833">
        <v>1500</v>
      </c>
      <c r="C1833">
        <v>1</v>
      </c>
      <c r="D1833" t="s">
        <v>31</v>
      </c>
      <c r="E1833" t="s">
        <v>645</v>
      </c>
      <c r="F1833" t="s">
        <v>776</v>
      </c>
      <c r="G1833" t="s">
        <v>643</v>
      </c>
      <c r="H1833">
        <v>29</v>
      </c>
      <c r="I1833" t="s">
        <v>651</v>
      </c>
      <c r="J1833">
        <v>1500</v>
      </c>
      <c r="K1833" s="1">
        <v>44015</v>
      </c>
      <c r="L1833">
        <v>2020</v>
      </c>
      <c r="M1833" t="str">
        <f>UPPER(TEXT(_2020_2022[[#This Row],[Data da Venda]],"mmm"))</f>
        <v>JUL</v>
      </c>
    </row>
    <row r="1834" spans="1:13" x14ac:dyDescent="0.25">
      <c r="A1834" t="s">
        <v>18</v>
      </c>
      <c r="B1834">
        <v>3000</v>
      </c>
      <c r="C1834">
        <v>2</v>
      </c>
      <c r="D1834" t="s">
        <v>38</v>
      </c>
      <c r="E1834" t="s">
        <v>648</v>
      </c>
      <c r="F1834" t="s">
        <v>922</v>
      </c>
      <c r="G1834" t="s">
        <v>650</v>
      </c>
      <c r="H1834">
        <v>50</v>
      </c>
      <c r="I1834" t="s">
        <v>644</v>
      </c>
      <c r="J1834">
        <v>6000</v>
      </c>
      <c r="K1834" s="1">
        <v>44035</v>
      </c>
      <c r="L1834">
        <v>2020</v>
      </c>
      <c r="M1834" t="str">
        <f>UPPER(TEXT(_2020_2022[[#This Row],[Data da Venda]],"mmm"))</f>
        <v>JUL</v>
      </c>
    </row>
    <row r="1835" spans="1:13" x14ac:dyDescent="0.25">
      <c r="A1835" t="s">
        <v>7</v>
      </c>
      <c r="B1835">
        <v>750</v>
      </c>
      <c r="C1835">
        <v>3</v>
      </c>
      <c r="D1835" t="s">
        <v>31</v>
      </c>
      <c r="E1835" t="s">
        <v>645</v>
      </c>
      <c r="F1835" t="s">
        <v>1071</v>
      </c>
      <c r="G1835" t="s">
        <v>643</v>
      </c>
      <c r="H1835">
        <v>51</v>
      </c>
      <c r="I1835" t="s">
        <v>647</v>
      </c>
      <c r="J1835">
        <v>2250</v>
      </c>
      <c r="K1835" s="1">
        <v>44141</v>
      </c>
      <c r="L1835">
        <v>2020</v>
      </c>
      <c r="M1835" t="str">
        <f>UPPER(TEXT(_2020_2022[[#This Row],[Data da Venda]],"mmm"))</f>
        <v>NOV</v>
      </c>
    </row>
    <row r="1836" spans="1:13" x14ac:dyDescent="0.25">
      <c r="A1836" t="s">
        <v>9</v>
      </c>
      <c r="B1836">
        <v>1500</v>
      </c>
      <c r="C1836">
        <v>2</v>
      </c>
      <c r="D1836" t="s">
        <v>37</v>
      </c>
      <c r="E1836" t="s">
        <v>645</v>
      </c>
      <c r="F1836" t="s">
        <v>704</v>
      </c>
      <c r="G1836" t="s">
        <v>643</v>
      </c>
      <c r="H1836">
        <v>38</v>
      </c>
      <c r="I1836" t="s">
        <v>644</v>
      </c>
      <c r="J1836">
        <v>3000</v>
      </c>
      <c r="K1836" s="1">
        <v>43893</v>
      </c>
      <c r="L1836">
        <v>2020</v>
      </c>
      <c r="M1836" t="str">
        <f>UPPER(TEXT(_2020_2022[[#This Row],[Data da Venda]],"mmm"))</f>
        <v>MAR</v>
      </c>
    </row>
    <row r="1837" spans="1:13" x14ac:dyDescent="0.25">
      <c r="A1837" t="s">
        <v>11</v>
      </c>
      <c r="B1837">
        <v>4500</v>
      </c>
      <c r="C1837">
        <v>4</v>
      </c>
      <c r="D1837" t="s">
        <v>30</v>
      </c>
      <c r="E1837" t="s">
        <v>645</v>
      </c>
      <c r="F1837" t="s">
        <v>1047</v>
      </c>
      <c r="G1837" t="s">
        <v>650</v>
      </c>
      <c r="H1837">
        <v>29</v>
      </c>
      <c r="I1837" t="s">
        <v>651</v>
      </c>
      <c r="J1837">
        <v>18000</v>
      </c>
      <c r="K1837" s="1">
        <v>43991</v>
      </c>
      <c r="L1837">
        <v>2020</v>
      </c>
      <c r="M1837" t="str">
        <f>UPPER(TEXT(_2020_2022[[#This Row],[Data da Venda]],"mmm"))</f>
        <v>JUN</v>
      </c>
    </row>
    <row r="1838" spans="1:13" x14ac:dyDescent="0.25">
      <c r="A1838" t="s">
        <v>25</v>
      </c>
      <c r="B1838">
        <v>2500</v>
      </c>
      <c r="C1838">
        <v>2</v>
      </c>
      <c r="D1838" t="s">
        <v>34</v>
      </c>
      <c r="E1838" t="s">
        <v>679</v>
      </c>
      <c r="F1838" t="s">
        <v>1002</v>
      </c>
      <c r="G1838" t="s">
        <v>650</v>
      </c>
      <c r="H1838">
        <v>43</v>
      </c>
      <c r="I1838" t="s">
        <v>644</v>
      </c>
      <c r="J1838">
        <v>5000</v>
      </c>
      <c r="K1838" s="1">
        <v>44013</v>
      </c>
      <c r="L1838">
        <v>2020</v>
      </c>
      <c r="M1838" t="str">
        <f>UPPER(TEXT(_2020_2022[[#This Row],[Data da Venda]],"mmm"))</f>
        <v>JUL</v>
      </c>
    </row>
    <row r="1839" spans="1:13" x14ac:dyDescent="0.25">
      <c r="A1839" t="s">
        <v>1441</v>
      </c>
      <c r="B1839">
        <v>1450</v>
      </c>
      <c r="C1839">
        <v>3</v>
      </c>
      <c r="D1839" t="s">
        <v>32</v>
      </c>
      <c r="E1839" t="s">
        <v>652</v>
      </c>
      <c r="F1839" t="s">
        <v>1194</v>
      </c>
      <c r="G1839" t="s">
        <v>650</v>
      </c>
      <c r="H1839">
        <v>51</v>
      </c>
      <c r="I1839" t="s">
        <v>647</v>
      </c>
      <c r="J1839">
        <v>4350</v>
      </c>
      <c r="K1839" s="1">
        <v>44152</v>
      </c>
      <c r="L1839">
        <v>2020</v>
      </c>
      <c r="M1839" t="str">
        <f>UPPER(TEXT(_2020_2022[[#This Row],[Data da Venda]],"mmm"))</f>
        <v>NOV</v>
      </c>
    </row>
    <row r="1840" spans="1:13" x14ac:dyDescent="0.25">
      <c r="A1840" t="s">
        <v>1440</v>
      </c>
      <c r="B1840">
        <v>700</v>
      </c>
      <c r="C1840">
        <v>5</v>
      </c>
      <c r="D1840" t="s">
        <v>35</v>
      </c>
      <c r="E1840" t="s">
        <v>666</v>
      </c>
      <c r="F1840" t="s">
        <v>794</v>
      </c>
      <c r="G1840" t="s">
        <v>650</v>
      </c>
      <c r="H1840">
        <v>25</v>
      </c>
      <c r="I1840" t="s">
        <v>651</v>
      </c>
      <c r="J1840">
        <v>3500</v>
      </c>
      <c r="K1840" s="1">
        <v>44174</v>
      </c>
      <c r="L1840">
        <v>2020</v>
      </c>
      <c r="M1840" t="str">
        <f>UPPER(TEXT(_2020_2022[[#This Row],[Data da Venda]],"mmm"))</f>
        <v>DEZ</v>
      </c>
    </row>
    <row r="1841" spans="1:13" x14ac:dyDescent="0.25">
      <c r="A1841" t="s">
        <v>24</v>
      </c>
      <c r="B1841">
        <v>2000</v>
      </c>
      <c r="C1841">
        <v>3</v>
      </c>
      <c r="D1841" t="s">
        <v>34</v>
      </c>
      <c r="E1841" t="s">
        <v>679</v>
      </c>
      <c r="F1841" t="s">
        <v>737</v>
      </c>
      <c r="G1841" t="s">
        <v>650</v>
      </c>
      <c r="H1841">
        <v>54</v>
      </c>
      <c r="I1841" t="s">
        <v>647</v>
      </c>
      <c r="J1841">
        <v>6000</v>
      </c>
      <c r="K1841" s="1">
        <v>44015</v>
      </c>
      <c r="L1841">
        <v>2020</v>
      </c>
      <c r="M1841" t="str">
        <f>UPPER(TEXT(_2020_2022[[#This Row],[Data da Venda]],"mmm"))</f>
        <v>JUL</v>
      </c>
    </row>
    <row r="1842" spans="1:13" x14ac:dyDescent="0.25">
      <c r="A1842" t="s">
        <v>25</v>
      </c>
      <c r="B1842">
        <v>2500</v>
      </c>
      <c r="C1842">
        <v>2</v>
      </c>
      <c r="D1842" t="s">
        <v>40</v>
      </c>
      <c r="E1842" t="s">
        <v>657</v>
      </c>
      <c r="F1842" t="s">
        <v>1074</v>
      </c>
      <c r="G1842" t="s">
        <v>643</v>
      </c>
      <c r="H1842">
        <v>31</v>
      </c>
      <c r="I1842" t="s">
        <v>644</v>
      </c>
      <c r="J1842">
        <v>5000</v>
      </c>
      <c r="K1842" s="1">
        <v>44048</v>
      </c>
      <c r="L1842">
        <v>2020</v>
      </c>
      <c r="M1842" t="str">
        <f>UPPER(TEXT(_2020_2022[[#This Row],[Data da Venda]],"mmm"))</f>
        <v>AGO</v>
      </c>
    </row>
    <row r="1843" spans="1:13" x14ac:dyDescent="0.25">
      <c r="A1843" t="s">
        <v>24</v>
      </c>
      <c r="B1843">
        <v>2000</v>
      </c>
      <c r="C1843">
        <v>5</v>
      </c>
      <c r="D1843" t="s">
        <v>30</v>
      </c>
      <c r="E1843" t="s">
        <v>645</v>
      </c>
      <c r="F1843" t="s">
        <v>1117</v>
      </c>
      <c r="G1843" t="s">
        <v>650</v>
      </c>
      <c r="H1843">
        <v>54</v>
      </c>
      <c r="I1843" t="s">
        <v>647</v>
      </c>
      <c r="J1843">
        <v>10000</v>
      </c>
      <c r="K1843" s="1">
        <v>44071</v>
      </c>
      <c r="L1843">
        <v>2020</v>
      </c>
      <c r="M1843" t="str">
        <f>UPPER(TEXT(_2020_2022[[#This Row],[Data da Venda]],"mmm"))</f>
        <v>AGO</v>
      </c>
    </row>
    <row r="1844" spans="1:13" x14ac:dyDescent="0.25">
      <c r="A1844" t="s">
        <v>20</v>
      </c>
      <c r="B1844">
        <v>2600</v>
      </c>
      <c r="C1844">
        <v>3</v>
      </c>
      <c r="D1844" t="s">
        <v>36</v>
      </c>
      <c r="E1844" t="s">
        <v>677</v>
      </c>
      <c r="F1844" t="s">
        <v>755</v>
      </c>
      <c r="G1844" t="s">
        <v>643</v>
      </c>
      <c r="H1844">
        <v>48</v>
      </c>
      <c r="I1844" t="s">
        <v>644</v>
      </c>
      <c r="J1844">
        <v>7800</v>
      </c>
      <c r="K1844" s="1">
        <v>44000</v>
      </c>
      <c r="L1844">
        <v>2020</v>
      </c>
      <c r="M1844" t="str">
        <f>UPPER(TEXT(_2020_2022[[#This Row],[Data da Venda]],"mmm"))</f>
        <v>JUN</v>
      </c>
    </row>
    <row r="1845" spans="1:13" x14ac:dyDescent="0.25">
      <c r="A1845" t="s">
        <v>21</v>
      </c>
      <c r="B1845">
        <v>2400</v>
      </c>
      <c r="C1845">
        <v>2</v>
      </c>
      <c r="D1845" t="s">
        <v>40</v>
      </c>
      <c r="E1845" t="s">
        <v>657</v>
      </c>
      <c r="F1845" t="s">
        <v>910</v>
      </c>
      <c r="G1845" t="s">
        <v>650</v>
      </c>
      <c r="H1845">
        <v>76</v>
      </c>
      <c r="I1845" t="s">
        <v>647</v>
      </c>
      <c r="J1845">
        <v>4800</v>
      </c>
      <c r="K1845" s="1">
        <v>43938</v>
      </c>
      <c r="L1845">
        <v>2020</v>
      </c>
      <c r="M1845" t="str">
        <f>UPPER(TEXT(_2020_2022[[#This Row],[Data da Venda]],"mmm"))</f>
        <v>ABR</v>
      </c>
    </row>
    <row r="1846" spans="1:13" x14ac:dyDescent="0.25">
      <c r="A1846" t="s">
        <v>1440</v>
      </c>
      <c r="B1846">
        <v>700</v>
      </c>
      <c r="C1846">
        <v>3</v>
      </c>
      <c r="D1846" t="s">
        <v>38</v>
      </c>
      <c r="E1846" t="s">
        <v>648</v>
      </c>
      <c r="F1846" t="s">
        <v>1312</v>
      </c>
      <c r="G1846" t="s">
        <v>650</v>
      </c>
      <c r="H1846">
        <v>33</v>
      </c>
      <c r="I1846" t="s">
        <v>644</v>
      </c>
      <c r="J1846">
        <v>2100</v>
      </c>
      <c r="K1846" s="1">
        <v>44159</v>
      </c>
      <c r="L1846">
        <v>2020</v>
      </c>
      <c r="M1846" t="str">
        <f>UPPER(TEXT(_2020_2022[[#This Row],[Data da Venda]],"mmm"))</f>
        <v>NOV</v>
      </c>
    </row>
    <row r="1847" spans="1:13" x14ac:dyDescent="0.25">
      <c r="A1847" t="s">
        <v>8</v>
      </c>
      <c r="B1847">
        <v>5500</v>
      </c>
      <c r="C1847">
        <v>2</v>
      </c>
      <c r="D1847" t="s">
        <v>35</v>
      </c>
      <c r="E1847" t="s">
        <v>666</v>
      </c>
      <c r="F1847" t="s">
        <v>732</v>
      </c>
      <c r="G1847" t="s">
        <v>650</v>
      </c>
      <c r="H1847">
        <v>44</v>
      </c>
      <c r="I1847" t="s">
        <v>644</v>
      </c>
      <c r="J1847">
        <v>11000</v>
      </c>
      <c r="K1847" s="1">
        <v>44049</v>
      </c>
      <c r="L1847">
        <v>2020</v>
      </c>
      <c r="M1847" t="str">
        <f>UPPER(TEXT(_2020_2022[[#This Row],[Data da Venda]],"mmm"))</f>
        <v>AGO</v>
      </c>
    </row>
    <row r="1848" spans="1:13" x14ac:dyDescent="0.25">
      <c r="A1848" t="s">
        <v>1440</v>
      </c>
      <c r="B1848">
        <v>700</v>
      </c>
      <c r="C1848">
        <v>4</v>
      </c>
      <c r="D1848" t="s">
        <v>38</v>
      </c>
      <c r="E1848" t="s">
        <v>648</v>
      </c>
      <c r="F1848" t="s">
        <v>649</v>
      </c>
      <c r="G1848" t="s">
        <v>650</v>
      </c>
      <c r="H1848">
        <v>27</v>
      </c>
      <c r="I1848" t="s">
        <v>651</v>
      </c>
      <c r="J1848">
        <v>2800</v>
      </c>
      <c r="K1848" s="1">
        <v>43891</v>
      </c>
      <c r="L1848">
        <v>2020</v>
      </c>
      <c r="M1848" t="str">
        <f>UPPER(TEXT(_2020_2022[[#This Row],[Data da Venda]],"mmm"))</f>
        <v>MAR</v>
      </c>
    </row>
    <row r="1849" spans="1:13" x14ac:dyDescent="0.25">
      <c r="A1849" t="s">
        <v>7</v>
      </c>
      <c r="B1849">
        <v>750</v>
      </c>
      <c r="C1849">
        <v>5</v>
      </c>
      <c r="D1849" t="s">
        <v>29</v>
      </c>
      <c r="E1849" t="s">
        <v>641</v>
      </c>
      <c r="F1849" t="s">
        <v>692</v>
      </c>
      <c r="G1849" t="s">
        <v>643</v>
      </c>
      <c r="H1849">
        <v>49</v>
      </c>
      <c r="I1849" t="s">
        <v>644</v>
      </c>
      <c r="J1849">
        <v>3750</v>
      </c>
      <c r="K1849" s="1">
        <v>44064</v>
      </c>
      <c r="L1849">
        <v>2020</v>
      </c>
      <c r="M1849" t="str">
        <f>UPPER(TEXT(_2020_2022[[#This Row],[Data da Venda]],"mmm"))</f>
        <v>AGO</v>
      </c>
    </row>
    <row r="1850" spans="1:13" x14ac:dyDescent="0.25">
      <c r="A1850" t="s">
        <v>1445</v>
      </c>
      <c r="B1850">
        <v>1500</v>
      </c>
      <c r="C1850">
        <v>4</v>
      </c>
      <c r="D1850" t="s">
        <v>41</v>
      </c>
      <c r="E1850" t="s">
        <v>681</v>
      </c>
      <c r="F1850" t="s">
        <v>1003</v>
      </c>
      <c r="G1850" t="s">
        <v>650</v>
      </c>
      <c r="H1850">
        <v>51</v>
      </c>
      <c r="I1850" t="s">
        <v>647</v>
      </c>
      <c r="J1850">
        <v>6000</v>
      </c>
      <c r="K1850" s="1">
        <v>44142</v>
      </c>
      <c r="L1850">
        <v>2020</v>
      </c>
      <c r="M1850" t="str">
        <f>UPPER(TEXT(_2020_2022[[#This Row],[Data da Venda]],"mmm"))</f>
        <v>NOV</v>
      </c>
    </row>
    <row r="1851" spans="1:13" x14ac:dyDescent="0.25">
      <c r="A1851" t="s">
        <v>18</v>
      </c>
      <c r="B1851">
        <v>3000</v>
      </c>
      <c r="C1851">
        <v>5</v>
      </c>
      <c r="D1851" t="s">
        <v>32</v>
      </c>
      <c r="E1851" t="s">
        <v>652</v>
      </c>
      <c r="F1851" t="s">
        <v>1012</v>
      </c>
      <c r="G1851" t="s">
        <v>650</v>
      </c>
      <c r="H1851">
        <v>53</v>
      </c>
      <c r="I1851" t="s">
        <v>647</v>
      </c>
      <c r="J1851">
        <v>15000</v>
      </c>
      <c r="K1851" s="1">
        <v>43908</v>
      </c>
      <c r="L1851">
        <v>2020</v>
      </c>
      <c r="M1851" t="str">
        <f>UPPER(TEXT(_2020_2022[[#This Row],[Data da Venda]],"mmm"))</f>
        <v>MAR</v>
      </c>
    </row>
    <row r="1852" spans="1:13" x14ac:dyDescent="0.25">
      <c r="A1852" t="s">
        <v>21</v>
      </c>
      <c r="B1852">
        <v>2400</v>
      </c>
      <c r="C1852">
        <v>5</v>
      </c>
      <c r="D1852" t="s">
        <v>29</v>
      </c>
      <c r="E1852" t="s">
        <v>641</v>
      </c>
      <c r="F1852" t="s">
        <v>1313</v>
      </c>
      <c r="G1852" t="s">
        <v>650</v>
      </c>
      <c r="H1852">
        <v>30</v>
      </c>
      <c r="I1852" t="s">
        <v>644</v>
      </c>
      <c r="J1852">
        <v>12000</v>
      </c>
      <c r="K1852" s="1">
        <v>43944</v>
      </c>
      <c r="L1852">
        <v>2020</v>
      </c>
      <c r="M1852" t="str">
        <f>UPPER(TEXT(_2020_2022[[#This Row],[Data da Venda]],"mmm"))</f>
        <v>ABR</v>
      </c>
    </row>
    <row r="1853" spans="1:13" x14ac:dyDescent="0.25">
      <c r="A1853" t="s">
        <v>16</v>
      </c>
      <c r="B1853">
        <v>1400</v>
      </c>
      <c r="C1853">
        <v>1</v>
      </c>
      <c r="D1853" t="s">
        <v>33</v>
      </c>
      <c r="E1853" t="s">
        <v>641</v>
      </c>
      <c r="F1853" t="s">
        <v>1306</v>
      </c>
      <c r="G1853" t="s">
        <v>650</v>
      </c>
      <c r="H1853">
        <v>28</v>
      </c>
      <c r="I1853" t="s">
        <v>651</v>
      </c>
      <c r="J1853">
        <v>1400</v>
      </c>
      <c r="K1853" s="1">
        <v>43925</v>
      </c>
      <c r="L1853">
        <v>2020</v>
      </c>
      <c r="M1853" t="str">
        <f>UPPER(TEXT(_2020_2022[[#This Row],[Data da Venda]],"mmm"))</f>
        <v>ABR</v>
      </c>
    </row>
    <row r="1854" spans="1:13" x14ac:dyDescent="0.25">
      <c r="A1854" t="s">
        <v>5</v>
      </c>
      <c r="B1854">
        <v>1750</v>
      </c>
      <c r="C1854">
        <v>4</v>
      </c>
      <c r="D1854" t="s">
        <v>29</v>
      </c>
      <c r="E1854" t="s">
        <v>641</v>
      </c>
      <c r="F1854" t="s">
        <v>924</v>
      </c>
      <c r="G1854" t="s">
        <v>643</v>
      </c>
      <c r="H1854">
        <v>57</v>
      </c>
      <c r="I1854" t="s">
        <v>647</v>
      </c>
      <c r="J1854">
        <v>7000</v>
      </c>
      <c r="K1854" s="1">
        <v>44166</v>
      </c>
      <c r="L1854">
        <v>2020</v>
      </c>
      <c r="M1854" t="str">
        <f>UPPER(TEXT(_2020_2022[[#This Row],[Data da Venda]],"mmm"))</f>
        <v>DEZ</v>
      </c>
    </row>
    <row r="1855" spans="1:13" x14ac:dyDescent="0.25">
      <c r="A1855" t="s">
        <v>1442</v>
      </c>
      <c r="B1855">
        <v>1200</v>
      </c>
      <c r="C1855">
        <v>4</v>
      </c>
      <c r="D1855" t="s">
        <v>39</v>
      </c>
      <c r="E1855" t="s">
        <v>641</v>
      </c>
      <c r="F1855" t="s">
        <v>1355</v>
      </c>
      <c r="G1855" t="s">
        <v>650</v>
      </c>
      <c r="H1855">
        <v>75</v>
      </c>
      <c r="I1855" t="s">
        <v>647</v>
      </c>
      <c r="J1855">
        <v>4800</v>
      </c>
      <c r="K1855" s="1">
        <v>44059</v>
      </c>
      <c r="L1855">
        <v>2020</v>
      </c>
      <c r="M1855" t="str">
        <f>UPPER(TEXT(_2020_2022[[#This Row],[Data da Venda]],"mmm"))</f>
        <v>AGO</v>
      </c>
    </row>
    <row r="1856" spans="1:13" x14ac:dyDescent="0.25">
      <c r="A1856" t="s">
        <v>21</v>
      </c>
      <c r="B1856">
        <v>2400</v>
      </c>
      <c r="C1856">
        <v>2</v>
      </c>
      <c r="D1856" t="s">
        <v>29</v>
      </c>
      <c r="E1856" t="s">
        <v>641</v>
      </c>
      <c r="F1856" t="s">
        <v>868</v>
      </c>
      <c r="G1856" t="s">
        <v>643</v>
      </c>
      <c r="H1856">
        <v>71</v>
      </c>
      <c r="I1856" t="s">
        <v>647</v>
      </c>
      <c r="J1856">
        <v>4800</v>
      </c>
      <c r="K1856" s="1">
        <v>44123</v>
      </c>
      <c r="L1856">
        <v>2020</v>
      </c>
      <c r="M1856" t="str">
        <f>UPPER(TEXT(_2020_2022[[#This Row],[Data da Venda]],"mmm"))</f>
        <v>OUT</v>
      </c>
    </row>
    <row r="1857" spans="1:13" x14ac:dyDescent="0.25">
      <c r="A1857" t="s">
        <v>8</v>
      </c>
      <c r="B1857">
        <v>5500</v>
      </c>
      <c r="C1857">
        <v>3</v>
      </c>
      <c r="D1857" t="s">
        <v>35</v>
      </c>
      <c r="E1857" t="s">
        <v>666</v>
      </c>
      <c r="F1857" t="s">
        <v>1046</v>
      </c>
      <c r="G1857" t="s">
        <v>643</v>
      </c>
      <c r="H1857">
        <v>41</v>
      </c>
      <c r="I1857" t="s">
        <v>644</v>
      </c>
      <c r="J1857">
        <v>16500</v>
      </c>
      <c r="K1857" s="1">
        <v>43983</v>
      </c>
      <c r="L1857">
        <v>2020</v>
      </c>
      <c r="M1857" t="str">
        <f>UPPER(TEXT(_2020_2022[[#This Row],[Data da Venda]],"mmm"))</f>
        <v>JUN</v>
      </c>
    </row>
    <row r="1858" spans="1:13" x14ac:dyDescent="0.25">
      <c r="A1858" t="s">
        <v>11</v>
      </c>
      <c r="B1858">
        <v>4500</v>
      </c>
      <c r="C1858">
        <v>2</v>
      </c>
      <c r="D1858" t="s">
        <v>40</v>
      </c>
      <c r="E1858" t="s">
        <v>657</v>
      </c>
      <c r="F1858" t="s">
        <v>1013</v>
      </c>
      <c r="G1858" t="s">
        <v>643</v>
      </c>
      <c r="H1858">
        <v>38</v>
      </c>
      <c r="I1858" t="s">
        <v>644</v>
      </c>
      <c r="J1858">
        <v>9000</v>
      </c>
      <c r="K1858" s="1">
        <v>43921</v>
      </c>
      <c r="L1858">
        <v>2020</v>
      </c>
      <c r="M1858" t="str">
        <f>UPPER(TEXT(_2020_2022[[#This Row],[Data da Venda]],"mmm"))</f>
        <v>MAR</v>
      </c>
    </row>
    <row r="1859" spans="1:13" x14ac:dyDescent="0.25">
      <c r="A1859" t="s">
        <v>24</v>
      </c>
      <c r="B1859">
        <v>2000</v>
      </c>
      <c r="C1859">
        <v>3</v>
      </c>
      <c r="D1859" t="s">
        <v>38</v>
      </c>
      <c r="E1859" t="s">
        <v>648</v>
      </c>
      <c r="F1859" t="s">
        <v>1223</v>
      </c>
      <c r="G1859" t="s">
        <v>643</v>
      </c>
      <c r="H1859">
        <v>50</v>
      </c>
      <c r="I1859" t="s">
        <v>644</v>
      </c>
      <c r="J1859">
        <v>6000</v>
      </c>
      <c r="K1859" s="1">
        <v>44154</v>
      </c>
      <c r="L1859">
        <v>2020</v>
      </c>
      <c r="M1859" t="str">
        <f>UPPER(TEXT(_2020_2022[[#This Row],[Data da Venda]],"mmm"))</f>
        <v>NOV</v>
      </c>
    </row>
    <row r="1860" spans="1:13" x14ac:dyDescent="0.25">
      <c r="A1860" t="s">
        <v>22</v>
      </c>
      <c r="B1860">
        <v>5200</v>
      </c>
      <c r="C1860">
        <v>4</v>
      </c>
      <c r="D1860" t="s">
        <v>29</v>
      </c>
      <c r="E1860" t="s">
        <v>641</v>
      </c>
      <c r="F1860" t="s">
        <v>1070</v>
      </c>
      <c r="G1860" t="s">
        <v>643</v>
      </c>
      <c r="H1860">
        <v>49</v>
      </c>
      <c r="I1860" t="s">
        <v>644</v>
      </c>
      <c r="J1860">
        <v>20800</v>
      </c>
      <c r="K1860" s="1">
        <v>43918</v>
      </c>
      <c r="L1860">
        <v>2020</v>
      </c>
      <c r="M1860" t="str">
        <f>UPPER(TEXT(_2020_2022[[#This Row],[Data da Venda]],"mmm"))</f>
        <v>MAR</v>
      </c>
    </row>
    <row r="1861" spans="1:13" x14ac:dyDescent="0.25">
      <c r="A1861" t="s">
        <v>11</v>
      </c>
      <c r="B1861">
        <v>4500</v>
      </c>
      <c r="C1861">
        <v>3</v>
      </c>
      <c r="D1861" t="s">
        <v>36</v>
      </c>
      <c r="E1861" t="s">
        <v>677</v>
      </c>
      <c r="F1861" t="s">
        <v>960</v>
      </c>
      <c r="G1861" t="s">
        <v>650</v>
      </c>
      <c r="H1861">
        <v>32</v>
      </c>
      <c r="I1861" t="s">
        <v>644</v>
      </c>
      <c r="J1861">
        <v>13500</v>
      </c>
      <c r="K1861" s="1">
        <v>44179</v>
      </c>
      <c r="L1861">
        <v>2020</v>
      </c>
      <c r="M1861" t="str">
        <f>UPPER(TEXT(_2020_2022[[#This Row],[Data da Venda]],"mmm"))</f>
        <v>DEZ</v>
      </c>
    </row>
    <row r="1862" spans="1:13" x14ac:dyDescent="0.25">
      <c r="A1862" t="s">
        <v>8</v>
      </c>
      <c r="B1862">
        <v>5500</v>
      </c>
      <c r="C1862">
        <v>1</v>
      </c>
      <c r="D1862" t="s">
        <v>34</v>
      </c>
      <c r="E1862" t="s">
        <v>679</v>
      </c>
      <c r="F1862" t="s">
        <v>1271</v>
      </c>
      <c r="G1862" t="s">
        <v>643</v>
      </c>
      <c r="H1862">
        <v>36</v>
      </c>
      <c r="I1862" t="s">
        <v>644</v>
      </c>
      <c r="J1862">
        <v>5500</v>
      </c>
      <c r="K1862" s="1">
        <v>44018</v>
      </c>
      <c r="L1862">
        <v>2020</v>
      </c>
      <c r="M1862" t="str">
        <f>UPPER(TEXT(_2020_2022[[#This Row],[Data da Venda]],"mmm"))</f>
        <v>JUL</v>
      </c>
    </row>
    <row r="1863" spans="1:13" x14ac:dyDescent="0.25">
      <c r="A1863" t="s">
        <v>1445</v>
      </c>
      <c r="B1863">
        <v>1500</v>
      </c>
      <c r="C1863">
        <v>5</v>
      </c>
      <c r="D1863" t="s">
        <v>36</v>
      </c>
      <c r="E1863" t="s">
        <v>677</v>
      </c>
      <c r="F1863" t="s">
        <v>805</v>
      </c>
      <c r="G1863" t="s">
        <v>650</v>
      </c>
      <c r="H1863">
        <v>47</v>
      </c>
      <c r="I1863" t="s">
        <v>644</v>
      </c>
      <c r="J1863">
        <v>7500</v>
      </c>
      <c r="K1863" s="1">
        <v>44095</v>
      </c>
      <c r="L1863">
        <v>2020</v>
      </c>
      <c r="M1863" t="str">
        <f>UPPER(TEXT(_2020_2022[[#This Row],[Data da Venda]],"mmm"))</f>
        <v>SET</v>
      </c>
    </row>
    <row r="1864" spans="1:13" x14ac:dyDescent="0.25">
      <c r="A1864" t="s">
        <v>1441</v>
      </c>
      <c r="B1864">
        <v>1450</v>
      </c>
      <c r="C1864">
        <v>1</v>
      </c>
      <c r="D1864" t="s">
        <v>41</v>
      </c>
      <c r="E1864" t="s">
        <v>681</v>
      </c>
      <c r="F1864" t="s">
        <v>781</v>
      </c>
      <c r="G1864" t="s">
        <v>643</v>
      </c>
      <c r="H1864">
        <v>67</v>
      </c>
      <c r="I1864" t="s">
        <v>647</v>
      </c>
      <c r="J1864">
        <v>1450</v>
      </c>
      <c r="K1864" s="1">
        <v>44410</v>
      </c>
      <c r="L1864">
        <v>2021</v>
      </c>
      <c r="M1864" t="str">
        <f>UPPER(TEXT(_2020_2022[[#This Row],[Data da Venda]],"mmm"))</f>
        <v>AGO</v>
      </c>
    </row>
    <row r="1865" spans="1:13" x14ac:dyDescent="0.25">
      <c r="A1865" t="s">
        <v>1443</v>
      </c>
      <c r="B1865">
        <v>1550</v>
      </c>
      <c r="C1865">
        <v>2</v>
      </c>
      <c r="D1865" t="s">
        <v>37</v>
      </c>
      <c r="E1865" t="s">
        <v>645</v>
      </c>
      <c r="F1865" t="s">
        <v>1356</v>
      </c>
      <c r="G1865" t="s">
        <v>643</v>
      </c>
      <c r="H1865">
        <v>64</v>
      </c>
      <c r="I1865" t="s">
        <v>647</v>
      </c>
      <c r="J1865">
        <v>3100</v>
      </c>
      <c r="K1865" s="1">
        <v>44416</v>
      </c>
      <c r="L1865">
        <v>2021</v>
      </c>
      <c r="M1865" t="str">
        <f>UPPER(TEXT(_2020_2022[[#This Row],[Data da Venda]],"mmm"))</f>
        <v>AGO</v>
      </c>
    </row>
    <row r="1866" spans="1:13" x14ac:dyDescent="0.25">
      <c r="A1866" t="s">
        <v>1445</v>
      </c>
      <c r="B1866">
        <v>1500</v>
      </c>
      <c r="C1866">
        <v>2</v>
      </c>
      <c r="D1866" t="s">
        <v>36</v>
      </c>
      <c r="E1866" t="s">
        <v>677</v>
      </c>
      <c r="F1866" t="s">
        <v>1128</v>
      </c>
      <c r="G1866" t="s">
        <v>643</v>
      </c>
      <c r="H1866">
        <v>63</v>
      </c>
      <c r="I1866" t="s">
        <v>647</v>
      </c>
      <c r="J1866">
        <v>3000</v>
      </c>
      <c r="K1866" s="1">
        <v>44315</v>
      </c>
      <c r="L1866">
        <v>2021</v>
      </c>
      <c r="M1866" t="str">
        <f>UPPER(TEXT(_2020_2022[[#This Row],[Data da Venda]],"mmm"))</f>
        <v>ABR</v>
      </c>
    </row>
    <row r="1867" spans="1:13" x14ac:dyDescent="0.25">
      <c r="A1867" t="s">
        <v>16</v>
      </c>
      <c r="B1867">
        <v>1400</v>
      </c>
      <c r="C1867">
        <v>1</v>
      </c>
      <c r="D1867" t="s">
        <v>31</v>
      </c>
      <c r="E1867" t="s">
        <v>645</v>
      </c>
      <c r="F1867" t="s">
        <v>815</v>
      </c>
      <c r="G1867" t="s">
        <v>643</v>
      </c>
      <c r="H1867">
        <v>59</v>
      </c>
      <c r="I1867" t="s">
        <v>647</v>
      </c>
      <c r="J1867">
        <v>1400</v>
      </c>
      <c r="K1867" s="1">
        <v>44238</v>
      </c>
      <c r="L1867">
        <v>2021</v>
      </c>
      <c r="M1867" t="str">
        <f>UPPER(TEXT(_2020_2022[[#This Row],[Data da Venda]],"mmm"))</f>
        <v>FEV</v>
      </c>
    </row>
    <row r="1868" spans="1:13" x14ac:dyDescent="0.25">
      <c r="A1868" t="s">
        <v>1442</v>
      </c>
      <c r="B1868">
        <v>1200</v>
      </c>
      <c r="C1868">
        <v>5</v>
      </c>
      <c r="D1868" t="s">
        <v>34</v>
      </c>
      <c r="E1868" t="s">
        <v>679</v>
      </c>
      <c r="F1868" t="s">
        <v>742</v>
      </c>
      <c r="G1868" t="s">
        <v>643</v>
      </c>
      <c r="H1868">
        <v>26</v>
      </c>
      <c r="I1868" t="s">
        <v>651</v>
      </c>
      <c r="J1868">
        <v>6000</v>
      </c>
      <c r="K1868" s="1">
        <v>44268</v>
      </c>
      <c r="L1868">
        <v>2021</v>
      </c>
      <c r="M1868" t="str">
        <f>UPPER(TEXT(_2020_2022[[#This Row],[Data da Venda]],"mmm"))</f>
        <v>MAR</v>
      </c>
    </row>
    <row r="1869" spans="1:13" x14ac:dyDescent="0.25">
      <c r="A1869" t="s">
        <v>12</v>
      </c>
      <c r="B1869">
        <v>6500</v>
      </c>
      <c r="C1869">
        <v>4</v>
      </c>
      <c r="D1869" t="s">
        <v>37</v>
      </c>
      <c r="E1869" t="s">
        <v>645</v>
      </c>
      <c r="F1869" t="s">
        <v>1357</v>
      </c>
      <c r="G1869" t="s">
        <v>650</v>
      </c>
      <c r="H1869">
        <v>71</v>
      </c>
      <c r="I1869" t="s">
        <v>647</v>
      </c>
      <c r="J1869">
        <v>26000</v>
      </c>
      <c r="K1869" s="1">
        <v>44444</v>
      </c>
      <c r="L1869">
        <v>2021</v>
      </c>
      <c r="M1869" t="str">
        <f>UPPER(TEXT(_2020_2022[[#This Row],[Data da Venda]],"mmm"))</f>
        <v>SET</v>
      </c>
    </row>
    <row r="1870" spans="1:13" x14ac:dyDescent="0.25">
      <c r="A1870" t="s">
        <v>14</v>
      </c>
      <c r="B1870">
        <v>2000</v>
      </c>
      <c r="C1870">
        <v>4</v>
      </c>
      <c r="D1870" t="s">
        <v>35</v>
      </c>
      <c r="E1870" t="s">
        <v>666</v>
      </c>
      <c r="F1870" t="s">
        <v>1062</v>
      </c>
      <c r="G1870" t="s">
        <v>650</v>
      </c>
      <c r="H1870">
        <v>56</v>
      </c>
      <c r="I1870" t="s">
        <v>647</v>
      </c>
      <c r="J1870">
        <v>8000</v>
      </c>
      <c r="K1870" s="1">
        <v>44330</v>
      </c>
      <c r="L1870">
        <v>2021</v>
      </c>
      <c r="M1870" t="str">
        <f>UPPER(TEXT(_2020_2022[[#This Row],[Data da Venda]],"mmm"))</f>
        <v>MAI</v>
      </c>
    </row>
    <row r="1871" spans="1:13" x14ac:dyDescent="0.25">
      <c r="A1871" t="s">
        <v>1442</v>
      </c>
      <c r="B1871">
        <v>1200</v>
      </c>
      <c r="C1871">
        <v>4</v>
      </c>
      <c r="D1871" t="s">
        <v>33</v>
      </c>
      <c r="E1871" t="s">
        <v>641</v>
      </c>
      <c r="F1871" t="s">
        <v>981</v>
      </c>
      <c r="G1871" t="s">
        <v>643</v>
      </c>
      <c r="H1871">
        <v>49</v>
      </c>
      <c r="I1871" t="s">
        <v>644</v>
      </c>
      <c r="J1871">
        <v>4800</v>
      </c>
      <c r="K1871" s="1">
        <v>44261</v>
      </c>
      <c r="L1871">
        <v>2021</v>
      </c>
      <c r="M1871" t="str">
        <f>UPPER(TEXT(_2020_2022[[#This Row],[Data da Venda]],"mmm"))</f>
        <v>MAR</v>
      </c>
    </row>
    <row r="1872" spans="1:13" x14ac:dyDescent="0.25">
      <c r="A1872" t="s">
        <v>14</v>
      </c>
      <c r="B1872">
        <v>2000</v>
      </c>
      <c r="C1872">
        <v>2</v>
      </c>
      <c r="D1872" t="s">
        <v>33</v>
      </c>
      <c r="E1872" t="s">
        <v>641</v>
      </c>
      <c r="F1872" t="s">
        <v>1358</v>
      </c>
      <c r="G1872" t="s">
        <v>650</v>
      </c>
      <c r="H1872">
        <v>65</v>
      </c>
      <c r="I1872" t="s">
        <v>647</v>
      </c>
      <c r="J1872">
        <v>4000</v>
      </c>
      <c r="K1872" s="1">
        <v>44532</v>
      </c>
      <c r="L1872">
        <v>2021</v>
      </c>
      <c r="M1872" t="str">
        <f>UPPER(TEXT(_2020_2022[[#This Row],[Data da Venda]],"mmm"))</f>
        <v>DEZ</v>
      </c>
    </row>
    <row r="1873" spans="1:13" x14ac:dyDescent="0.25">
      <c r="A1873" t="s">
        <v>21</v>
      </c>
      <c r="B1873">
        <v>2400</v>
      </c>
      <c r="C1873">
        <v>4</v>
      </c>
      <c r="D1873" t="s">
        <v>30</v>
      </c>
      <c r="E1873" t="s">
        <v>645</v>
      </c>
      <c r="F1873" t="s">
        <v>1140</v>
      </c>
      <c r="G1873" t="s">
        <v>650</v>
      </c>
      <c r="H1873">
        <v>51</v>
      </c>
      <c r="I1873" t="s">
        <v>647</v>
      </c>
      <c r="J1873">
        <v>9600</v>
      </c>
      <c r="K1873" s="1">
        <v>44331</v>
      </c>
      <c r="L1873">
        <v>2021</v>
      </c>
      <c r="M1873" t="str">
        <f>UPPER(TEXT(_2020_2022[[#This Row],[Data da Venda]],"mmm"))</f>
        <v>MAI</v>
      </c>
    </row>
    <row r="1874" spans="1:13" x14ac:dyDescent="0.25">
      <c r="A1874" t="s">
        <v>1445</v>
      </c>
      <c r="B1874">
        <v>1500</v>
      </c>
      <c r="C1874">
        <v>5</v>
      </c>
      <c r="D1874" t="s">
        <v>33</v>
      </c>
      <c r="E1874" t="s">
        <v>641</v>
      </c>
      <c r="F1874" t="s">
        <v>783</v>
      </c>
      <c r="G1874" t="s">
        <v>650</v>
      </c>
      <c r="H1874">
        <v>66</v>
      </c>
      <c r="I1874" t="s">
        <v>647</v>
      </c>
      <c r="J1874">
        <v>7500</v>
      </c>
      <c r="K1874" s="1">
        <v>44479</v>
      </c>
      <c r="L1874">
        <v>2021</v>
      </c>
      <c r="M1874" t="str">
        <f>UPPER(TEXT(_2020_2022[[#This Row],[Data da Venda]],"mmm"))</f>
        <v>OUT</v>
      </c>
    </row>
    <row r="1875" spans="1:13" x14ac:dyDescent="0.25">
      <c r="A1875" t="s">
        <v>16</v>
      </c>
      <c r="B1875">
        <v>1400</v>
      </c>
      <c r="C1875">
        <v>5</v>
      </c>
      <c r="D1875" t="s">
        <v>30</v>
      </c>
      <c r="E1875" t="s">
        <v>645</v>
      </c>
      <c r="F1875" t="s">
        <v>975</v>
      </c>
      <c r="G1875" t="s">
        <v>650</v>
      </c>
      <c r="H1875">
        <v>58</v>
      </c>
      <c r="I1875" t="s">
        <v>647</v>
      </c>
      <c r="J1875">
        <v>7000</v>
      </c>
      <c r="K1875" s="1">
        <v>44250</v>
      </c>
      <c r="L1875">
        <v>2021</v>
      </c>
      <c r="M1875" t="str">
        <f>UPPER(TEXT(_2020_2022[[#This Row],[Data da Venda]],"mmm"))</f>
        <v>FEV</v>
      </c>
    </row>
    <row r="1876" spans="1:13" x14ac:dyDescent="0.25">
      <c r="A1876" t="s">
        <v>11</v>
      </c>
      <c r="B1876">
        <v>4500</v>
      </c>
      <c r="C1876">
        <v>3</v>
      </c>
      <c r="D1876" t="s">
        <v>29</v>
      </c>
      <c r="E1876" t="s">
        <v>641</v>
      </c>
      <c r="F1876" t="s">
        <v>1027</v>
      </c>
      <c r="G1876" t="s">
        <v>643</v>
      </c>
      <c r="H1876">
        <v>34</v>
      </c>
      <c r="I1876" t="s">
        <v>644</v>
      </c>
      <c r="J1876">
        <v>13500</v>
      </c>
      <c r="K1876" s="1">
        <v>44258</v>
      </c>
      <c r="L1876">
        <v>2021</v>
      </c>
      <c r="M1876" t="str">
        <f>UPPER(TEXT(_2020_2022[[#This Row],[Data da Venda]],"mmm"))</f>
        <v>MAR</v>
      </c>
    </row>
    <row r="1877" spans="1:13" x14ac:dyDescent="0.25">
      <c r="A1877" t="s">
        <v>7</v>
      </c>
      <c r="B1877">
        <v>750</v>
      </c>
      <c r="C1877">
        <v>2</v>
      </c>
      <c r="D1877" t="s">
        <v>41</v>
      </c>
      <c r="E1877" t="s">
        <v>681</v>
      </c>
      <c r="F1877" t="s">
        <v>1268</v>
      </c>
      <c r="G1877" t="s">
        <v>643</v>
      </c>
      <c r="H1877">
        <v>30</v>
      </c>
      <c r="I1877" t="s">
        <v>644</v>
      </c>
      <c r="J1877">
        <v>1500</v>
      </c>
      <c r="K1877" s="1">
        <v>44549</v>
      </c>
      <c r="L1877">
        <v>2021</v>
      </c>
      <c r="M1877" t="str">
        <f>UPPER(TEXT(_2020_2022[[#This Row],[Data da Venda]],"mmm"))</f>
        <v>DEZ</v>
      </c>
    </row>
    <row r="1878" spans="1:13" x14ac:dyDescent="0.25">
      <c r="A1878" t="s">
        <v>14</v>
      </c>
      <c r="B1878">
        <v>2000</v>
      </c>
      <c r="C1878">
        <v>5</v>
      </c>
      <c r="D1878" t="s">
        <v>40</v>
      </c>
      <c r="E1878" t="s">
        <v>657</v>
      </c>
      <c r="F1878" t="s">
        <v>913</v>
      </c>
      <c r="G1878" t="s">
        <v>650</v>
      </c>
      <c r="H1878">
        <v>27</v>
      </c>
      <c r="I1878" t="s">
        <v>651</v>
      </c>
      <c r="J1878">
        <v>10000</v>
      </c>
      <c r="K1878" s="1">
        <v>44460</v>
      </c>
      <c r="L1878">
        <v>2021</v>
      </c>
      <c r="M1878" t="str">
        <f>UPPER(TEXT(_2020_2022[[#This Row],[Data da Venda]],"mmm"))</f>
        <v>SET</v>
      </c>
    </row>
    <row r="1879" spans="1:13" x14ac:dyDescent="0.25">
      <c r="A1879" t="s">
        <v>21</v>
      </c>
      <c r="B1879">
        <v>2400</v>
      </c>
      <c r="C1879">
        <v>2</v>
      </c>
      <c r="D1879" t="s">
        <v>39</v>
      </c>
      <c r="E1879" t="s">
        <v>641</v>
      </c>
      <c r="F1879" t="s">
        <v>1160</v>
      </c>
      <c r="G1879" t="s">
        <v>643</v>
      </c>
      <c r="H1879">
        <v>34</v>
      </c>
      <c r="I1879" t="s">
        <v>644</v>
      </c>
      <c r="J1879">
        <v>4800</v>
      </c>
      <c r="K1879" s="1">
        <v>44458</v>
      </c>
      <c r="L1879">
        <v>2021</v>
      </c>
      <c r="M1879" t="str">
        <f>UPPER(TEXT(_2020_2022[[#This Row],[Data da Venda]],"mmm"))</f>
        <v>SET</v>
      </c>
    </row>
    <row r="1880" spans="1:13" x14ac:dyDescent="0.25">
      <c r="A1880" t="s">
        <v>15</v>
      </c>
      <c r="B1880">
        <v>1900</v>
      </c>
      <c r="C1880">
        <v>3</v>
      </c>
      <c r="D1880" t="s">
        <v>30</v>
      </c>
      <c r="E1880" t="s">
        <v>645</v>
      </c>
      <c r="F1880" t="s">
        <v>765</v>
      </c>
      <c r="G1880" t="s">
        <v>650</v>
      </c>
      <c r="H1880">
        <v>73</v>
      </c>
      <c r="I1880" t="s">
        <v>647</v>
      </c>
      <c r="J1880">
        <v>5700</v>
      </c>
      <c r="K1880" s="1">
        <v>44460</v>
      </c>
      <c r="L1880">
        <v>2021</v>
      </c>
      <c r="M1880" t="str">
        <f>UPPER(TEXT(_2020_2022[[#This Row],[Data da Venda]],"mmm"))</f>
        <v>SET</v>
      </c>
    </row>
    <row r="1881" spans="1:13" x14ac:dyDescent="0.25">
      <c r="A1881" t="s">
        <v>28</v>
      </c>
      <c r="B1881">
        <v>1400</v>
      </c>
      <c r="C1881">
        <v>4</v>
      </c>
      <c r="D1881" t="s">
        <v>32</v>
      </c>
      <c r="E1881" t="s">
        <v>652</v>
      </c>
      <c r="F1881" t="s">
        <v>1359</v>
      </c>
      <c r="G1881" t="s">
        <v>650</v>
      </c>
      <c r="H1881">
        <v>54</v>
      </c>
      <c r="I1881" t="s">
        <v>647</v>
      </c>
      <c r="J1881">
        <v>5600</v>
      </c>
      <c r="K1881" s="1">
        <v>44315</v>
      </c>
      <c r="L1881">
        <v>2021</v>
      </c>
      <c r="M1881" t="str">
        <f>UPPER(TEXT(_2020_2022[[#This Row],[Data da Venda]],"mmm"))</f>
        <v>ABR</v>
      </c>
    </row>
    <row r="1882" spans="1:13" x14ac:dyDescent="0.25">
      <c r="A1882" t="s">
        <v>25</v>
      </c>
      <c r="B1882">
        <v>2500</v>
      </c>
      <c r="C1882">
        <v>3</v>
      </c>
      <c r="D1882" t="s">
        <v>35</v>
      </c>
      <c r="E1882" t="s">
        <v>666</v>
      </c>
      <c r="F1882" t="s">
        <v>834</v>
      </c>
      <c r="G1882" t="s">
        <v>643</v>
      </c>
      <c r="H1882">
        <v>55</v>
      </c>
      <c r="I1882" t="s">
        <v>647</v>
      </c>
      <c r="J1882">
        <v>7500</v>
      </c>
      <c r="K1882" s="1">
        <v>44309</v>
      </c>
      <c r="L1882">
        <v>2021</v>
      </c>
      <c r="M1882" t="str">
        <f>UPPER(TEXT(_2020_2022[[#This Row],[Data da Venda]],"mmm"))</f>
        <v>ABR</v>
      </c>
    </row>
    <row r="1883" spans="1:13" x14ac:dyDescent="0.25">
      <c r="A1883" t="s">
        <v>28</v>
      </c>
      <c r="B1883">
        <v>1400</v>
      </c>
      <c r="C1883">
        <v>5</v>
      </c>
      <c r="D1883" t="s">
        <v>34</v>
      </c>
      <c r="E1883" t="s">
        <v>679</v>
      </c>
      <c r="F1883" t="s">
        <v>996</v>
      </c>
      <c r="G1883" t="s">
        <v>650</v>
      </c>
      <c r="H1883">
        <v>66</v>
      </c>
      <c r="I1883" t="s">
        <v>647</v>
      </c>
      <c r="J1883">
        <v>7000</v>
      </c>
      <c r="K1883" s="1">
        <v>44513</v>
      </c>
      <c r="L1883">
        <v>2021</v>
      </c>
      <c r="M1883" t="str">
        <f>UPPER(TEXT(_2020_2022[[#This Row],[Data da Venda]],"mmm"))</f>
        <v>NOV</v>
      </c>
    </row>
    <row r="1884" spans="1:13" x14ac:dyDescent="0.25">
      <c r="A1884" t="s">
        <v>1441</v>
      </c>
      <c r="B1884">
        <v>1450</v>
      </c>
      <c r="C1884">
        <v>4</v>
      </c>
      <c r="D1884" t="s">
        <v>37</v>
      </c>
      <c r="E1884" t="s">
        <v>645</v>
      </c>
      <c r="F1884" t="s">
        <v>828</v>
      </c>
      <c r="G1884" t="s">
        <v>650</v>
      </c>
      <c r="H1884">
        <v>63</v>
      </c>
      <c r="I1884" t="s">
        <v>647</v>
      </c>
      <c r="J1884">
        <v>5800</v>
      </c>
      <c r="K1884" s="1">
        <v>44540</v>
      </c>
      <c r="L1884">
        <v>2021</v>
      </c>
      <c r="M1884" t="str">
        <f>UPPER(TEXT(_2020_2022[[#This Row],[Data da Venda]],"mmm"))</f>
        <v>DEZ</v>
      </c>
    </row>
    <row r="1885" spans="1:13" x14ac:dyDescent="0.25">
      <c r="A1885" t="s">
        <v>28</v>
      </c>
      <c r="B1885">
        <v>1400</v>
      </c>
      <c r="C1885">
        <v>5</v>
      </c>
      <c r="D1885" t="s">
        <v>34</v>
      </c>
      <c r="E1885" t="s">
        <v>679</v>
      </c>
      <c r="F1885" t="s">
        <v>1271</v>
      </c>
      <c r="G1885" t="s">
        <v>643</v>
      </c>
      <c r="H1885">
        <v>36</v>
      </c>
      <c r="I1885" t="s">
        <v>644</v>
      </c>
      <c r="J1885">
        <v>7000</v>
      </c>
      <c r="K1885" s="1">
        <v>44470</v>
      </c>
      <c r="L1885">
        <v>2021</v>
      </c>
      <c r="M1885" t="str">
        <f>UPPER(TEXT(_2020_2022[[#This Row],[Data da Venda]],"mmm"))</f>
        <v>OUT</v>
      </c>
    </row>
    <row r="1886" spans="1:13" x14ac:dyDescent="0.25">
      <c r="A1886" t="s">
        <v>1444</v>
      </c>
      <c r="B1886">
        <v>1500</v>
      </c>
      <c r="C1886">
        <v>5</v>
      </c>
      <c r="D1886" t="s">
        <v>29</v>
      </c>
      <c r="E1886" t="s">
        <v>641</v>
      </c>
      <c r="F1886" t="s">
        <v>1020</v>
      </c>
      <c r="G1886" t="s">
        <v>650</v>
      </c>
      <c r="H1886">
        <v>40</v>
      </c>
      <c r="I1886" t="s">
        <v>644</v>
      </c>
      <c r="J1886">
        <v>7500</v>
      </c>
      <c r="K1886" s="1">
        <v>44452</v>
      </c>
      <c r="L1886">
        <v>2021</v>
      </c>
      <c r="M1886" t="str">
        <f>UPPER(TEXT(_2020_2022[[#This Row],[Data da Venda]],"mmm"))</f>
        <v>SET</v>
      </c>
    </row>
    <row r="1887" spans="1:13" x14ac:dyDescent="0.25">
      <c r="A1887" t="s">
        <v>13</v>
      </c>
      <c r="B1887">
        <v>2300</v>
      </c>
      <c r="C1887">
        <v>1</v>
      </c>
      <c r="D1887" t="s">
        <v>41</v>
      </c>
      <c r="E1887" t="s">
        <v>681</v>
      </c>
      <c r="F1887" t="s">
        <v>1267</v>
      </c>
      <c r="G1887" t="s">
        <v>650</v>
      </c>
      <c r="H1887">
        <v>72</v>
      </c>
      <c r="I1887" t="s">
        <v>647</v>
      </c>
      <c r="J1887">
        <v>2300</v>
      </c>
      <c r="K1887" s="1">
        <v>44399</v>
      </c>
      <c r="L1887">
        <v>2021</v>
      </c>
      <c r="M1887" t="str">
        <f>UPPER(TEXT(_2020_2022[[#This Row],[Data da Venda]],"mmm"))</f>
        <v>JUL</v>
      </c>
    </row>
    <row r="1888" spans="1:13" x14ac:dyDescent="0.25">
      <c r="A1888" t="s">
        <v>5</v>
      </c>
      <c r="B1888">
        <v>1750</v>
      </c>
      <c r="C1888">
        <v>1</v>
      </c>
      <c r="D1888" t="s">
        <v>31</v>
      </c>
      <c r="E1888" t="s">
        <v>645</v>
      </c>
      <c r="F1888" t="s">
        <v>1279</v>
      </c>
      <c r="G1888" t="s">
        <v>643</v>
      </c>
      <c r="H1888">
        <v>30</v>
      </c>
      <c r="I1888" t="s">
        <v>644</v>
      </c>
      <c r="J1888">
        <v>1750</v>
      </c>
      <c r="K1888" s="1">
        <v>44546</v>
      </c>
      <c r="L1888">
        <v>2021</v>
      </c>
      <c r="M1888" t="str">
        <f>UPPER(TEXT(_2020_2022[[#This Row],[Data da Venda]],"mmm"))</f>
        <v>DEZ</v>
      </c>
    </row>
    <row r="1889" spans="1:13" x14ac:dyDescent="0.25">
      <c r="A1889" t="s">
        <v>1441</v>
      </c>
      <c r="B1889">
        <v>1450</v>
      </c>
      <c r="C1889">
        <v>2</v>
      </c>
      <c r="D1889" t="s">
        <v>32</v>
      </c>
      <c r="E1889" t="s">
        <v>652</v>
      </c>
      <c r="F1889" t="s">
        <v>934</v>
      </c>
      <c r="G1889" t="s">
        <v>643</v>
      </c>
      <c r="H1889">
        <v>67</v>
      </c>
      <c r="I1889" t="s">
        <v>647</v>
      </c>
      <c r="J1889">
        <v>2900</v>
      </c>
      <c r="K1889" s="1">
        <v>44248</v>
      </c>
      <c r="L1889">
        <v>2021</v>
      </c>
      <c r="M1889" t="str">
        <f>UPPER(TEXT(_2020_2022[[#This Row],[Data da Venda]],"mmm"))</f>
        <v>FEV</v>
      </c>
    </row>
    <row r="1890" spans="1:13" x14ac:dyDescent="0.25">
      <c r="A1890" t="s">
        <v>16</v>
      </c>
      <c r="B1890">
        <v>1400</v>
      </c>
      <c r="C1890">
        <v>3</v>
      </c>
      <c r="D1890" t="s">
        <v>35</v>
      </c>
      <c r="E1890" t="s">
        <v>666</v>
      </c>
      <c r="F1890" t="s">
        <v>1124</v>
      </c>
      <c r="G1890" t="s">
        <v>643</v>
      </c>
      <c r="H1890">
        <v>34</v>
      </c>
      <c r="I1890" t="s">
        <v>644</v>
      </c>
      <c r="J1890">
        <v>4200</v>
      </c>
      <c r="K1890" s="1">
        <v>44240</v>
      </c>
      <c r="L1890">
        <v>2021</v>
      </c>
      <c r="M1890" t="str">
        <f>UPPER(TEXT(_2020_2022[[#This Row],[Data da Venda]],"mmm"))</f>
        <v>FEV</v>
      </c>
    </row>
    <row r="1891" spans="1:13" x14ac:dyDescent="0.25">
      <c r="A1891" t="s">
        <v>26</v>
      </c>
      <c r="B1891">
        <v>1100</v>
      </c>
      <c r="C1891">
        <v>4</v>
      </c>
      <c r="D1891" t="s">
        <v>37</v>
      </c>
      <c r="E1891" t="s">
        <v>645</v>
      </c>
      <c r="F1891" t="s">
        <v>1357</v>
      </c>
      <c r="G1891" t="s">
        <v>650</v>
      </c>
      <c r="H1891">
        <v>71</v>
      </c>
      <c r="I1891" t="s">
        <v>647</v>
      </c>
      <c r="J1891">
        <v>4400</v>
      </c>
      <c r="K1891" s="1">
        <v>44305</v>
      </c>
      <c r="L1891">
        <v>2021</v>
      </c>
      <c r="M1891" t="str">
        <f>UPPER(TEXT(_2020_2022[[#This Row],[Data da Venda]],"mmm"))</f>
        <v>ABR</v>
      </c>
    </row>
    <row r="1892" spans="1:13" x14ac:dyDescent="0.25">
      <c r="A1892" t="s">
        <v>21</v>
      </c>
      <c r="B1892">
        <v>2400</v>
      </c>
      <c r="C1892">
        <v>5</v>
      </c>
      <c r="D1892" t="s">
        <v>37</v>
      </c>
      <c r="E1892" t="s">
        <v>645</v>
      </c>
      <c r="F1892" t="s">
        <v>1360</v>
      </c>
      <c r="G1892" t="s">
        <v>650</v>
      </c>
      <c r="H1892">
        <v>70</v>
      </c>
      <c r="I1892" t="s">
        <v>647</v>
      </c>
      <c r="J1892">
        <v>12000</v>
      </c>
      <c r="K1892" s="1">
        <v>44338</v>
      </c>
      <c r="L1892">
        <v>2021</v>
      </c>
      <c r="M1892" t="str">
        <f>UPPER(TEXT(_2020_2022[[#This Row],[Data da Venda]],"mmm"))</f>
        <v>MAI</v>
      </c>
    </row>
    <row r="1893" spans="1:13" x14ac:dyDescent="0.25">
      <c r="A1893" t="s">
        <v>8</v>
      </c>
      <c r="B1893">
        <v>5500</v>
      </c>
      <c r="C1893">
        <v>1</v>
      </c>
      <c r="D1893" t="s">
        <v>36</v>
      </c>
      <c r="E1893" t="s">
        <v>677</v>
      </c>
      <c r="F1893" t="s">
        <v>690</v>
      </c>
      <c r="G1893" t="s">
        <v>650</v>
      </c>
      <c r="H1893">
        <v>60</v>
      </c>
      <c r="I1893" t="s">
        <v>647</v>
      </c>
      <c r="J1893">
        <v>5500</v>
      </c>
      <c r="K1893" s="1">
        <v>44445</v>
      </c>
      <c r="L1893">
        <v>2021</v>
      </c>
      <c r="M1893" t="str">
        <f>UPPER(TEXT(_2020_2022[[#This Row],[Data da Venda]],"mmm"))</f>
        <v>SET</v>
      </c>
    </row>
    <row r="1894" spans="1:13" x14ac:dyDescent="0.25">
      <c r="A1894" t="s">
        <v>9</v>
      </c>
      <c r="B1894">
        <v>1500</v>
      </c>
      <c r="C1894">
        <v>4</v>
      </c>
      <c r="D1894" t="s">
        <v>33</v>
      </c>
      <c r="E1894" t="s">
        <v>641</v>
      </c>
      <c r="F1894" t="s">
        <v>1015</v>
      </c>
      <c r="G1894" t="s">
        <v>643</v>
      </c>
      <c r="H1894">
        <v>42</v>
      </c>
      <c r="I1894" t="s">
        <v>644</v>
      </c>
      <c r="J1894">
        <v>6000</v>
      </c>
      <c r="K1894" s="1">
        <v>44469</v>
      </c>
      <c r="L1894">
        <v>2021</v>
      </c>
      <c r="M1894" t="str">
        <f>UPPER(TEXT(_2020_2022[[#This Row],[Data da Venda]],"mmm"))</f>
        <v>SET</v>
      </c>
    </row>
    <row r="1895" spans="1:13" x14ac:dyDescent="0.25">
      <c r="A1895" t="s">
        <v>1443</v>
      </c>
      <c r="B1895">
        <v>1550</v>
      </c>
      <c r="C1895">
        <v>4</v>
      </c>
      <c r="D1895" t="s">
        <v>29</v>
      </c>
      <c r="E1895" t="s">
        <v>641</v>
      </c>
      <c r="F1895" t="s">
        <v>665</v>
      </c>
      <c r="G1895" t="s">
        <v>650</v>
      </c>
      <c r="H1895">
        <v>34</v>
      </c>
      <c r="I1895" t="s">
        <v>644</v>
      </c>
      <c r="J1895">
        <v>6200</v>
      </c>
      <c r="K1895" s="1">
        <v>44223</v>
      </c>
      <c r="L1895">
        <v>2021</v>
      </c>
      <c r="M1895" t="str">
        <f>UPPER(TEXT(_2020_2022[[#This Row],[Data da Venda]],"mmm"))</f>
        <v>JAN</v>
      </c>
    </row>
    <row r="1896" spans="1:13" x14ac:dyDescent="0.25">
      <c r="A1896" t="s">
        <v>1441</v>
      </c>
      <c r="B1896">
        <v>1450</v>
      </c>
      <c r="C1896">
        <v>5</v>
      </c>
      <c r="D1896" t="s">
        <v>34</v>
      </c>
      <c r="E1896" t="s">
        <v>679</v>
      </c>
      <c r="F1896" t="s">
        <v>1205</v>
      </c>
      <c r="G1896" t="s">
        <v>643</v>
      </c>
      <c r="H1896">
        <v>62</v>
      </c>
      <c r="I1896" t="s">
        <v>647</v>
      </c>
      <c r="J1896">
        <v>7250</v>
      </c>
      <c r="K1896" s="1">
        <v>44374</v>
      </c>
      <c r="L1896">
        <v>2021</v>
      </c>
      <c r="M1896" t="str">
        <f>UPPER(TEXT(_2020_2022[[#This Row],[Data da Venda]],"mmm"))</f>
        <v>JUN</v>
      </c>
    </row>
    <row r="1897" spans="1:13" x14ac:dyDescent="0.25">
      <c r="A1897" t="s">
        <v>16</v>
      </c>
      <c r="B1897">
        <v>1400</v>
      </c>
      <c r="C1897">
        <v>1</v>
      </c>
      <c r="D1897" t="s">
        <v>31</v>
      </c>
      <c r="E1897" t="s">
        <v>645</v>
      </c>
      <c r="F1897" t="s">
        <v>1005</v>
      </c>
      <c r="G1897" t="s">
        <v>650</v>
      </c>
      <c r="H1897">
        <v>57</v>
      </c>
      <c r="I1897" t="s">
        <v>647</v>
      </c>
      <c r="J1897">
        <v>1400</v>
      </c>
      <c r="K1897" s="1">
        <v>44314</v>
      </c>
      <c r="L1897">
        <v>2021</v>
      </c>
      <c r="M1897" t="str">
        <f>UPPER(TEXT(_2020_2022[[#This Row],[Data da Venda]],"mmm"))</f>
        <v>ABR</v>
      </c>
    </row>
    <row r="1898" spans="1:13" x14ac:dyDescent="0.25">
      <c r="A1898" t="s">
        <v>13</v>
      </c>
      <c r="B1898">
        <v>2300</v>
      </c>
      <c r="C1898">
        <v>5</v>
      </c>
      <c r="D1898" t="s">
        <v>34</v>
      </c>
      <c r="E1898" t="s">
        <v>679</v>
      </c>
      <c r="F1898" t="s">
        <v>1361</v>
      </c>
      <c r="G1898" t="s">
        <v>650</v>
      </c>
      <c r="H1898">
        <v>59</v>
      </c>
      <c r="I1898" t="s">
        <v>647</v>
      </c>
      <c r="J1898">
        <v>11500</v>
      </c>
      <c r="K1898" s="1">
        <v>44403</v>
      </c>
      <c r="L1898">
        <v>2021</v>
      </c>
      <c r="M1898" t="str">
        <f>UPPER(TEXT(_2020_2022[[#This Row],[Data da Venda]],"mmm"))</f>
        <v>JUL</v>
      </c>
    </row>
    <row r="1899" spans="1:13" x14ac:dyDescent="0.25">
      <c r="A1899" t="s">
        <v>7</v>
      </c>
      <c r="B1899">
        <v>750</v>
      </c>
      <c r="C1899">
        <v>2</v>
      </c>
      <c r="D1899" t="s">
        <v>36</v>
      </c>
      <c r="E1899" t="s">
        <v>677</v>
      </c>
      <c r="F1899" t="s">
        <v>1253</v>
      </c>
      <c r="G1899" t="s">
        <v>650</v>
      </c>
      <c r="H1899">
        <v>54</v>
      </c>
      <c r="I1899" t="s">
        <v>647</v>
      </c>
      <c r="J1899">
        <v>1500</v>
      </c>
      <c r="K1899" s="1">
        <v>44538</v>
      </c>
      <c r="L1899">
        <v>2021</v>
      </c>
      <c r="M1899" t="str">
        <f>UPPER(TEXT(_2020_2022[[#This Row],[Data da Venda]],"mmm"))</f>
        <v>DEZ</v>
      </c>
    </row>
    <row r="1900" spans="1:13" x14ac:dyDescent="0.25">
      <c r="A1900" t="s">
        <v>1444</v>
      </c>
      <c r="B1900">
        <v>1500</v>
      </c>
      <c r="C1900">
        <v>5</v>
      </c>
      <c r="D1900" t="s">
        <v>29</v>
      </c>
      <c r="E1900" t="s">
        <v>641</v>
      </c>
      <c r="F1900" t="s">
        <v>1325</v>
      </c>
      <c r="G1900" t="s">
        <v>643</v>
      </c>
      <c r="H1900">
        <v>55</v>
      </c>
      <c r="I1900" t="s">
        <v>647</v>
      </c>
      <c r="J1900">
        <v>7500</v>
      </c>
      <c r="K1900" s="1">
        <v>44527</v>
      </c>
      <c r="L1900">
        <v>2021</v>
      </c>
      <c r="M1900" t="str">
        <f>UPPER(TEXT(_2020_2022[[#This Row],[Data da Venda]],"mmm"))</f>
        <v>NOV</v>
      </c>
    </row>
    <row r="1901" spans="1:13" x14ac:dyDescent="0.25">
      <c r="A1901" t="s">
        <v>1445</v>
      </c>
      <c r="B1901">
        <v>1500</v>
      </c>
      <c r="C1901">
        <v>4</v>
      </c>
      <c r="D1901" t="s">
        <v>31</v>
      </c>
      <c r="E1901" t="s">
        <v>645</v>
      </c>
      <c r="F1901" t="s">
        <v>846</v>
      </c>
      <c r="G1901" t="s">
        <v>643</v>
      </c>
      <c r="H1901">
        <v>35</v>
      </c>
      <c r="I1901" t="s">
        <v>644</v>
      </c>
      <c r="J1901">
        <v>6000</v>
      </c>
      <c r="K1901" s="1">
        <v>44535</v>
      </c>
      <c r="L1901">
        <v>2021</v>
      </c>
      <c r="M1901" t="str">
        <f>UPPER(TEXT(_2020_2022[[#This Row],[Data da Venda]],"mmm"))</f>
        <v>DEZ</v>
      </c>
    </row>
    <row r="1902" spans="1:13" x14ac:dyDescent="0.25">
      <c r="A1902" t="s">
        <v>18</v>
      </c>
      <c r="B1902">
        <v>3000</v>
      </c>
      <c r="C1902">
        <v>3</v>
      </c>
      <c r="D1902" t="s">
        <v>35</v>
      </c>
      <c r="E1902" t="s">
        <v>666</v>
      </c>
      <c r="F1902" t="s">
        <v>794</v>
      </c>
      <c r="G1902" t="s">
        <v>650</v>
      </c>
      <c r="H1902">
        <v>25</v>
      </c>
      <c r="I1902" t="s">
        <v>651</v>
      </c>
      <c r="J1902">
        <v>9000</v>
      </c>
      <c r="K1902" s="1">
        <v>44468</v>
      </c>
      <c r="L1902">
        <v>2021</v>
      </c>
      <c r="M1902" t="str">
        <f>UPPER(TEXT(_2020_2022[[#This Row],[Data da Venda]],"mmm"))</f>
        <v>SET</v>
      </c>
    </row>
    <row r="1903" spans="1:13" x14ac:dyDescent="0.25">
      <c r="A1903" t="s">
        <v>28</v>
      </c>
      <c r="B1903">
        <v>1400</v>
      </c>
      <c r="C1903">
        <v>4</v>
      </c>
      <c r="D1903" t="s">
        <v>32</v>
      </c>
      <c r="E1903" t="s">
        <v>652</v>
      </c>
      <c r="F1903" t="s">
        <v>1182</v>
      </c>
      <c r="G1903" t="s">
        <v>643</v>
      </c>
      <c r="H1903">
        <v>43</v>
      </c>
      <c r="I1903" t="s">
        <v>644</v>
      </c>
      <c r="J1903">
        <v>5600</v>
      </c>
      <c r="K1903" s="1">
        <v>44467</v>
      </c>
      <c r="L1903">
        <v>2021</v>
      </c>
      <c r="M1903" t="str">
        <f>UPPER(TEXT(_2020_2022[[#This Row],[Data da Venda]],"mmm"))</f>
        <v>SET</v>
      </c>
    </row>
    <row r="1904" spans="1:13" x14ac:dyDescent="0.25">
      <c r="A1904" t="s">
        <v>13</v>
      </c>
      <c r="B1904">
        <v>2300</v>
      </c>
      <c r="C1904">
        <v>4</v>
      </c>
      <c r="D1904" t="s">
        <v>41</v>
      </c>
      <c r="E1904" t="s">
        <v>681</v>
      </c>
      <c r="F1904" t="s">
        <v>914</v>
      </c>
      <c r="G1904" t="s">
        <v>643</v>
      </c>
      <c r="H1904">
        <v>55</v>
      </c>
      <c r="I1904" t="s">
        <v>647</v>
      </c>
      <c r="J1904">
        <v>9200</v>
      </c>
      <c r="K1904" s="1">
        <v>44262</v>
      </c>
      <c r="L1904">
        <v>2021</v>
      </c>
      <c r="M1904" t="str">
        <f>UPPER(TEXT(_2020_2022[[#This Row],[Data da Venda]],"mmm"))</f>
        <v>MAR</v>
      </c>
    </row>
    <row r="1905" spans="1:13" x14ac:dyDescent="0.25">
      <c r="A1905" t="s">
        <v>14</v>
      </c>
      <c r="B1905">
        <v>2000</v>
      </c>
      <c r="C1905">
        <v>1</v>
      </c>
      <c r="D1905" t="s">
        <v>29</v>
      </c>
      <c r="E1905" t="s">
        <v>641</v>
      </c>
      <c r="F1905" t="s">
        <v>803</v>
      </c>
      <c r="G1905" t="s">
        <v>650</v>
      </c>
      <c r="H1905">
        <v>35</v>
      </c>
      <c r="I1905" t="s">
        <v>644</v>
      </c>
      <c r="J1905">
        <v>2000</v>
      </c>
      <c r="K1905" s="1">
        <v>44416</v>
      </c>
      <c r="L1905">
        <v>2021</v>
      </c>
      <c r="M1905" t="str">
        <f>UPPER(TEXT(_2020_2022[[#This Row],[Data da Venda]],"mmm"))</f>
        <v>AGO</v>
      </c>
    </row>
    <row r="1906" spans="1:13" x14ac:dyDescent="0.25">
      <c r="A1906" t="s">
        <v>16</v>
      </c>
      <c r="B1906">
        <v>1400</v>
      </c>
      <c r="C1906">
        <v>1</v>
      </c>
      <c r="D1906" t="s">
        <v>37</v>
      </c>
      <c r="E1906" t="s">
        <v>645</v>
      </c>
      <c r="F1906" t="s">
        <v>1108</v>
      </c>
      <c r="G1906" t="s">
        <v>643</v>
      </c>
      <c r="H1906">
        <v>71</v>
      </c>
      <c r="I1906" t="s">
        <v>647</v>
      </c>
      <c r="J1906">
        <v>1400</v>
      </c>
      <c r="K1906" s="1">
        <v>44410</v>
      </c>
      <c r="L1906">
        <v>2021</v>
      </c>
      <c r="M1906" t="str">
        <f>UPPER(TEXT(_2020_2022[[#This Row],[Data da Venda]],"mmm"))</f>
        <v>AGO</v>
      </c>
    </row>
    <row r="1907" spans="1:13" x14ac:dyDescent="0.25">
      <c r="A1907" t="s">
        <v>7</v>
      </c>
      <c r="B1907">
        <v>750</v>
      </c>
      <c r="C1907">
        <v>5</v>
      </c>
      <c r="D1907" t="s">
        <v>38</v>
      </c>
      <c r="E1907" t="s">
        <v>648</v>
      </c>
      <c r="F1907" t="s">
        <v>1307</v>
      </c>
      <c r="G1907" t="s">
        <v>650</v>
      </c>
      <c r="H1907">
        <v>73</v>
      </c>
      <c r="I1907" t="s">
        <v>647</v>
      </c>
      <c r="J1907">
        <v>3750</v>
      </c>
      <c r="K1907" s="1">
        <v>44298</v>
      </c>
      <c r="L1907">
        <v>2021</v>
      </c>
      <c r="M1907" t="str">
        <f>UPPER(TEXT(_2020_2022[[#This Row],[Data da Venda]],"mmm"))</f>
        <v>ABR</v>
      </c>
    </row>
    <row r="1908" spans="1:13" x14ac:dyDescent="0.25">
      <c r="A1908" t="s">
        <v>9</v>
      </c>
      <c r="B1908">
        <v>1500</v>
      </c>
      <c r="C1908">
        <v>3</v>
      </c>
      <c r="D1908" t="s">
        <v>37</v>
      </c>
      <c r="E1908" t="s">
        <v>645</v>
      </c>
      <c r="F1908" t="s">
        <v>852</v>
      </c>
      <c r="G1908" t="s">
        <v>650</v>
      </c>
      <c r="H1908">
        <v>28</v>
      </c>
      <c r="I1908" t="s">
        <v>651</v>
      </c>
      <c r="J1908">
        <v>4500</v>
      </c>
      <c r="K1908" s="1">
        <v>44548</v>
      </c>
      <c r="L1908">
        <v>2021</v>
      </c>
      <c r="M1908" t="str">
        <f>UPPER(TEXT(_2020_2022[[#This Row],[Data da Venda]],"mmm"))</f>
        <v>DEZ</v>
      </c>
    </row>
    <row r="1909" spans="1:13" x14ac:dyDescent="0.25">
      <c r="A1909" t="s">
        <v>1442</v>
      </c>
      <c r="B1909">
        <v>1200</v>
      </c>
      <c r="C1909">
        <v>1</v>
      </c>
      <c r="D1909" t="s">
        <v>29</v>
      </c>
      <c r="E1909" t="s">
        <v>641</v>
      </c>
      <c r="F1909" t="s">
        <v>708</v>
      </c>
      <c r="G1909" t="s">
        <v>650</v>
      </c>
      <c r="H1909">
        <v>35</v>
      </c>
      <c r="I1909" t="s">
        <v>644</v>
      </c>
      <c r="J1909">
        <v>1200</v>
      </c>
      <c r="K1909" s="1">
        <v>44233</v>
      </c>
      <c r="L1909">
        <v>2021</v>
      </c>
      <c r="M1909" t="str">
        <f>UPPER(TEXT(_2020_2022[[#This Row],[Data da Venda]],"mmm"))</f>
        <v>FEV</v>
      </c>
    </row>
    <row r="1910" spans="1:13" x14ac:dyDescent="0.25">
      <c r="A1910" t="s">
        <v>24</v>
      </c>
      <c r="B1910">
        <v>2000</v>
      </c>
      <c r="C1910">
        <v>5</v>
      </c>
      <c r="D1910" t="s">
        <v>41</v>
      </c>
      <c r="E1910" t="s">
        <v>681</v>
      </c>
      <c r="F1910" t="s">
        <v>1048</v>
      </c>
      <c r="G1910" t="s">
        <v>643</v>
      </c>
      <c r="H1910">
        <v>38</v>
      </c>
      <c r="I1910" t="s">
        <v>644</v>
      </c>
      <c r="J1910">
        <v>10000</v>
      </c>
      <c r="K1910" s="1">
        <v>44354</v>
      </c>
      <c r="L1910">
        <v>2021</v>
      </c>
      <c r="M1910" t="str">
        <f>UPPER(TEXT(_2020_2022[[#This Row],[Data da Venda]],"mmm"))</f>
        <v>JUN</v>
      </c>
    </row>
    <row r="1911" spans="1:13" x14ac:dyDescent="0.25">
      <c r="A1911" t="s">
        <v>7</v>
      </c>
      <c r="B1911">
        <v>750</v>
      </c>
      <c r="C1911">
        <v>1</v>
      </c>
      <c r="D1911" t="s">
        <v>29</v>
      </c>
      <c r="E1911" t="s">
        <v>641</v>
      </c>
      <c r="F1911" t="s">
        <v>1120</v>
      </c>
      <c r="G1911" t="s">
        <v>650</v>
      </c>
      <c r="H1911">
        <v>56</v>
      </c>
      <c r="I1911" t="s">
        <v>647</v>
      </c>
      <c r="J1911">
        <v>750</v>
      </c>
      <c r="K1911" s="1">
        <v>44478</v>
      </c>
      <c r="L1911">
        <v>2021</v>
      </c>
      <c r="M1911" t="str">
        <f>UPPER(TEXT(_2020_2022[[#This Row],[Data da Venda]],"mmm"))</f>
        <v>OUT</v>
      </c>
    </row>
    <row r="1912" spans="1:13" x14ac:dyDescent="0.25">
      <c r="A1912" t="s">
        <v>1440</v>
      </c>
      <c r="B1912">
        <v>700</v>
      </c>
      <c r="C1912">
        <v>4</v>
      </c>
      <c r="D1912" t="s">
        <v>30</v>
      </c>
      <c r="E1912" t="s">
        <v>645</v>
      </c>
      <c r="F1912" t="s">
        <v>835</v>
      </c>
      <c r="G1912" t="s">
        <v>650</v>
      </c>
      <c r="H1912">
        <v>61</v>
      </c>
      <c r="I1912" t="s">
        <v>647</v>
      </c>
      <c r="J1912">
        <v>2800</v>
      </c>
      <c r="K1912" s="1">
        <v>44426</v>
      </c>
      <c r="L1912">
        <v>2021</v>
      </c>
      <c r="M1912" t="str">
        <f>UPPER(TEXT(_2020_2022[[#This Row],[Data da Venda]],"mmm"))</f>
        <v>AGO</v>
      </c>
    </row>
    <row r="1913" spans="1:13" x14ac:dyDescent="0.25">
      <c r="A1913" t="s">
        <v>28</v>
      </c>
      <c r="B1913">
        <v>1400</v>
      </c>
      <c r="C1913">
        <v>2</v>
      </c>
      <c r="D1913" t="s">
        <v>33</v>
      </c>
      <c r="E1913" t="s">
        <v>641</v>
      </c>
      <c r="F1913" t="s">
        <v>1362</v>
      </c>
      <c r="G1913" t="s">
        <v>650</v>
      </c>
      <c r="H1913">
        <v>31</v>
      </c>
      <c r="I1913" t="s">
        <v>644</v>
      </c>
      <c r="J1913">
        <v>2800</v>
      </c>
      <c r="K1913" s="1">
        <v>44460</v>
      </c>
      <c r="L1913">
        <v>2021</v>
      </c>
      <c r="M1913" t="str">
        <f>UPPER(TEXT(_2020_2022[[#This Row],[Data da Venda]],"mmm"))</f>
        <v>SET</v>
      </c>
    </row>
    <row r="1914" spans="1:13" x14ac:dyDescent="0.25">
      <c r="A1914" t="s">
        <v>20</v>
      </c>
      <c r="B1914">
        <v>2600</v>
      </c>
      <c r="C1914">
        <v>1</v>
      </c>
      <c r="D1914" t="s">
        <v>33</v>
      </c>
      <c r="E1914" t="s">
        <v>641</v>
      </c>
      <c r="F1914" t="s">
        <v>729</v>
      </c>
      <c r="G1914" t="s">
        <v>650</v>
      </c>
      <c r="H1914">
        <v>42</v>
      </c>
      <c r="I1914" t="s">
        <v>644</v>
      </c>
      <c r="J1914">
        <v>2600</v>
      </c>
      <c r="K1914" s="1">
        <v>44460</v>
      </c>
      <c r="L1914">
        <v>2021</v>
      </c>
      <c r="M1914" t="str">
        <f>UPPER(TEXT(_2020_2022[[#This Row],[Data da Venda]],"mmm"))</f>
        <v>SET</v>
      </c>
    </row>
    <row r="1915" spans="1:13" x14ac:dyDescent="0.25">
      <c r="A1915" t="s">
        <v>5</v>
      </c>
      <c r="B1915">
        <v>1750</v>
      </c>
      <c r="C1915">
        <v>4</v>
      </c>
      <c r="D1915" t="s">
        <v>40</v>
      </c>
      <c r="E1915" t="s">
        <v>657</v>
      </c>
      <c r="F1915" t="s">
        <v>1180</v>
      </c>
      <c r="G1915" t="s">
        <v>643</v>
      </c>
      <c r="H1915">
        <v>35</v>
      </c>
      <c r="I1915" t="s">
        <v>644</v>
      </c>
      <c r="J1915">
        <v>7000</v>
      </c>
      <c r="K1915" s="1">
        <v>44319</v>
      </c>
      <c r="L1915">
        <v>2021</v>
      </c>
      <c r="M1915" t="str">
        <f>UPPER(TEXT(_2020_2022[[#This Row],[Data da Venda]],"mmm"))</f>
        <v>MAI</v>
      </c>
    </row>
    <row r="1916" spans="1:13" x14ac:dyDescent="0.25">
      <c r="A1916" t="s">
        <v>16</v>
      </c>
      <c r="B1916">
        <v>1400</v>
      </c>
      <c r="C1916">
        <v>5</v>
      </c>
      <c r="D1916" t="s">
        <v>31</v>
      </c>
      <c r="E1916" t="s">
        <v>645</v>
      </c>
      <c r="F1916" t="s">
        <v>979</v>
      </c>
      <c r="G1916" t="s">
        <v>650</v>
      </c>
      <c r="H1916">
        <v>69</v>
      </c>
      <c r="I1916" t="s">
        <v>647</v>
      </c>
      <c r="J1916">
        <v>7000</v>
      </c>
      <c r="K1916" s="1">
        <v>44292</v>
      </c>
      <c r="L1916">
        <v>2021</v>
      </c>
      <c r="M1916" t="str">
        <f>UPPER(TEXT(_2020_2022[[#This Row],[Data da Venda]],"mmm"))</f>
        <v>ABR</v>
      </c>
    </row>
    <row r="1917" spans="1:13" x14ac:dyDescent="0.25">
      <c r="A1917" t="s">
        <v>1440</v>
      </c>
      <c r="B1917">
        <v>700</v>
      </c>
      <c r="C1917">
        <v>3</v>
      </c>
      <c r="D1917" t="s">
        <v>34</v>
      </c>
      <c r="E1917" t="s">
        <v>679</v>
      </c>
      <c r="F1917" t="s">
        <v>1361</v>
      </c>
      <c r="G1917" t="s">
        <v>650</v>
      </c>
      <c r="H1917">
        <v>59</v>
      </c>
      <c r="I1917" t="s">
        <v>647</v>
      </c>
      <c r="J1917">
        <v>2100</v>
      </c>
      <c r="K1917" s="1">
        <v>44204</v>
      </c>
      <c r="L1917">
        <v>2021</v>
      </c>
      <c r="M1917" t="str">
        <f>UPPER(TEXT(_2020_2022[[#This Row],[Data da Venda]],"mmm"))</f>
        <v>JAN</v>
      </c>
    </row>
    <row r="1918" spans="1:13" x14ac:dyDescent="0.25">
      <c r="A1918" t="s">
        <v>22</v>
      </c>
      <c r="B1918">
        <v>5200</v>
      </c>
      <c r="C1918">
        <v>2</v>
      </c>
      <c r="D1918" t="s">
        <v>37</v>
      </c>
      <c r="E1918" t="s">
        <v>645</v>
      </c>
      <c r="F1918" t="s">
        <v>1158</v>
      </c>
      <c r="G1918" t="s">
        <v>650</v>
      </c>
      <c r="H1918">
        <v>45</v>
      </c>
      <c r="I1918" t="s">
        <v>644</v>
      </c>
      <c r="J1918">
        <v>10400</v>
      </c>
      <c r="K1918" s="1">
        <v>44561</v>
      </c>
      <c r="L1918">
        <v>2021</v>
      </c>
      <c r="M1918" t="str">
        <f>UPPER(TEXT(_2020_2022[[#This Row],[Data da Venda]],"mmm"))</f>
        <v>DEZ</v>
      </c>
    </row>
    <row r="1919" spans="1:13" x14ac:dyDescent="0.25">
      <c r="A1919" t="s">
        <v>5</v>
      </c>
      <c r="B1919">
        <v>1750</v>
      </c>
      <c r="C1919">
        <v>1</v>
      </c>
      <c r="D1919" t="s">
        <v>29</v>
      </c>
      <c r="E1919" t="s">
        <v>641</v>
      </c>
      <c r="F1919" t="s">
        <v>912</v>
      </c>
      <c r="G1919" t="s">
        <v>650</v>
      </c>
      <c r="H1919">
        <v>39</v>
      </c>
      <c r="I1919" t="s">
        <v>644</v>
      </c>
      <c r="J1919">
        <v>1750</v>
      </c>
      <c r="K1919" s="1">
        <v>44285</v>
      </c>
      <c r="L1919">
        <v>2021</v>
      </c>
      <c r="M1919" t="str">
        <f>UPPER(TEXT(_2020_2022[[#This Row],[Data da Venda]],"mmm"))</f>
        <v>MAR</v>
      </c>
    </row>
    <row r="1920" spans="1:13" x14ac:dyDescent="0.25">
      <c r="A1920" t="s">
        <v>20</v>
      </c>
      <c r="B1920">
        <v>2600</v>
      </c>
      <c r="C1920">
        <v>1</v>
      </c>
      <c r="D1920" t="s">
        <v>35</v>
      </c>
      <c r="E1920" t="s">
        <v>666</v>
      </c>
      <c r="F1920" t="s">
        <v>1124</v>
      </c>
      <c r="G1920" t="s">
        <v>643</v>
      </c>
      <c r="H1920">
        <v>34</v>
      </c>
      <c r="I1920" t="s">
        <v>644</v>
      </c>
      <c r="J1920">
        <v>2600</v>
      </c>
      <c r="K1920" s="1">
        <v>44513</v>
      </c>
      <c r="L1920">
        <v>2021</v>
      </c>
      <c r="M1920" t="str">
        <f>UPPER(TEXT(_2020_2022[[#This Row],[Data da Venda]],"mmm"))</f>
        <v>NOV</v>
      </c>
    </row>
    <row r="1921" spans="1:13" x14ac:dyDescent="0.25">
      <c r="A1921" t="s">
        <v>7</v>
      </c>
      <c r="B1921">
        <v>750</v>
      </c>
      <c r="C1921">
        <v>2</v>
      </c>
      <c r="D1921" t="s">
        <v>39</v>
      </c>
      <c r="E1921" t="s">
        <v>641</v>
      </c>
      <c r="F1921" t="s">
        <v>814</v>
      </c>
      <c r="G1921" t="s">
        <v>650</v>
      </c>
      <c r="H1921">
        <v>66</v>
      </c>
      <c r="I1921" t="s">
        <v>647</v>
      </c>
      <c r="J1921">
        <v>1500</v>
      </c>
      <c r="K1921" s="1">
        <v>44552</v>
      </c>
      <c r="L1921">
        <v>2021</v>
      </c>
      <c r="M1921" t="str">
        <f>UPPER(TEXT(_2020_2022[[#This Row],[Data da Venda]],"mmm"))</f>
        <v>DEZ</v>
      </c>
    </row>
    <row r="1922" spans="1:13" x14ac:dyDescent="0.25">
      <c r="A1922" t="s">
        <v>22</v>
      </c>
      <c r="B1922">
        <v>5200</v>
      </c>
      <c r="C1922">
        <v>5</v>
      </c>
      <c r="D1922" t="s">
        <v>35</v>
      </c>
      <c r="E1922" t="s">
        <v>666</v>
      </c>
      <c r="F1922" t="s">
        <v>961</v>
      </c>
      <c r="G1922" t="s">
        <v>650</v>
      </c>
      <c r="H1922">
        <v>25</v>
      </c>
      <c r="I1922" t="s">
        <v>651</v>
      </c>
      <c r="J1922">
        <v>26000</v>
      </c>
      <c r="K1922" s="1">
        <v>44451</v>
      </c>
      <c r="L1922">
        <v>2021</v>
      </c>
      <c r="M1922" t="str">
        <f>UPPER(TEXT(_2020_2022[[#This Row],[Data da Venda]],"mmm"))</f>
        <v>SET</v>
      </c>
    </row>
    <row r="1923" spans="1:13" x14ac:dyDescent="0.25">
      <c r="A1923" t="s">
        <v>21</v>
      </c>
      <c r="B1923">
        <v>2400</v>
      </c>
      <c r="C1923">
        <v>3</v>
      </c>
      <c r="D1923" t="s">
        <v>37</v>
      </c>
      <c r="E1923" t="s">
        <v>645</v>
      </c>
      <c r="F1923" t="s">
        <v>1294</v>
      </c>
      <c r="G1923" t="s">
        <v>643</v>
      </c>
      <c r="H1923">
        <v>59</v>
      </c>
      <c r="I1923" t="s">
        <v>647</v>
      </c>
      <c r="J1923">
        <v>7200</v>
      </c>
      <c r="K1923" s="1">
        <v>44260</v>
      </c>
      <c r="L1923">
        <v>2021</v>
      </c>
      <c r="M1923" t="str">
        <f>UPPER(TEXT(_2020_2022[[#This Row],[Data da Venda]],"mmm"))</f>
        <v>MAR</v>
      </c>
    </row>
    <row r="1924" spans="1:13" x14ac:dyDescent="0.25">
      <c r="A1924" t="s">
        <v>18</v>
      </c>
      <c r="B1924">
        <v>3000</v>
      </c>
      <c r="C1924">
        <v>2</v>
      </c>
      <c r="D1924" t="s">
        <v>38</v>
      </c>
      <c r="E1924" t="s">
        <v>648</v>
      </c>
      <c r="F1924" t="s">
        <v>769</v>
      </c>
      <c r="G1924" t="s">
        <v>643</v>
      </c>
      <c r="H1924">
        <v>28</v>
      </c>
      <c r="I1924" t="s">
        <v>651</v>
      </c>
      <c r="J1924">
        <v>6000</v>
      </c>
      <c r="K1924" s="1">
        <v>44386</v>
      </c>
      <c r="L1924">
        <v>2021</v>
      </c>
      <c r="M1924" t="str">
        <f>UPPER(TEXT(_2020_2022[[#This Row],[Data da Venda]],"mmm"))</f>
        <v>JUL</v>
      </c>
    </row>
    <row r="1925" spans="1:13" x14ac:dyDescent="0.25">
      <c r="A1925" t="s">
        <v>11</v>
      </c>
      <c r="B1925">
        <v>4500</v>
      </c>
      <c r="C1925">
        <v>4</v>
      </c>
      <c r="D1925" t="s">
        <v>34</v>
      </c>
      <c r="E1925" t="s">
        <v>679</v>
      </c>
      <c r="F1925" t="s">
        <v>929</v>
      </c>
      <c r="G1925" t="s">
        <v>643</v>
      </c>
      <c r="H1925">
        <v>69</v>
      </c>
      <c r="I1925" t="s">
        <v>647</v>
      </c>
      <c r="J1925">
        <v>18000</v>
      </c>
      <c r="K1925" s="1">
        <v>44331</v>
      </c>
      <c r="L1925">
        <v>2021</v>
      </c>
      <c r="M1925" t="str">
        <f>UPPER(TEXT(_2020_2022[[#This Row],[Data da Venda]],"mmm"))</f>
        <v>MAI</v>
      </c>
    </row>
    <row r="1926" spans="1:13" x14ac:dyDescent="0.25">
      <c r="A1926" t="s">
        <v>1441</v>
      </c>
      <c r="B1926">
        <v>1450</v>
      </c>
      <c r="C1926">
        <v>3</v>
      </c>
      <c r="D1926" t="s">
        <v>37</v>
      </c>
      <c r="E1926" t="s">
        <v>645</v>
      </c>
      <c r="F1926" t="s">
        <v>1298</v>
      </c>
      <c r="G1926" t="s">
        <v>643</v>
      </c>
      <c r="H1926">
        <v>61</v>
      </c>
      <c r="I1926" t="s">
        <v>647</v>
      </c>
      <c r="J1926">
        <v>4350</v>
      </c>
      <c r="K1926" s="1">
        <v>44486</v>
      </c>
      <c r="L1926">
        <v>2021</v>
      </c>
      <c r="M1926" t="str">
        <f>UPPER(TEXT(_2020_2022[[#This Row],[Data da Venda]],"mmm"))</f>
        <v>OUT</v>
      </c>
    </row>
    <row r="1927" spans="1:13" x14ac:dyDescent="0.25">
      <c r="A1927" t="s">
        <v>12</v>
      </c>
      <c r="B1927">
        <v>6500</v>
      </c>
      <c r="C1927">
        <v>1</v>
      </c>
      <c r="D1927" t="s">
        <v>39</v>
      </c>
      <c r="E1927" t="s">
        <v>641</v>
      </c>
      <c r="F1927" t="s">
        <v>1318</v>
      </c>
      <c r="G1927" t="s">
        <v>643</v>
      </c>
      <c r="H1927">
        <v>63</v>
      </c>
      <c r="I1927" t="s">
        <v>647</v>
      </c>
      <c r="J1927">
        <v>6500</v>
      </c>
      <c r="K1927" s="1">
        <v>44415</v>
      </c>
      <c r="L1927">
        <v>2021</v>
      </c>
      <c r="M1927" t="str">
        <f>UPPER(TEXT(_2020_2022[[#This Row],[Data da Venda]],"mmm"))</f>
        <v>AGO</v>
      </c>
    </row>
    <row r="1928" spans="1:13" x14ac:dyDescent="0.25">
      <c r="A1928" t="s">
        <v>14</v>
      </c>
      <c r="B1928">
        <v>2000</v>
      </c>
      <c r="C1928">
        <v>4</v>
      </c>
      <c r="D1928" t="s">
        <v>33</v>
      </c>
      <c r="E1928" t="s">
        <v>641</v>
      </c>
      <c r="F1928" t="s">
        <v>1362</v>
      </c>
      <c r="G1928" t="s">
        <v>650</v>
      </c>
      <c r="H1928">
        <v>31</v>
      </c>
      <c r="I1928" t="s">
        <v>644</v>
      </c>
      <c r="J1928">
        <v>8000</v>
      </c>
      <c r="K1928" s="1">
        <v>44282</v>
      </c>
      <c r="L1928">
        <v>2021</v>
      </c>
      <c r="M1928" t="str">
        <f>UPPER(TEXT(_2020_2022[[#This Row],[Data da Venda]],"mmm"))</f>
        <v>MAR</v>
      </c>
    </row>
    <row r="1929" spans="1:13" x14ac:dyDescent="0.25">
      <c r="A1929" t="s">
        <v>20</v>
      </c>
      <c r="B1929">
        <v>2600</v>
      </c>
      <c r="C1929">
        <v>3</v>
      </c>
      <c r="D1929" t="s">
        <v>34</v>
      </c>
      <c r="E1929" t="s">
        <v>679</v>
      </c>
      <c r="F1929" t="s">
        <v>1326</v>
      </c>
      <c r="G1929" t="s">
        <v>643</v>
      </c>
      <c r="H1929">
        <v>62</v>
      </c>
      <c r="I1929" t="s">
        <v>647</v>
      </c>
      <c r="J1929">
        <v>7800</v>
      </c>
      <c r="K1929" s="1">
        <v>44529</v>
      </c>
      <c r="L1929">
        <v>2021</v>
      </c>
      <c r="M1929" t="str">
        <f>UPPER(TEXT(_2020_2022[[#This Row],[Data da Venda]],"mmm"))</f>
        <v>NOV</v>
      </c>
    </row>
    <row r="1930" spans="1:13" x14ac:dyDescent="0.25">
      <c r="A1930" t="s">
        <v>22</v>
      </c>
      <c r="B1930">
        <v>5200</v>
      </c>
      <c r="C1930">
        <v>5</v>
      </c>
      <c r="D1930" t="s">
        <v>37</v>
      </c>
      <c r="E1930" t="s">
        <v>645</v>
      </c>
      <c r="F1930" t="s">
        <v>1298</v>
      </c>
      <c r="G1930" t="s">
        <v>643</v>
      </c>
      <c r="H1930">
        <v>61</v>
      </c>
      <c r="I1930" t="s">
        <v>647</v>
      </c>
      <c r="J1930">
        <v>26000</v>
      </c>
      <c r="K1930" s="1">
        <v>44547</v>
      </c>
      <c r="L1930">
        <v>2021</v>
      </c>
      <c r="M1930" t="str">
        <f>UPPER(TEXT(_2020_2022[[#This Row],[Data da Venda]],"mmm"))</f>
        <v>DEZ</v>
      </c>
    </row>
    <row r="1931" spans="1:13" x14ac:dyDescent="0.25">
      <c r="A1931" t="s">
        <v>1440</v>
      </c>
      <c r="B1931">
        <v>700</v>
      </c>
      <c r="C1931">
        <v>3</v>
      </c>
      <c r="D1931" t="s">
        <v>36</v>
      </c>
      <c r="E1931" t="s">
        <v>677</v>
      </c>
      <c r="F1931" t="s">
        <v>1175</v>
      </c>
      <c r="G1931" t="s">
        <v>650</v>
      </c>
      <c r="H1931">
        <v>62</v>
      </c>
      <c r="I1931" t="s">
        <v>647</v>
      </c>
      <c r="J1931">
        <v>2100</v>
      </c>
      <c r="K1931" s="1">
        <v>44527</v>
      </c>
      <c r="L1931">
        <v>2021</v>
      </c>
      <c r="M1931" t="str">
        <f>UPPER(TEXT(_2020_2022[[#This Row],[Data da Venda]],"mmm"))</f>
        <v>NOV</v>
      </c>
    </row>
    <row r="1932" spans="1:13" x14ac:dyDescent="0.25">
      <c r="A1932" t="s">
        <v>1445</v>
      </c>
      <c r="B1932">
        <v>1500</v>
      </c>
      <c r="C1932">
        <v>5</v>
      </c>
      <c r="D1932" t="s">
        <v>38</v>
      </c>
      <c r="E1932" t="s">
        <v>648</v>
      </c>
      <c r="F1932" t="s">
        <v>1307</v>
      </c>
      <c r="G1932" t="s">
        <v>650</v>
      </c>
      <c r="H1932">
        <v>73</v>
      </c>
      <c r="I1932" t="s">
        <v>647</v>
      </c>
      <c r="J1932">
        <v>7500</v>
      </c>
      <c r="K1932" s="1">
        <v>44513</v>
      </c>
      <c r="L1932">
        <v>2021</v>
      </c>
      <c r="M1932" t="str">
        <f>UPPER(TEXT(_2020_2022[[#This Row],[Data da Venda]],"mmm"))</f>
        <v>NOV</v>
      </c>
    </row>
    <row r="1933" spans="1:13" x14ac:dyDescent="0.25">
      <c r="A1933" t="s">
        <v>20</v>
      </c>
      <c r="B1933">
        <v>2600</v>
      </c>
      <c r="C1933">
        <v>2</v>
      </c>
      <c r="D1933" t="s">
        <v>36</v>
      </c>
      <c r="E1933" t="s">
        <v>677</v>
      </c>
      <c r="F1933" t="s">
        <v>821</v>
      </c>
      <c r="G1933" t="s">
        <v>643</v>
      </c>
      <c r="H1933">
        <v>56</v>
      </c>
      <c r="I1933" t="s">
        <v>647</v>
      </c>
      <c r="J1933">
        <v>5200</v>
      </c>
      <c r="K1933" s="1">
        <v>44376</v>
      </c>
      <c r="L1933">
        <v>2021</v>
      </c>
      <c r="M1933" t="str">
        <f>UPPER(TEXT(_2020_2022[[#This Row],[Data da Venda]],"mmm"))</f>
        <v>JUN</v>
      </c>
    </row>
    <row r="1934" spans="1:13" x14ac:dyDescent="0.25">
      <c r="A1934" t="s">
        <v>9</v>
      </c>
      <c r="B1934">
        <v>1500</v>
      </c>
      <c r="C1934">
        <v>2</v>
      </c>
      <c r="D1934" t="s">
        <v>38</v>
      </c>
      <c r="E1934" t="s">
        <v>648</v>
      </c>
      <c r="F1934" t="s">
        <v>892</v>
      </c>
      <c r="G1934" t="s">
        <v>650</v>
      </c>
      <c r="H1934">
        <v>28</v>
      </c>
      <c r="I1934" t="s">
        <v>651</v>
      </c>
      <c r="J1934">
        <v>3000</v>
      </c>
      <c r="K1934" s="1">
        <v>44369</v>
      </c>
      <c r="L1934">
        <v>2021</v>
      </c>
      <c r="M1934" t="str">
        <f>UPPER(TEXT(_2020_2022[[#This Row],[Data da Venda]],"mmm"))</f>
        <v>JUN</v>
      </c>
    </row>
    <row r="1935" spans="1:13" x14ac:dyDescent="0.25">
      <c r="A1935" t="s">
        <v>9</v>
      </c>
      <c r="B1935">
        <v>1500</v>
      </c>
      <c r="C1935">
        <v>1</v>
      </c>
      <c r="D1935" t="s">
        <v>37</v>
      </c>
      <c r="E1935" t="s">
        <v>645</v>
      </c>
      <c r="F1935" t="s">
        <v>1019</v>
      </c>
      <c r="G1935" t="s">
        <v>643</v>
      </c>
      <c r="H1935">
        <v>48</v>
      </c>
      <c r="I1935" t="s">
        <v>644</v>
      </c>
      <c r="J1935">
        <v>1500</v>
      </c>
      <c r="K1935" s="1">
        <v>44497</v>
      </c>
      <c r="L1935">
        <v>2021</v>
      </c>
      <c r="M1935" t="str">
        <f>UPPER(TEXT(_2020_2022[[#This Row],[Data da Venda]],"mmm"))</f>
        <v>OUT</v>
      </c>
    </row>
    <row r="1936" spans="1:13" x14ac:dyDescent="0.25">
      <c r="A1936" t="s">
        <v>1441</v>
      </c>
      <c r="B1936">
        <v>1450</v>
      </c>
      <c r="C1936">
        <v>5</v>
      </c>
      <c r="D1936" t="s">
        <v>32</v>
      </c>
      <c r="E1936" t="s">
        <v>652</v>
      </c>
      <c r="F1936" t="s">
        <v>893</v>
      </c>
      <c r="G1936" t="s">
        <v>650</v>
      </c>
      <c r="H1936">
        <v>69</v>
      </c>
      <c r="I1936" t="s">
        <v>647</v>
      </c>
      <c r="J1936">
        <v>7250</v>
      </c>
      <c r="K1936" s="1">
        <v>44407</v>
      </c>
      <c r="L1936">
        <v>2021</v>
      </c>
      <c r="M1936" t="str">
        <f>UPPER(TEXT(_2020_2022[[#This Row],[Data da Venda]],"mmm"))</f>
        <v>JUL</v>
      </c>
    </row>
    <row r="1937" spans="1:13" x14ac:dyDescent="0.25">
      <c r="A1937" t="s">
        <v>16</v>
      </c>
      <c r="B1937">
        <v>1400</v>
      </c>
      <c r="C1937">
        <v>2</v>
      </c>
      <c r="D1937" t="s">
        <v>34</v>
      </c>
      <c r="E1937" t="s">
        <v>679</v>
      </c>
      <c r="F1937" t="s">
        <v>1227</v>
      </c>
      <c r="G1937" t="s">
        <v>650</v>
      </c>
      <c r="H1937">
        <v>39</v>
      </c>
      <c r="I1937" t="s">
        <v>644</v>
      </c>
      <c r="J1937">
        <v>2800</v>
      </c>
      <c r="K1937" s="1">
        <v>44277</v>
      </c>
      <c r="L1937">
        <v>2021</v>
      </c>
      <c r="M1937" t="str">
        <f>UPPER(TEXT(_2020_2022[[#This Row],[Data da Venda]],"mmm"))</f>
        <v>MAR</v>
      </c>
    </row>
    <row r="1938" spans="1:13" x14ac:dyDescent="0.25">
      <c r="A1938" t="s">
        <v>1444</v>
      </c>
      <c r="B1938">
        <v>1500</v>
      </c>
      <c r="C1938">
        <v>4</v>
      </c>
      <c r="D1938" t="s">
        <v>36</v>
      </c>
      <c r="E1938" t="s">
        <v>677</v>
      </c>
      <c r="F1938" t="s">
        <v>796</v>
      </c>
      <c r="G1938" t="s">
        <v>643</v>
      </c>
      <c r="H1938">
        <v>33</v>
      </c>
      <c r="I1938" t="s">
        <v>644</v>
      </c>
      <c r="J1938">
        <v>6000</v>
      </c>
      <c r="K1938" s="1">
        <v>44389</v>
      </c>
      <c r="L1938">
        <v>2021</v>
      </c>
      <c r="M1938" t="str">
        <f>UPPER(TEXT(_2020_2022[[#This Row],[Data da Venda]],"mmm"))</f>
        <v>JUL</v>
      </c>
    </row>
    <row r="1939" spans="1:13" x14ac:dyDescent="0.25">
      <c r="A1939" t="s">
        <v>1443</v>
      </c>
      <c r="B1939">
        <v>1550</v>
      </c>
      <c r="C1939">
        <v>1</v>
      </c>
      <c r="D1939" t="s">
        <v>38</v>
      </c>
      <c r="E1939" t="s">
        <v>648</v>
      </c>
      <c r="F1939" t="s">
        <v>1363</v>
      </c>
      <c r="G1939" t="s">
        <v>643</v>
      </c>
      <c r="H1939">
        <v>70</v>
      </c>
      <c r="I1939" t="s">
        <v>647</v>
      </c>
      <c r="J1939">
        <v>1550</v>
      </c>
      <c r="K1939" s="1">
        <v>44532</v>
      </c>
      <c r="L1939">
        <v>2021</v>
      </c>
      <c r="M1939" t="str">
        <f>UPPER(TEXT(_2020_2022[[#This Row],[Data da Venda]],"mmm"))</f>
        <v>DEZ</v>
      </c>
    </row>
    <row r="1940" spans="1:13" x14ac:dyDescent="0.25">
      <c r="A1940" t="s">
        <v>15</v>
      </c>
      <c r="B1940">
        <v>1900</v>
      </c>
      <c r="C1940">
        <v>1</v>
      </c>
      <c r="D1940" t="s">
        <v>32</v>
      </c>
      <c r="E1940" t="s">
        <v>652</v>
      </c>
      <c r="F1940" t="s">
        <v>662</v>
      </c>
      <c r="G1940" t="s">
        <v>650</v>
      </c>
      <c r="H1940">
        <v>59</v>
      </c>
      <c r="I1940" t="s">
        <v>647</v>
      </c>
      <c r="J1940">
        <v>1900</v>
      </c>
      <c r="K1940" s="1">
        <v>44227</v>
      </c>
      <c r="L1940">
        <v>2021</v>
      </c>
      <c r="M1940" t="str">
        <f>UPPER(TEXT(_2020_2022[[#This Row],[Data da Venda]],"mmm"))</f>
        <v>JAN</v>
      </c>
    </row>
    <row r="1941" spans="1:13" x14ac:dyDescent="0.25">
      <c r="A1941" t="s">
        <v>1442</v>
      </c>
      <c r="B1941">
        <v>1200</v>
      </c>
      <c r="C1941">
        <v>5</v>
      </c>
      <c r="D1941" t="s">
        <v>39</v>
      </c>
      <c r="E1941" t="s">
        <v>641</v>
      </c>
      <c r="F1941" t="s">
        <v>1275</v>
      </c>
      <c r="G1941" t="s">
        <v>643</v>
      </c>
      <c r="H1941">
        <v>26</v>
      </c>
      <c r="I1941" t="s">
        <v>651</v>
      </c>
      <c r="J1941">
        <v>6000</v>
      </c>
      <c r="K1941" s="1">
        <v>44290</v>
      </c>
      <c r="L1941">
        <v>2021</v>
      </c>
      <c r="M1941" t="str">
        <f>UPPER(TEXT(_2020_2022[[#This Row],[Data da Venda]],"mmm"))</f>
        <v>ABR</v>
      </c>
    </row>
    <row r="1942" spans="1:13" x14ac:dyDescent="0.25">
      <c r="A1942" t="s">
        <v>21</v>
      </c>
      <c r="B1942">
        <v>2400</v>
      </c>
      <c r="C1942">
        <v>4</v>
      </c>
      <c r="D1942" t="s">
        <v>29</v>
      </c>
      <c r="E1942" t="s">
        <v>641</v>
      </c>
      <c r="F1942" t="s">
        <v>1338</v>
      </c>
      <c r="G1942" t="s">
        <v>643</v>
      </c>
      <c r="H1942">
        <v>35</v>
      </c>
      <c r="I1942" t="s">
        <v>644</v>
      </c>
      <c r="J1942">
        <v>9600</v>
      </c>
      <c r="K1942" s="1">
        <v>44542</v>
      </c>
      <c r="L1942">
        <v>2021</v>
      </c>
      <c r="M1942" t="str">
        <f>UPPER(TEXT(_2020_2022[[#This Row],[Data da Venda]],"mmm"))</f>
        <v>DEZ</v>
      </c>
    </row>
    <row r="1943" spans="1:13" x14ac:dyDescent="0.25">
      <c r="A1943" t="s">
        <v>24</v>
      </c>
      <c r="B1943">
        <v>2000</v>
      </c>
      <c r="C1943">
        <v>2</v>
      </c>
      <c r="D1943" t="s">
        <v>37</v>
      </c>
      <c r="E1943" t="s">
        <v>645</v>
      </c>
      <c r="F1943" t="s">
        <v>870</v>
      </c>
      <c r="G1943" t="s">
        <v>643</v>
      </c>
      <c r="H1943">
        <v>40</v>
      </c>
      <c r="I1943" t="s">
        <v>644</v>
      </c>
      <c r="J1943">
        <v>4000</v>
      </c>
      <c r="K1943" s="1">
        <v>44561</v>
      </c>
      <c r="L1943">
        <v>2021</v>
      </c>
      <c r="M1943" t="str">
        <f>UPPER(TEXT(_2020_2022[[#This Row],[Data da Venda]],"mmm"))</f>
        <v>DEZ</v>
      </c>
    </row>
    <row r="1944" spans="1:13" x14ac:dyDescent="0.25">
      <c r="A1944" t="s">
        <v>15</v>
      </c>
      <c r="B1944">
        <v>1900</v>
      </c>
      <c r="C1944">
        <v>5</v>
      </c>
      <c r="D1944" t="s">
        <v>37</v>
      </c>
      <c r="E1944" t="s">
        <v>645</v>
      </c>
      <c r="F1944" t="s">
        <v>778</v>
      </c>
      <c r="G1944" t="s">
        <v>650</v>
      </c>
      <c r="H1944">
        <v>67</v>
      </c>
      <c r="I1944" t="s">
        <v>647</v>
      </c>
      <c r="J1944">
        <v>9500</v>
      </c>
      <c r="K1944" s="1">
        <v>44240</v>
      </c>
      <c r="L1944">
        <v>2021</v>
      </c>
      <c r="M1944" t="str">
        <f>UPPER(TEXT(_2020_2022[[#This Row],[Data da Venda]],"mmm"))</f>
        <v>FEV</v>
      </c>
    </row>
    <row r="1945" spans="1:13" x14ac:dyDescent="0.25">
      <c r="A1945" t="s">
        <v>12</v>
      </c>
      <c r="B1945">
        <v>6500</v>
      </c>
      <c r="C1945">
        <v>1</v>
      </c>
      <c r="D1945" t="s">
        <v>38</v>
      </c>
      <c r="E1945" t="s">
        <v>648</v>
      </c>
      <c r="F1945" t="s">
        <v>931</v>
      </c>
      <c r="G1945" t="s">
        <v>650</v>
      </c>
      <c r="H1945">
        <v>54</v>
      </c>
      <c r="I1945" t="s">
        <v>647</v>
      </c>
      <c r="J1945">
        <v>6500</v>
      </c>
      <c r="K1945" s="1">
        <v>44234</v>
      </c>
      <c r="L1945">
        <v>2021</v>
      </c>
      <c r="M1945" t="str">
        <f>UPPER(TEXT(_2020_2022[[#This Row],[Data da Venda]],"mmm"))</f>
        <v>FEV</v>
      </c>
    </row>
    <row r="1946" spans="1:13" x14ac:dyDescent="0.25">
      <c r="A1946" t="s">
        <v>20</v>
      </c>
      <c r="B1946">
        <v>2600</v>
      </c>
      <c r="C1946">
        <v>2</v>
      </c>
      <c r="D1946" t="s">
        <v>35</v>
      </c>
      <c r="E1946" t="s">
        <v>666</v>
      </c>
      <c r="F1946" t="s">
        <v>884</v>
      </c>
      <c r="G1946" t="s">
        <v>650</v>
      </c>
      <c r="H1946">
        <v>58</v>
      </c>
      <c r="I1946" t="s">
        <v>647</v>
      </c>
      <c r="J1946">
        <v>5200</v>
      </c>
      <c r="K1946" s="1">
        <v>44244</v>
      </c>
      <c r="L1946">
        <v>2021</v>
      </c>
      <c r="M1946" t="str">
        <f>UPPER(TEXT(_2020_2022[[#This Row],[Data da Venda]],"mmm"))</f>
        <v>FEV</v>
      </c>
    </row>
    <row r="1947" spans="1:13" x14ac:dyDescent="0.25">
      <c r="A1947" t="s">
        <v>21</v>
      </c>
      <c r="B1947">
        <v>2400</v>
      </c>
      <c r="C1947">
        <v>2</v>
      </c>
      <c r="D1947" t="s">
        <v>38</v>
      </c>
      <c r="E1947" t="s">
        <v>648</v>
      </c>
      <c r="F1947" t="s">
        <v>1091</v>
      </c>
      <c r="G1947" t="s">
        <v>650</v>
      </c>
      <c r="H1947">
        <v>40</v>
      </c>
      <c r="I1947" t="s">
        <v>644</v>
      </c>
      <c r="J1947">
        <v>4800</v>
      </c>
      <c r="K1947" s="1">
        <v>44261</v>
      </c>
      <c r="L1947">
        <v>2021</v>
      </c>
      <c r="M1947" t="str">
        <f>UPPER(TEXT(_2020_2022[[#This Row],[Data da Venda]],"mmm"))</f>
        <v>MAR</v>
      </c>
    </row>
    <row r="1948" spans="1:13" x14ac:dyDescent="0.25">
      <c r="A1948" t="s">
        <v>1445</v>
      </c>
      <c r="B1948">
        <v>1500</v>
      </c>
      <c r="C1948">
        <v>2</v>
      </c>
      <c r="D1948" t="s">
        <v>29</v>
      </c>
      <c r="E1948" t="s">
        <v>641</v>
      </c>
      <c r="F1948" t="s">
        <v>1364</v>
      </c>
      <c r="G1948" t="s">
        <v>643</v>
      </c>
      <c r="H1948">
        <v>60</v>
      </c>
      <c r="I1948" t="s">
        <v>647</v>
      </c>
      <c r="J1948">
        <v>3000</v>
      </c>
      <c r="K1948" s="1">
        <v>44441</v>
      </c>
      <c r="L1948">
        <v>2021</v>
      </c>
      <c r="M1948" t="str">
        <f>UPPER(TEXT(_2020_2022[[#This Row],[Data da Venda]],"mmm"))</f>
        <v>SET</v>
      </c>
    </row>
    <row r="1949" spans="1:13" x14ac:dyDescent="0.25">
      <c r="A1949" t="s">
        <v>24</v>
      </c>
      <c r="B1949">
        <v>2000</v>
      </c>
      <c r="C1949">
        <v>2</v>
      </c>
      <c r="D1949" t="s">
        <v>31</v>
      </c>
      <c r="E1949" t="s">
        <v>645</v>
      </c>
      <c r="F1949" t="s">
        <v>686</v>
      </c>
      <c r="G1949" t="s">
        <v>643</v>
      </c>
      <c r="H1949">
        <v>53</v>
      </c>
      <c r="I1949" t="s">
        <v>647</v>
      </c>
      <c r="J1949">
        <v>4000</v>
      </c>
      <c r="K1949" s="1">
        <v>44411</v>
      </c>
      <c r="L1949">
        <v>2021</v>
      </c>
      <c r="M1949" t="str">
        <f>UPPER(TEXT(_2020_2022[[#This Row],[Data da Venda]],"mmm"))</f>
        <v>AGO</v>
      </c>
    </row>
    <row r="1950" spans="1:13" x14ac:dyDescent="0.25">
      <c r="A1950" t="s">
        <v>25</v>
      </c>
      <c r="B1950">
        <v>2500</v>
      </c>
      <c r="C1950">
        <v>3</v>
      </c>
      <c r="D1950" t="s">
        <v>30</v>
      </c>
      <c r="E1950" t="s">
        <v>645</v>
      </c>
      <c r="F1950" t="s">
        <v>835</v>
      </c>
      <c r="G1950" t="s">
        <v>650</v>
      </c>
      <c r="H1950">
        <v>61</v>
      </c>
      <c r="I1950" t="s">
        <v>647</v>
      </c>
      <c r="J1950">
        <v>7500</v>
      </c>
      <c r="K1950" s="1">
        <v>44392</v>
      </c>
      <c r="L1950">
        <v>2021</v>
      </c>
      <c r="M1950" t="str">
        <f>UPPER(TEXT(_2020_2022[[#This Row],[Data da Venda]],"mmm"))</f>
        <v>JUL</v>
      </c>
    </row>
    <row r="1951" spans="1:13" x14ac:dyDescent="0.25">
      <c r="A1951" t="s">
        <v>26</v>
      </c>
      <c r="B1951">
        <v>1100</v>
      </c>
      <c r="C1951">
        <v>1</v>
      </c>
      <c r="D1951" t="s">
        <v>39</v>
      </c>
      <c r="E1951" t="s">
        <v>641</v>
      </c>
      <c r="F1951" t="s">
        <v>814</v>
      </c>
      <c r="G1951" t="s">
        <v>650</v>
      </c>
      <c r="H1951">
        <v>66</v>
      </c>
      <c r="I1951" t="s">
        <v>647</v>
      </c>
      <c r="J1951">
        <v>1100</v>
      </c>
      <c r="K1951" s="1">
        <v>44198</v>
      </c>
      <c r="L1951">
        <v>2021</v>
      </c>
      <c r="M1951" t="str">
        <f>UPPER(TEXT(_2020_2022[[#This Row],[Data da Venda]],"mmm"))</f>
        <v>JAN</v>
      </c>
    </row>
    <row r="1952" spans="1:13" x14ac:dyDescent="0.25">
      <c r="A1952" t="s">
        <v>14</v>
      </c>
      <c r="B1952">
        <v>2000</v>
      </c>
      <c r="C1952">
        <v>4</v>
      </c>
      <c r="D1952" t="s">
        <v>36</v>
      </c>
      <c r="E1952" t="s">
        <v>677</v>
      </c>
      <c r="F1952" t="s">
        <v>838</v>
      </c>
      <c r="G1952" t="s">
        <v>643</v>
      </c>
      <c r="H1952">
        <v>53</v>
      </c>
      <c r="I1952" t="s">
        <v>647</v>
      </c>
      <c r="J1952">
        <v>8000</v>
      </c>
      <c r="K1952" s="1">
        <v>44412</v>
      </c>
      <c r="L1952">
        <v>2021</v>
      </c>
      <c r="M1952" t="str">
        <f>UPPER(TEXT(_2020_2022[[#This Row],[Data da Venda]],"mmm"))</f>
        <v>AGO</v>
      </c>
    </row>
    <row r="1953" spans="1:13" x14ac:dyDescent="0.25">
      <c r="A1953" t="s">
        <v>1442</v>
      </c>
      <c r="B1953">
        <v>1200</v>
      </c>
      <c r="C1953">
        <v>5</v>
      </c>
      <c r="D1953" t="s">
        <v>39</v>
      </c>
      <c r="E1953" t="s">
        <v>641</v>
      </c>
      <c r="F1953" t="s">
        <v>1233</v>
      </c>
      <c r="G1953" t="s">
        <v>643</v>
      </c>
      <c r="H1953">
        <v>68</v>
      </c>
      <c r="I1953" t="s">
        <v>647</v>
      </c>
      <c r="J1953">
        <v>6000</v>
      </c>
      <c r="K1953" s="1">
        <v>44373</v>
      </c>
      <c r="L1953">
        <v>2021</v>
      </c>
      <c r="M1953" t="str">
        <f>UPPER(TEXT(_2020_2022[[#This Row],[Data da Venda]],"mmm"))</f>
        <v>JUN</v>
      </c>
    </row>
    <row r="1954" spans="1:13" x14ac:dyDescent="0.25">
      <c r="A1954" t="s">
        <v>11</v>
      </c>
      <c r="B1954">
        <v>4500</v>
      </c>
      <c r="C1954">
        <v>1</v>
      </c>
      <c r="D1954" t="s">
        <v>35</v>
      </c>
      <c r="E1954" t="s">
        <v>666</v>
      </c>
      <c r="F1954" t="s">
        <v>884</v>
      </c>
      <c r="G1954" t="s">
        <v>650</v>
      </c>
      <c r="H1954">
        <v>58</v>
      </c>
      <c r="I1954" t="s">
        <v>647</v>
      </c>
      <c r="J1954">
        <v>4500</v>
      </c>
      <c r="K1954" s="1">
        <v>44543</v>
      </c>
      <c r="L1954">
        <v>2021</v>
      </c>
      <c r="M1954" t="str">
        <f>UPPER(TEXT(_2020_2022[[#This Row],[Data da Venda]],"mmm"))</f>
        <v>DEZ</v>
      </c>
    </row>
    <row r="1955" spans="1:13" x14ac:dyDescent="0.25">
      <c r="A1955" t="s">
        <v>1442</v>
      </c>
      <c r="B1955">
        <v>1200</v>
      </c>
      <c r="C1955">
        <v>2</v>
      </c>
      <c r="D1955" t="s">
        <v>29</v>
      </c>
      <c r="E1955" t="s">
        <v>641</v>
      </c>
      <c r="F1955" t="s">
        <v>1120</v>
      </c>
      <c r="G1955" t="s">
        <v>650</v>
      </c>
      <c r="H1955">
        <v>56</v>
      </c>
      <c r="I1955" t="s">
        <v>647</v>
      </c>
      <c r="J1955">
        <v>2400</v>
      </c>
      <c r="K1955" s="1">
        <v>44395</v>
      </c>
      <c r="L1955">
        <v>2021</v>
      </c>
      <c r="M1955" t="str">
        <f>UPPER(TEXT(_2020_2022[[#This Row],[Data da Venda]],"mmm"))</f>
        <v>JUL</v>
      </c>
    </row>
    <row r="1956" spans="1:13" x14ac:dyDescent="0.25">
      <c r="A1956" t="s">
        <v>1443</v>
      </c>
      <c r="B1956">
        <v>1550</v>
      </c>
      <c r="C1956">
        <v>4</v>
      </c>
      <c r="D1956" t="s">
        <v>35</v>
      </c>
      <c r="E1956" t="s">
        <v>666</v>
      </c>
      <c r="F1956" t="s">
        <v>1365</v>
      </c>
      <c r="G1956" t="s">
        <v>650</v>
      </c>
      <c r="H1956">
        <v>28</v>
      </c>
      <c r="I1956" t="s">
        <v>651</v>
      </c>
      <c r="J1956">
        <v>6200</v>
      </c>
      <c r="K1956" s="1">
        <v>44248</v>
      </c>
      <c r="L1956">
        <v>2021</v>
      </c>
      <c r="M1956" t="str">
        <f>UPPER(TEXT(_2020_2022[[#This Row],[Data da Venda]],"mmm"))</f>
        <v>FEV</v>
      </c>
    </row>
    <row r="1957" spans="1:13" x14ac:dyDescent="0.25">
      <c r="A1957" t="s">
        <v>8</v>
      </c>
      <c r="B1957">
        <v>5500</v>
      </c>
      <c r="C1957">
        <v>2</v>
      </c>
      <c r="D1957" t="s">
        <v>37</v>
      </c>
      <c r="E1957" t="s">
        <v>645</v>
      </c>
      <c r="F1957" t="s">
        <v>792</v>
      </c>
      <c r="G1957" t="s">
        <v>643</v>
      </c>
      <c r="H1957">
        <v>48</v>
      </c>
      <c r="I1957" t="s">
        <v>644</v>
      </c>
      <c r="J1957">
        <v>11000</v>
      </c>
      <c r="K1957" s="1">
        <v>44273</v>
      </c>
      <c r="L1957">
        <v>2021</v>
      </c>
      <c r="M1957" t="str">
        <f>UPPER(TEXT(_2020_2022[[#This Row],[Data da Venda]],"mmm"))</f>
        <v>MAR</v>
      </c>
    </row>
    <row r="1958" spans="1:13" x14ac:dyDescent="0.25">
      <c r="A1958" t="s">
        <v>13</v>
      </c>
      <c r="B1958">
        <v>2300</v>
      </c>
      <c r="C1958">
        <v>5</v>
      </c>
      <c r="D1958" t="s">
        <v>36</v>
      </c>
      <c r="E1958" t="s">
        <v>677</v>
      </c>
      <c r="F1958" t="s">
        <v>1090</v>
      </c>
      <c r="G1958" t="s">
        <v>643</v>
      </c>
      <c r="H1958">
        <v>41</v>
      </c>
      <c r="I1958" t="s">
        <v>644</v>
      </c>
      <c r="J1958">
        <v>11500</v>
      </c>
      <c r="K1958" s="1">
        <v>44240</v>
      </c>
      <c r="L1958">
        <v>2021</v>
      </c>
      <c r="M1958" t="str">
        <f>UPPER(TEXT(_2020_2022[[#This Row],[Data da Venda]],"mmm"))</f>
        <v>FEV</v>
      </c>
    </row>
    <row r="1959" spans="1:13" x14ac:dyDescent="0.25">
      <c r="A1959" t="s">
        <v>20</v>
      </c>
      <c r="B1959">
        <v>2600</v>
      </c>
      <c r="C1959">
        <v>4</v>
      </c>
      <c r="D1959" t="s">
        <v>40</v>
      </c>
      <c r="E1959" t="s">
        <v>657</v>
      </c>
      <c r="F1959" t="s">
        <v>1366</v>
      </c>
      <c r="G1959" t="s">
        <v>643</v>
      </c>
      <c r="H1959">
        <v>37</v>
      </c>
      <c r="I1959" t="s">
        <v>644</v>
      </c>
      <c r="J1959">
        <v>10400</v>
      </c>
      <c r="K1959" s="1">
        <v>44464</v>
      </c>
      <c r="L1959">
        <v>2021</v>
      </c>
      <c r="M1959" t="str">
        <f>UPPER(TEXT(_2020_2022[[#This Row],[Data da Venda]],"mmm"))</f>
        <v>SET</v>
      </c>
    </row>
    <row r="1960" spans="1:13" x14ac:dyDescent="0.25">
      <c r="A1960" t="s">
        <v>14</v>
      </c>
      <c r="B1960">
        <v>2000</v>
      </c>
      <c r="C1960">
        <v>4</v>
      </c>
      <c r="D1960" t="s">
        <v>38</v>
      </c>
      <c r="E1960" t="s">
        <v>648</v>
      </c>
      <c r="F1960" t="s">
        <v>847</v>
      </c>
      <c r="G1960" t="s">
        <v>643</v>
      </c>
      <c r="H1960">
        <v>37</v>
      </c>
      <c r="I1960" t="s">
        <v>644</v>
      </c>
      <c r="J1960">
        <v>8000</v>
      </c>
      <c r="K1960" s="1">
        <v>44443</v>
      </c>
      <c r="L1960">
        <v>2021</v>
      </c>
      <c r="M1960" t="str">
        <f>UPPER(TEXT(_2020_2022[[#This Row],[Data da Venda]],"mmm"))</f>
        <v>SET</v>
      </c>
    </row>
    <row r="1961" spans="1:13" x14ac:dyDescent="0.25">
      <c r="A1961" t="s">
        <v>1444</v>
      </c>
      <c r="B1961">
        <v>1500</v>
      </c>
      <c r="C1961">
        <v>1</v>
      </c>
      <c r="D1961" t="s">
        <v>37</v>
      </c>
      <c r="E1961" t="s">
        <v>645</v>
      </c>
      <c r="F1961" t="s">
        <v>1315</v>
      </c>
      <c r="G1961" t="s">
        <v>643</v>
      </c>
      <c r="H1961">
        <v>40</v>
      </c>
      <c r="I1961" t="s">
        <v>644</v>
      </c>
      <c r="J1961">
        <v>1500</v>
      </c>
      <c r="K1961" s="1">
        <v>44553</v>
      </c>
      <c r="L1961">
        <v>2021</v>
      </c>
      <c r="M1961" t="str">
        <f>UPPER(TEXT(_2020_2022[[#This Row],[Data da Venda]],"mmm"))</f>
        <v>DEZ</v>
      </c>
    </row>
    <row r="1962" spans="1:13" x14ac:dyDescent="0.25">
      <c r="A1962" t="s">
        <v>1443</v>
      </c>
      <c r="B1962">
        <v>1550</v>
      </c>
      <c r="C1962">
        <v>4</v>
      </c>
      <c r="D1962" t="s">
        <v>38</v>
      </c>
      <c r="E1962" t="s">
        <v>648</v>
      </c>
      <c r="F1962" t="s">
        <v>1367</v>
      </c>
      <c r="G1962" t="s">
        <v>650</v>
      </c>
      <c r="H1962">
        <v>48</v>
      </c>
      <c r="I1962" t="s">
        <v>644</v>
      </c>
      <c r="J1962">
        <v>6200</v>
      </c>
      <c r="K1962" s="1">
        <v>44316</v>
      </c>
      <c r="L1962">
        <v>2021</v>
      </c>
      <c r="M1962" t="str">
        <f>UPPER(TEXT(_2020_2022[[#This Row],[Data da Venda]],"mmm"))</f>
        <v>ABR</v>
      </c>
    </row>
    <row r="1963" spans="1:13" x14ac:dyDescent="0.25">
      <c r="A1963" t="s">
        <v>24</v>
      </c>
      <c r="B1963">
        <v>2000</v>
      </c>
      <c r="C1963">
        <v>4</v>
      </c>
      <c r="D1963" t="s">
        <v>38</v>
      </c>
      <c r="E1963" t="s">
        <v>648</v>
      </c>
      <c r="F1963" t="s">
        <v>649</v>
      </c>
      <c r="G1963" t="s">
        <v>650</v>
      </c>
      <c r="H1963">
        <v>27</v>
      </c>
      <c r="I1963" t="s">
        <v>651</v>
      </c>
      <c r="J1963">
        <v>8000</v>
      </c>
      <c r="K1963" s="1">
        <v>44402</v>
      </c>
      <c r="L1963">
        <v>2021</v>
      </c>
      <c r="M1963" t="str">
        <f>UPPER(TEXT(_2020_2022[[#This Row],[Data da Venda]],"mmm"))</f>
        <v>JUL</v>
      </c>
    </row>
    <row r="1964" spans="1:13" x14ac:dyDescent="0.25">
      <c r="A1964" t="s">
        <v>28</v>
      </c>
      <c r="B1964">
        <v>1400</v>
      </c>
      <c r="C1964">
        <v>2</v>
      </c>
      <c r="D1964" t="s">
        <v>41</v>
      </c>
      <c r="E1964" t="s">
        <v>681</v>
      </c>
      <c r="F1964" t="s">
        <v>1327</v>
      </c>
      <c r="G1964" t="s">
        <v>650</v>
      </c>
      <c r="H1964">
        <v>49</v>
      </c>
      <c r="I1964" t="s">
        <v>644</v>
      </c>
      <c r="J1964">
        <v>2800</v>
      </c>
      <c r="K1964" s="1">
        <v>44348</v>
      </c>
      <c r="L1964">
        <v>2021</v>
      </c>
      <c r="M1964" t="str">
        <f>UPPER(TEXT(_2020_2022[[#This Row],[Data da Venda]],"mmm"))</f>
        <v>JUN</v>
      </c>
    </row>
    <row r="1965" spans="1:13" x14ac:dyDescent="0.25">
      <c r="A1965" t="s">
        <v>1445</v>
      </c>
      <c r="B1965">
        <v>1500</v>
      </c>
      <c r="C1965">
        <v>2</v>
      </c>
      <c r="D1965" t="s">
        <v>33</v>
      </c>
      <c r="E1965" t="s">
        <v>641</v>
      </c>
      <c r="F1965" t="s">
        <v>1358</v>
      </c>
      <c r="G1965" t="s">
        <v>650</v>
      </c>
      <c r="H1965">
        <v>65</v>
      </c>
      <c r="I1965" t="s">
        <v>647</v>
      </c>
      <c r="J1965">
        <v>3000</v>
      </c>
      <c r="K1965" s="1">
        <v>44476</v>
      </c>
      <c r="L1965">
        <v>2021</v>
      </c>
      <c r="M1965" t="str">
        <f>UPPER(TEXT(_2020_2022[[#This Row],[Data da Venda]],"mmm"))</f>
        <v>OUT</v>
      </c>
    </row>
    <row r="1966" spans="1:13" x14ac:dyDescent="0.25">
      <c r="A1966" t="s">
        <v>15</v>
      </c>
      <c r="B1966">
        <v>1900</v>
      </c>
      <c r="C1966">
        <v>2</v>
      </c>
      <c r="D1966" t="s">
        <v>36</v>
      </c>
      <c r="E1966" t="s">
        <v>677</v>
      </c>
      <c r="F1966" t="s">
        <v>1105</v>
      </c>
      <c r="G1966" t="s">
        <v>650</v>
      </c>
      <c r="H1966">
        <v>31</v>
      </c>
      <c r="I1966" t="s">
        <v>644</v>
      </c>
      <c r="J1966">
        <v>3800</v>
      </c>
      <c r="K1966" s="1">
        <v>44463</v>
      </c>
      <c r="L1966">
        <v>2021</v>
      </c>
      <c r="M1966" t="str">
        <f>UPPER(TEXT(_2020_2022[[#This Row],[Data da Venda]],"mmm"))</f>
        <v>SET</v>
      </c>
    </row>
    <row r="1967" spans="1:13" x14ac:dyDescent="0.25">
      <c r="A1967" t="s">
        <v>15</v>
      </c>
      <c r="B1967">
        <v>1900</v>
      </c>
      <c r="C1967">
        <v>5</v>
      </c>
      <c r="D1967" t="s">
        <v>40</v>
      </c>
      <c r="E1967" t="s">
        <v>657</v>
      </c>
      <c r="F1967" t="s">
        <v>658</v>
      </c>
      <c r="G1967" t="s">
        <v>643</v>
      </c>
      <c r="H1967">
        <v>56</v>
      </c>
      <c r="I1967" t="s">
        <v>647</v>
      </c>
      <c r="J1967">
        <v>9500</v>
      </c>
      <c r="K1967" s="1">
        <v>44533</v>
      </c>
      <c r="L1967">
        <v>2021</v>
      </c>
      <c r="M1967" t="str">
        <f>UPPER(TEXT(_2020_2022[[#This Row],[Data da Venda]],"mmm"))</f>
        <v>DEZ</v>
      </c>
    </row>
    <row r="1968" spans="1:13" x14ac:dyDescent="0.25">
      <c r="A1968" t="s">
        <v>11</v>
      </c>
      <c r="B1968">
        <v>4500</v>
      </c>
      <c r="C1968">
        <v>1</v>
      </c>
      <c r="D1968" t="s">
        <v>40</v>
      </c>
      <c r="E1968" t="s">
        <v>657</v>
      </c>
      <c r="F1968" t="s">
        <v>1028</v>
      </c>
      <c r="G1968" t="s">
        <v>650</v>
      </c>
      <c r="H1968">
        <v>55</v>
      </c>
      <c r="I1968" t="s">
        <v>647</v>
      </c>
      <c r="J1968">
        <v>4500</v>
      </c>
      <c r="K1968" s="1">
        <v>44433</v>
      </c>
      <c r="L1968">
        <v>2021</v>
      </c>
      <c r="M1968" t="str">
        <f>UPPER(TEXT(_2020_2022[[#This Row],[Data da Venda]],"mmm"))</f>
        <v>AGO</v>
      </c>
    </row>
    <row r="1969" spans="1:13" x14ac:dyDescent="0.25">
      <c r="A1969" t="s">
        <v>12</v>
      </c>
      <c r="B1969">
        <v>6500</v>
      </c>
      <c r="C1969">
        <v>4</v>
      </c>
      <c r="D1969" t="s">
        <v>32</v>
      </c>
      <c r="E1969" t="s">
        <v>652</v>
      </c>
      <c r="F1969" t="s">
        <v>1317</v>
      </c>
      <c r="G1969" t="s">
        <v>650</v>
      </c>
      <c r="H1969">
        <v>32</v>
      </c>
      <c r="I1969" t="s">
        <v>644</v>
      </c>
      <c r="J1969">
        <v>26000</v>
      </c>
      <c r="K1969" s="1">
        <v>44341</v>
      </c>
      <c r="L1969">
        <v>2021</v>
      </c>
      <c r="M1969" t="str">
        <f>UPPER(TEXT(_2020_2022[[#This Row],[Data da Venda]],"mmm"))</f>
        <v>MAI</v>
      </c>
    </row>
    <row r="1970" spans="1:13" x14ac:dyDescent="0.25">
      <c r="A1970" t="s">
        <v>15</v>
      </c>
      <c r="B1970">
        <v>1900</v>
      </c>
      <c r="C1970">
        <v>3</v>
      </c>
      <c r="D1970" t="s">
        <v>37</v>
      </c>
      <c r="E1970" t="s">
        <v>645</v>
      </c>
      <c r="F1970" t="s">
        <v>1165</v>
      </c>
      <c r="G1970" t="s">
        <v>643</v>
      </c>
      <c r="H1970">
        <v>69</v>
      </c>
      <c r="I1970" t="s">
        <v>647</v>
      </c>
      <c r="J1970">
        <v>5700</v>
      </c>
      <c r="K1970" s="1">
        <v>44331</v>
      </c>
      <c r="L1970">
        <v>2021</v>
      </c>
      <c r="M1970" t="str">
        <f>UPPER(TEXT(_2020_2022[[#This Row],[Data da Venda]],"mmm"))</f>
        <v>MAI</v>
      </c>
    </row>
    <row r="1971" spans="1:13" x14ac:dyDescent="0.25">
      <c r="A1971" t="s">
        <v>1442</v>
      </c>
      <c r="B1971">
        <v>1200</v>
      </c>
      <c r="C1971">
        <v>1</v>
      </c>
      <c r="D1971" t="s">
        <v>29</v>
      </c>
      <c r="E1971" t="s">
        <v>641</v>
      </c>
      <c r="F1971" t="s">
        <v>777</v>
      </c>
      <c r="G1971" t="s">
        <v>643</v>
      </c>
      <c r="H1971">
        <v>29</v>
      </c>
      <c r="I1971" t="s">
        <v>651</v>
      </c>
      <c r="J1971">
        <v>1200</v>
      </c>
      <c r="K1971" s="1">
        <v>44281</v>
      </c>
      <c r="L1971">
        <v>2021</v>
      </c>
      <c r="M1971" t="str">
        <f>UPPER(TEXT(_2020_2022[[#This Row],[Data da Venda]],"mmm"))</f>
        <v>MAR</v>
      </c>
    </row>
    <row r="1972" spans="1:13" x14ac:dyDescent="0.25">
      <c r="A1972" t="s">
        <v>14</v>
      </c>
      <c r="B1972">
        <v>2000</v>
      </c>
      <c r="C1972">
        <v>4</v>
      </c>
      <c r="D1972" t="s">
        <v>29</v>
      </c>
      <c r="E1972" t="s">
        <v>641</v>
      </c>
      <c r="F1972" t="s">
        <v>1114</v>
      </c>
      <c r="G1972" t="s">
        <v>643</v>
      </c>
      <c r="H1972">
        <v>63</v>
      </c>
      <c r="I1972" t="s">
        <v>647</v>
      </c>
      <c r="J1972">
        <v>8000</v>
      </c>
      <c r="K1972" s="1">
        <v>44548</v>
      </c>
      <c r="L1972">
        <v>2021</v>
      </c>
      <c r="M1972" t="str">
        <f>UPPER(TEXT(_2020_2022[[#This Row],[Data da Venda]],"mmm"))</f>
        <v>DEZ</v>
      </c>
    </row>
    <row r="1973" spans="1:13" x14ac:dyDescent="0.25">
      <c r="A1973" t="s">
        <v>21</v>
      </c>
      <c r="B1973">
        <v>2400</v>
      </c>
      <c r="C1973">
        <v>3</v>
      </c>
      <c r="D1973" t="s">
        <v>38</v>
      </c>
      <c r="E1973" t="s">
        <v>648</v>
      </c>
      <c r="F1973" t="s">
        <v>656</v>
      </c>
      <c r="G1973" t="s">
        <v>643</v>
      </c>
      <c r="H1973">
        <v>37</v>
      </c>
      <c r="I1973" t="s">
        <v>644</v>
      </c>
      <c r="J1973">
        <v>7200</v>
      </c>
      <c r="K1973" s="1">
        <v>44281</v>
      </c>
      <c r="L1973">
        <v>2021</v>
      </c>
      <c r="M1973" t="str">
        <f>UPPER(TEXT(_2020_2022[[#This Row],[Data da Venda]],"mmm"))</f>
        <v>MAR</v>
      </c>
    </row>
    <row r="1974" spans="1:13" x14ac:dyDescent="0.25">
      <c r="A1974" t="s">
        <v>8</v>
      </c>
      <c r="B1974">
        <v>5500</v>
      </c>
      <c r="C1974">
        <v>4</v>
      </c>
      <c r="D1974" t="s">
        <v>29</v>
      </c>
      <c r="E1974" t="s">
        <v>641</v>
      </c>
      <c r="F1974" t="s">
        <v>941</v>
      </c>
      <c r="G1974" t="s">
        <v>650</v>
      </c>
      <c r="H1974">
        <v>52</v>
      </c>
      <c r="I1974" t="s">
        <v>647</v>
      </c>
      <c r="J1974">
        <v>22000</v>
      </c>
      <c r="K1974" s="1">
        <v>44307</v>
      </c>
      <c r="L1974">
        <v>2021</v>
      </c>
      <c r="M1974" t="str">
        <f>UPPER(TEXT(_2020_2022[[#This Row],[Data da Venda]],"mmm"))</f>
        <v>ABR</v>
      </c>
    </row>
    <row r="1975" spans="1:13" x14ac:dyDescent="0.25">
      <c r="A1975" t="s">
        <v>9</v>
      </c>
      <c r="B1975">
        <v>1500</v>
      </c>
      <c r="C1975">
        <v>2</v>
      </c>
      <c r="D1975" t="s">
        <v>36</v>
      </c>
      <c r="E1975" t="s">
        <v>677</v>
      </c>
      <c r="F1975" t="s">
        <v>933</v>
      </c>
      <c r="G1975" t="s">
        <v>650</v>
      </c>
      <c r="H1975">
        <v>74</v>
      </c>
      <c r="I1975" t="s">
        <v>647</v>
      </c>
      <c r="J1975">
        <v>3000</v>
      </c>
      <c r="K1975" s="1">
        <v>44394</v>
      </c>
      <c r="L1975">
        <v>2021</v>
      </c>
      <c r="M1975" t="str">
        <f>UPPER(TEXT(_2020_2022[[#This Row],[Data da Venda]],"mmm"))</f>
        <v>JUL</v>
      </c>
    </row>
    <row r="1976" spans="1:13" x14ac:dyDescent="0.25">
      <c r="A1976" t="s">
        <v>26</v>
      </c>
      <c r="B1976">
        <v>1100</v>
      </c>
      <c r="C1976">
        <v>5</v>
      </c>
      <c r="D1976" t="s">
        <v>29</v>
      </c>
      <c r="E1976" t="s">
        <v>641</v>
      </c>
      <c r="F1976" t="s">
        <v>827</v>
      </c>
      <c r="G1976" t="s">
        <v>650</v>
      </c>
      <c r="H1976">
        <v>54</v>
      </c>
      <c r="I1976" t="s">
        <v>647</v>
      </c>
      <c r="J1976">
        <v>5500</v>
      </c>
      <c r="K1976" s="1">
        <v>44197</v>
      </c>
      <c r="L1976">
        <v>2021</v>
      </c>
      <c r="M1976" t="str">
        <f>UPPER(TEXT(_2020_2022[[#This Row],[Data da Venda]],"mmm"))</f>
        <v>JAN</v>
      </c>
    </row>
    <row r="1977" spans="1:13" x14ac:dyDescent="0.25">
      <c r="A1977" t="s">
        <v>18</v>
      </c>
      <c r="B1977">
        <v>3000</v>
      </c>
      <c r="C1977">
        <v>1</v>
      </c>
      <c r="D1977" t="s">
        <v>38</v>
      </c>
      <c r="E1977" t="s">
        <v>648</v>
      </c>
      <c r="F1977" t="s">
        <v>1261</v>
      </c>
      <c r="G1977" t="s">
        <v>650</v>
      </c>
      <c r="H1977">
        <v>37</v>
      </c>
      <c r="I1977" t="s">
        <v>644</v>
      </c>
      <c r="J1977">
        <v>3000</v>
      </c>
      <c r="K1977" s="1">
        <v>44556</v>
      </c>
      <c r="L1977">
        <v>2021</v>
      </c>
      <c r="M1977" t="str">
        <f>UPPER(TEXT(_2020_2022[[#This Row],[Data da Venda]],"mmm"))</f>
        <v>DEZ</v>
      </c>
    </row>
    <row r="1978" spans="1:13" x14ac:dyDescent="0.25">
      <c r="A1978" t="s">
        <v>22</v>
      </c>
      <c r="B1978">
        <v>5200</v>
      </c>
      <c r="C1978">
        <v>3</v>
      </c>
      <c r="D1978" t="s">
        <v>36</v>
      </c>
      <c r="E1978" t="s">
        <v>677</v>
      </c>
      <c r="F1978" t="s">
        <v>728</v>
      </c>
      <c r="G1978" t="s">
        <v>643</v>
      </c>
      <c r="H1978">
        <v>60</v>
      </c>
      <c r="I1978" t="s">
        <v>647</v>
      </c>
      <c r="J1978">
        <v>15600</v>
      </c>
      <c r="K1978" s="1">
        <v>44244</v>
      </c>
      <c r="L1978">
        <v>2021</v>
      </c>
      <c r="M1978" t="str">
        <f>UPPER(TEXT(_2020_2022[[#This Row],[Data da Venda]],"mmm"))</f>
        <v>FEV</v>
      </c>
    </row>
    <row r="1979" spans="1:13" x14ac:dyDescent="0.25">
      <c r="A1979" t="s">
        <v>24</v>
      </c>
      <c r="B1979">
        <v>2000</v>
      </c>
      <c r="C1979">
        <v>5</v>
      </c>
      <c r="D1979" t="s">
        <v>31</v>
      </c>
      <c r="E1979" t="s">
        <v>645</v>
      </c>
      <c r="F1979" t="s">
        <v>905</v>
      </c>
      <c r="G1979" t="s">
        <v>643</v>
      </c>
      <c r="H1979">
        <v>40</v>
      </c>
      <c r="I1979" t="s">
        <v>644</v>
      </c>
      <c r="J1979">
        <v>10000</v>
      </c>
      <c r="K1979" s="1">
        <v>44321</v>
      </c>
      <c r="L1979">
        <v>2021</v>
      </c>
      <c r="M1979" t="str">
        <f>UPPER(TEXT(_2020_2022[[#This Row],[Data da Venda]],"mmm"))</f>
        <v>MAI</v>
      </c>
    </row>
    <row r="1980" spans="1:13" x14ac:dyDescent="0.25">
      <c r="A1980" t="s">
        <v>1443</v>
      </c>
      <c r="B1980">
        <v>1550</v>
      </c>
      <c r="C1980">
        <v>2</v>
      </c>
      <c r="D1980" t="s">
        <v>39</v>
      </c>
      <c r="E1980" t="s">
        <v>641</v>
      </c>
      <c r="F1980" t="s">
        <v>1238</v>
      </c>
      <c r="G1980" t="s">
        <v>643</v>
      </c>
      <c r="H1980">
        <v>65</v>
      </c>
      <c r="I1980" t="s">
        <v>647</v>
      </c>
      <c r="J1980">
        <v>3100</v>
      </c>
      <c r="K1980" s="1">
        <v>44258</v>
      </c>
      <c r="L1980">
        <v>2021</v>
      </c>
      <c r="M1980" t="str">
        <f>UPPER(TEXT(_2020_2022[[#This Row],[Data da Venda]],"mmm"))</f>
        <v>MAR</v>
      </c>
    </row>
    <row r="1981" spans="1:13" x14ac:dyDescent="0.25">
      <c r="A1981" t="s">
        <v>13</v>
      </c>
      <c r="B1981">
        <v>2300</v>
      </c>
      <c r="C1981">
        <v>2</v>
      </c>
      <c r="D1981" t="s">
        <v>40</v>
      </c>
      <c r="E1981" t="s">
        <v>657</v>
      </c>
      <c r="F1981" t="s">
        <v>784</v>
      </c>
      <c r="G1981" t="s">
        <v>650</v>
      </c>
      <c r="H1981">
        <v>41</v>
      </c>
      <c r="I1981" t="s">
        <v>644</v>
      </c>
      <c r="J1981">
        <v>4600</v>
      </c>
      <c r="K1981" s="1">
        <v>44298</v>
      </c>
      <c r="L1981">
        <v>2021</v>
      </c>
      <c r="M1981" t="str">
        <f>UPPER(TEXT(_2020_2022[[#This Row],[Data da Venda]],"mmm"))</f>
        <v>ABR</v>
      </c>
    </row>
    <row r="1982" spans="1:13" x14ac:dyDescent="0.25">
      <c r="A1982" t="s">
        <v>25</v>
      </c>
      <c r="B1982">
        <v>2500</v>
      </c>
      <c r="C1982">
        <v>3</v>
      </c>
      <c r="D1982" t="s">
        <v>35</v>
      </c>
      <c r="E1982" t="s">
        <v>666</v>
      </c>
      <c r="F1982" t="s">
        <v>732</v>
      </c>
      <c r="G1982" t="s">
        <v>650</v>
      </c>
      <c r="H1982">
        <v>44</v>
      </c>
      <c r="I1982" t="s">
        <v>644</v>
      </c>
      <c r="J1982">
        <v>7500</v>
      </c>
      <c r="K1982" s="1">
        <v>44204</v>
      </c>
      <c r="L1982">
        <v>2021</v>
      </c>
      <c r="M1982" t="str">
        <f>UPPER(TEXT(_2020_2022[[#This Row],[Data da Venda]],"mmm"))</f>
        <v>JAN</v>
      </c>
    </row>
    <row r="1983" spans="1:13" x14ac:dyDescent="0.25">
      <c r="A1983" t="s">
        <v>1445</v>
      </c>
      <c r="B1983">
        <v>1500</v>
      </c>
      <c r="C1983">
        <v>5</v>
      </c>
      <c r="D1983" t="s">
        <v>39</v>
      </c>
      <c r="E1983" t="s">
        <v>641</v>
      </c>
      <c r="F1983" t="s">
        <v>1355</v>
      </c>
      <c r="G1983" t="s">
        <v>650</v>
      </c>
      <c r="H1983">
        <v>75</v>
      </c>
      <c r="I1983" t="s">
        <v>647</v>
      </c>
      <c r="J1983">
        <v>7500</v>
      </c>
      <c r="K1983" s="1">
        <v>44421</v>
      </c>
      <c r="L1983">
        <v>2021</v>
      </c>
      <c r="M1983" t="str">
        <f>UPPER(TEXT(_2020_2022[[#This Row],[Data da Venda]],"mmm"))</f>
        <v>AGO</v>
      </c>
    </row>
    <row r="1984" spans="1:13" x14ac:dyDescent="0.25">
      <c r="A1984" t="s">
        <v>16</v>
      </c>
      <c r="B1984">
        <v>1400</v>
      </c>
      <c r="C1984">
        <v>4</v>
      </c>
      <c r="D1984" t="s">
        <v>33</v>
      </c>
      <c r="E1984" t="s">
        <v>641</v>
      </c>
      <c r="F1984" t="s">
        <v>1159</v>
      </c>
      <c r="G1984" t="s">
        <v>643</v>
      </c>
      <c r="H1984">
        <v>48</v>
      </c>
      <c r="I1984" t="s">
        <v>644</v>
      </c>
      <c r="J1984">
        <v>5600</v>
      </c>
      <c r="K1984" s="1">
        <v>44225</v>
      </c>
      <c r="L1984">
        <v>2021</v>
      </c>
      <c r="M1984" t="str">
        <f>UPPER(TEXT(_2020_2022[[#This Row],[Data da Venda]],"mmm"))</f>
        <v>JAN</v>
      </c>
    </row>
    <row r="1985" spans="1:13" x14ac:dyDescent="0.25">
      <c r="A1985" t="s">
        <v>1445</v>
      </c>
      <c r="B1985">
        <v>1500</v>
      </c>
      <c r="C1985">
        <v>4</v>
      </c>
      <c r="D1985" t="s">
        <v>34</v>
      </c>
      <c r="E1985" t="s">
        <v>679</v>
      </c>
      <c r="F1985" t="s">
        <v>1368</v>
      </c>
      <c r="G1985" t="s">
        <v>650</v>
      </c>
      <c r="H1985">
        <v>26</v>
      </c>
      <c r="I1985" t="s">
        <v>651</v>
      </c>
      <c r="J1985">
        <v>6000</v>
      </c>
      <c r="K1985" s="1">
        <v>44497</v>
      </c>
      <c r="L1985">
        <v>2021</v>
      </c>
      <c r="M1985" t="str">
        <f>UPPER(TEXT(_2020_2022[[#This Row],[Data da Venda]],"mmm"))</f>
        <v>OUT</v>
      </c>
    </row>
    <row r="1986" spans="1:13" x14ac:dyDescent="0.25">
      <c r="A1986" t="s">
        <v>7</v>
      </c>
      <c r="B1986">
        <v>750</v>
      </c>
      <c r="C1986">
        <v>5</v>
      </c>
      <c r="D1986" t="s">
        <v>37</v>
      </c>
      <c r="E1986" t="s">
        <v>645</v>
      </c>
      <c r="F1986" t="s">
        <v>1221</v>
      </c>
      <c r="G1986" t="s">
        <v>650</v>
      </c>
      <c r="H1986">
        <v>48</v>
      </c>
      <c r="I1986" t="s">
        <v>644</v>
      </c>
      <c r="J1986">
        <v>3750</v>
      </c>
      <c r="K1986" s="1">
        <v>44311</v>
      </c>
      <c r="L1986">
        <v>2021</v>
      </c>
      <c r="M1986" t="str">
        <f>UPPER(TEXT(_2020_2022[[#This Row],[Data da Venda]],"mmm"))</f>
        <v>ABR</v>
      </c>
    </row>
    <row r="1987" spans="1:13" x14ac:dyDescent="0.25">
      <c r="A1987" t="s">
        <v>9</v>
      </c>
      <c r="B1987">
        <v>1500</v>
      </c>
      <c r="C1987">
        <v>1</v>
      </c>
      <c r="D1987" t="s">
        <v>30</v>
      </c>
      <c r="E1987" t="s">
        <v>645</v>
      </c>
      <c r="F1987" t="s">
        <v>823</v>
      </c>
      <c r="G1987" t="s">
        <v>643</v>
      </c>
      <c r="H1987">
        <v>68</v>
      </c>
      <c r="I1987" t="s">
        <v>647</v>
      </c>
      <c r="J1987">
        <v>1500</v>
      </c>
      <c r="K1987" s="1">
        <v>44388</v>
      </c>
      <c r="L1987">
        <v>2021</v>
      </c>
      <c r="M1987" t="str">
        <f>UPPER(TEXT(_2020_2022[[#This Row],[Data da Venda]],"mmm"))</f>
        <v>JUL</v>
      </c>
    </row>
    <row r="1988" spans="1:13" x14ac:dyDescent="0.25">
      <c r="A1988" t="s">
        <v>21</v>
      </c>
      <c r="B1988">
        <v>2400</v>
      </c>
      <c r="C1988">
        <v>2</v>
      </c>
      <c r="D1988" t="s">
        <v>36</v>
      </c>
      <c r="E1988" t="s">
        <v>677</v>
      </c>
      <c r="F1988" t="s">
        <v>1369</v>
      </c>
      <c r="G1988" t="s">
        <v>650</v>
      </c>
      <c r="H1988">
        <v>68</v>
      </c>
      <c r="I1988" t="s">
        <v>647</v>
      </c>
      <c r="J1988">
        <v>4800</v>
      </c>
      <c r="K1988" s="1">
        <v>44303</v>
      </c>
      <c r="L1988">
        <v>2021</v>
      </c>
      <c r="M1988" t="str">
        <f>UPPER(TEXT(_2020_2022[[#This Row],[Data da Venda]],"mmm"))</f>
        <v>ABR</v>
      </c>
    </row>
    <row r="1989" spans="1:13" x14ac:dyDescent="0.25">
      <c r="A1989" t="s">
        <v>5</v>
      </c>
      <c r="B1989">
        <v>1750</v>
      </c>
      <c r="C1989">
        <v>1</v>
      </c>
      <c r="D1989" t="s">
        <v>29</v>
      </c>
      <c r="E1989" t="s">
        <v>641</v>
      </c>
      <c r="F1989" t="s">
        <v>1297</v>
      </c>
      <c r="G1989" t="s">
        <v>643</v>
      </c>
      <c r="H1989">
        <v>43</v>
      </c>
      <c r="I1989" t="s">
        <v>644</v>
      </c>
      <c r="J1989">
        <v>1750</v>
      </c>
      <c r="K1989" s="1">
        <v>44256</v>
      </c>
      <c r="L1989">
        <v>2021</v>
      </c>
      <c r="M1989" t="str">
        <f>UPPER(TEXT(_2020_2022[[#This Row],[Data da Venda]],"mmm"))</f>
        <v>MAR</v>
      </c>
    </row>
    <row r="1990" spans="1:13" x14ac:dyDescent="0.25">
      <c r="A1990" t="s">
        <v>22</v>
      </c>
      <c r="B1990">
        <v>5200</v>
      </c>
      <c r="C1990">
        <v>3</v>
      </c>
      <c r="D1990" t="s">
        <v>40</v>
      </c>
      <c r="E1990" t="s">
        <v>657</v>
      </c>
      <c r="F1990" t="s">
        <v>1074</v>
      </c>
      <c r="G1990" t="s">
        <v>643</v>
      </c>
      <c r="H1990">
        <v>31</v>
      </c>
      <c r="I1990" t="s">
        <v>644</v>
      </c>
      <c r="J1990">
        <v>15600</v>
      </c>
      <c r="K1990" s="1">
        <v>44383</v>
      </c>
      <c r="L1990">
        <v>2021</v>
      </c>
      <c r="M1990" t="str">
        <f>UPPER(TEXT(_2020_2022[[#This Row],[Data da Venda]],"mmm"))</f>
        <v>JUL</v>
      </c>
    </row>
    <row r="1991" spans="1:13" x14ac:dyDescent="0.25">
      <c r="A1991" t="s">
        <v>25</v>
      </c>
      <c r="B1991">
        <v>2500</v>
      </c>
      <c r="C1991">
        <v>2</v>
      </c>
      <c r="D1991" t="s">
        <v>31</v>
      </c>
      <c r="E1991" t="s">
        <v>645</v>
      </c>
      <c r="F1991" t="s">
        <v>967</v>
      </c>
      <c r="G1991" t="s">
        <v>643</v>
      </c>
      <c r="H1991">
        <v>38</v>
      </c>
      <c r="I1991" t="s">
        <v>644</v>
      </c>
      <c r="J1991">
        <v>5000</v>
      </c>
      <c r="K1991" s="1">
        <v>44386</v>
      </c>
      <c r="L1991">
        <v>2021</v>
      </c>
      <c r="M1991" t="str">
        <f>UPPER(TEXT(_2020_2022[[#This Row],[Data da Venda]],"mmm"))</f>
        <v>JUL</v>
      </c>
    </row>
    <row r="1992" spans="1:13" x14ac:dyDescent="0.25">
      <c r="A1992" t="s">
        <v>7</v>
      </c>
      <c r="B1992">
        <v>750</v>
      </c>
      <c r="C1992">
        <v>3</v>
      </c>
      <c r="D1992" t="s">
        <v>38</v>
      </c>
      <c r="E1992" t="s">
        <v>648</v>
      </c>
      <c r="F1992" t="s">
        <v>669</v>
      </c>
      <c r="G1992" t="s">
        <v>650</v>
      </c>
      <c r="H1992">
        <v>35</v>
      </c>
      <c r="I1992" t="s">
        <v>644</v>
      </c>
      <c r="J1992">
        <v>2250</v>
      </c>
      <c r="K1992" s="1">
        <v>44227</v>
      </c>
      <c r="L1992">
        <v>2021</v>
      </c>
      <c r="M1992" t="str">
        <f>UPPER(TEXT(_2020_2022[[#This Row],[Data da Venda]],"mmm"))</f>
        <v>JAN</v>
      </c>
    </row>
    <row r="1993" spans="1:13" x14ac:dyDescent="0.25">
      <c r="A1993" t="s">
        <v>15</v>
      </c>
      <c r="B1993">
        <v>1900</v>
      </c>
      <c r="C1993">
        <v>5</v>
      </c>
      <c r="D1993" t="s">
        <v>32</v>
      </c>
      <c r="E1993" t="s">
        <v>652</v>
      </c>
      <c r="F1993" t="s">
        <v>1194</v>
      </c>
      <c r="G1993" t="s">
        <v>650</v>
      </c>
      <c r="H1993">
        <v>51</v>
      </c>
      <c r="I1993" t="s">
        <v>647</v>
      </c>
      <c r="J1993">
        <v>9500</v>
      </c>
      <c r="K1993" s="1">
        <v>44366</v>
      </c>
      <c r="L1993">
        <v>2021</v>
      </c>
      <c r="M1993" t="str">
        <f>UPPER(TEXT(_2020_2022[[#This Row],[Data da Venda]],"mmm"))</f>
        <v>JUN</v>
      </c>
    </row>
    <row r="1994" spans="1:13" x14ac:dyDescent="0.25">
      <c r="A1994" t="s">
        <v>9</v>
      </c>
      <c r="B1994">
        <v>1500</v>
      </c>
      <c r="C1994">
        <v>3</v>
      </c>
      <c r="D1994" t="s">
        <v>30</v>
      </c>
      <c r="E1994" t="s">
        <v>645</v>
      </c>
      <c r="F1994" t="s">
        <v>1072</v>
      </c>
      <c r="G1994" t="s">
        <v>643</v>
      </c>
      <c r="H1994">
        <v>66</v>
      </c>
      <c r="I1994" t="s">
        <v>647</v>
      </c>
      <c r="J1994">
        <v>4500</v>
      </c>
      <c r="K1994" s="1">
        <v>44471</v>
      </c>
      <c r="L1994">
        <v>2021</v>
      </c>
      <c r="M1994" t="str">
        <f>UPPER(TEXT(_2020_2022[[#This Row],[Data da Venda]],"mmm"))</f>
        <v>OUT</v>
      </c>
    </row>
    <row r="1995" spans="1:13" x14ac:dyDescent="0.25">
      <c r="A1995" t="s">
        <v>12</v>
      </c>
      <c r="B1995">
        <v>6500</v>
      </c>
      <c r="C1995">
        <v>3</v>
      </c>
      <c r="D1995" t="s">
        <v>34</v>
      </c>
      <c r="E1995" t="s">
        <v>679</v>
      </c>
      <c r="F1995" t="s">
        <v>822</v>
      </c>
      <c r="G1995" t="s">
        <v>643</v>
      </c>
      <c r="H1995">
        <v>54</v>
      </c>
      <c r="I1995" t="s">
        <v>647</v>
      </c>
      <c r="J1995">
        <v>19500</v>
      </c>
      <c r="K1995" s="1">
        <v>44414</v>
      </c>
      <c r="L1995">
        <v>2021</v>
      </c>
      <c r="M1995" t="str">
        <f>UPPER(TEXT(_2020_2022[[#This Row],[Data da Venda]],"mmm"))</f>
        <v>AGO</v>
      </c>
    </row>
    <row r="1996" spans="1:13" x14ac:dyDescent="0.25">
      <c r="A1996" t="s">
        <v>25</v>
      </c>
      <c r="B1996">
        <v>2500</v>
      </c>
      <c r="C1996">
        <v>1</v>
      </c>
      <c r="D1996" t="s">
        <v>31</v>
      </c>
      <c r="E1996" t="s">
        <v>645</v>
      </c>
      <c r="F1996" t="s">
        <v>1075</v>
      </c>
      <c r="G1996" t="s">
        <v>643</v>
      </c>
      <c r="H1996">
        <v>73</v>
      </c>
      <c r="I1996" t="s">
        <v>647</v>
      </c>
      <c r="J1996">
        <v>2500</v>
      </c>
      <c r="K1996" s="1">
        <v>44402</v>
      </c>
      <c r="L1996">
        <v>2021</v>
      </c>
      <c r="M1996" t="str">
        <f>UPPER(TEXT(_2020_2022[[#This Row],[Data da Venda]],"mmm"))</f>
        <v>JUL</v>
      </c>
    </row>
    <row r="1997" spans="1:13" x14ac:dyDescent="0.25">
      <c r="A1997" t="s">
        <v>28</v>
      </c>
      <c r="B1997">
        <v>1400</v>
      </c>
      <c r="C1997">
        <v>4</v>
      </c>
      <c r="D1997" t="s">
        <v>41</v>
      </c>
      <c r="E1997" t="s">
        <v>681</v>
      </c>
      <c r="F1997" t="s">
        <v>1352</v>
      </c>
      <c r="G1997" t="s">
        <v>643</v>
      </c>
      <c r="H1997">
        <v>56</v>
      </c>
      <c r="I1997" t="s">
        <v>647</v>
      </c>
      <c r="J1997">
        <v>5600</v>
      </c>
      <c r="K1997" s="1">
        <v>44257</v>
      </c>
      <c r="L1997">
        <v>2021</v>
      </c>
      <c r="M1997" t="str">
        <f>UPPER(TEXT(_2020_2022[[#This Row],[Data da Venda]],"mmm"))</f>
        <v>MAR</v>
      </c>
    </row>
    <row r="1998" spans="1:13" x14ac:dyDescent="0.25">
      <c r="A1998" t="s">
        <v>1442</v>
      </c>
      <c r="B1998">
        <v>1200</v>
      </c>
      <c r="C1998">
        <v>2</v>
      </c>
      <c r="D1998" t="s">
        <v>40</v>
      </c>
      <c r="E1998" t="s">
        <v>657</v>
      </c>
      <c r="F1998" t="s">
        <v>790</v>
      </c>
      <c r="G1998" t="s">
        <v>650</v>
      </c>
      <c r="H1998">
        <v>36</v>
      </c>
      <c r="I1998" t="s">
        <v>644</v>
      </c>
      <c r="J1998">
        <v>2400</v>
      </c>
      <c r="K1998" s="1">
        <v>44377</v>
      </c>
      <c r="L1998">
        <v>2021</v>
      </c>
      <c r="M1998" t="str">
        <f>UPPER(TEXT(_2020_2022[[#This Row],[Data da Venda]],"mmm"))</f>
        <v>JUN</v>
      </c>
    </row>
    <row r="1999" spans="1:13" x14ac:dyDescent="0.25">
      <c r="A1999" t="s">
        <v>1442</v>
      </c>
      <c r="B1999">
        <v>1200</v>
      </c>
      <c r="C1999">
        <v>3</v>
      </c>
      <c r="D1999" t="s">
        <v>38</v>
      </c>
      <c r="E1999" t="s">
        <v>648</v>
      </c>
      <c r="F1999" t="s">
        <v>1131</v>
      </c>
      <c r="G1999" t="s">
        <v>650</v>
      </c>
      <c r="H1999">
        <v>75</v>
      </c>
      <c r="I1999" t="s">
        <v>647</v>
      </c>
      <c r="J1999">
        <v>3600</v>
      </c>
      <c r="K1999" s="1">
        <v>44268</v>
      </c>
      <c r="L1999">
        <v>2021</v>
      </c>
      <c r="M1999" t="str">
        <f>UPPER(TEXT(_2020_2022[[#This Row],[Data da Venda]],"mmm"))</f>
        <v>MAR</v>
      </c>
    </row>
    <row r="2000" spans="1:13" x14ac:dyDescent="0.25">
      <c r="A2000" t="s">
        <v>11</v>
      </c>
      <c r="B2000">
        <v>4500</v>
      </c>
      <c r="C2000">
        <v>2</v>
      </c>
      <c r="D2000" t="s">
        <v>34</v>
      </c>
      <c r="E2000" t="s">
        <v>679</v>
      </c>
      <c r="F2000" t="s">
        <v>1141</v>
      </c>
      <c r="G2000" t="s">
        <v>643</v>
      </c>
      <c r="H2000">
        <v>43</v>
      </c>
      <c r="I2000" t="s">
        <v>644</v>
      </c>
      <c r="J2000">
        <v>9000</v>
      </c>
      <c r="K2000" s="1">
        <v>44549</v>
      </c>
      <c r="L2000">
        <v>2021</v>
      </c>
      <c r="M2000" t="str">
        <f>UPPER(TEXT(_2020_2022[[#This Row],[Data da Venda]],"mmm"))</f>
        <v>DEZ</v>
      </c>
    </row>
    <row r="2001" spans="1:13" x14ac:dyDescent="0.25">
      <c r="A2001" t="s">
        <v>15</v>
      </c>
      <c r="B2001">
        <v>1900</v>
      </c>
      <c r="C2001">
        <v>5</v>
      </c>
      <c r="D2001" t="s">
        <v>31</v>
      </c>
      <c r="E2001" t="s">
        <v>645</v>
      </c>
      <c r="F2001" t="s">
        <v>695</v>
      </c>
      <c r="G2001" t="s">
        <v>650</v>
      </c>
      <c r="H2001">
        <v>73</v>
      </c>
      <c r="I2001" t="s">
        <v>647</v>
      </c>
      <c r="J2001">
        <v>9500</v>
      </c>
      <c r="K2001" s="1">
        <v>44415</v>
      </c>
      <c r="L2001">
        <v>2021</v>
      </c>
      <c r="M2001" t="str">
        <f>UPPER(TEXT(_2020_2022[[#This Row],[Data da Venda]],"mmm"))</f>
        <v>AGO</v>
      </c>
    </row>
    <row r="2002" spans="1:13" x14ac:dyDescent="0.25">
      <c r="A2002" t="s">
        <v>28</v>
      </c>
      <c r="B2002">
        <v>1400</v>
      </c>
      <c r="C2002">
        <v>2</v>
      </c>
      <c r="D2002" t="s">
        <v>36</v>
      </c>
      <c r="E2002" t="s">
        <v>677</v>
      </c>
      <c r="F2002" t="s">
        <v>1274</v>
      </c>
      <c r="G2002" t="s">
        <v>650</v>
      </c>
      <c r="H2002">
        <v>36</v>
      </c>
      <c r="I2002" t="s">
        <v>644</v>
      </c>
      <c r="J2002">
        <v>2800</v>
      </c>
      <c r="K2002" s="1">
        <v>44383</v>
      </c>
      <c r="L2002">
        <v>2021</v>
      </c>
      <c r="M2002" t="str">
        <f>UPPER(TEXT(_2020_2022[[#This Row],[Data da Venda]],"mmm"))</f>
        <v>JUL</v>
      </c>
    </row>
    <row r="2003" spans="1:13" x14ac:dyDescent="0.25">
      <c r="A2003" t="s">
        <v>1445</v>
      </c>
      <c r="B2003">
        <v>1500</v>
      </c>
      <c r="C2003">
        <v>5</v>
      </c>
      <c r="D2003" t="s">
        <v>35</v>
      </c>
      <c r="E2003" t="s">
        <v>666</v>
      </c>
      <c r="F2003" t="s">
        <v>671</v>
      </c>
      <c r="G2003" t="s">
        <v>643</v>
      </c>
      <c r="H2003">
        <v>63</v>
      </c>
      <c r="I2003" t="s">
        <v>647</v>
      </c>
      <c r="J2003">
        <v>7500</v>
      </c>
      <c r="K2003" s="1">
        <v>44322</v>
      </c>
      <c r="L2003">
        <v>2021</v>
      </c>
      <c r="M2003" t="str">
        <f>UPPER(TEXT(_2020_2022[[#This Row],[Data da Venda]],"mmm"))</f>
        <v>MAI</v>
      </c>
    </row>
    <row r="2004" spans="1:13" x14ac:dyDescent="0.25">
      <c r="A2004" t="s">
        <v>1443</v>
      </c>
      <c r="B2004">
        <v>1550</v>
      </c>
      <c r="C2004">
        <v>2</v>
      </c>
      <c r="D2004" t="s">
        <v>32</v>
      </c>
      <c r="E2004" t="s">
        <v>652</v>
      </c>
      <c r="F2004" t="s">
        <v>849</v>
      </c>
      <c r="G2004" t="s">
        <v>650</v>
      </c>
      <c r="H2004">
        <v>42</v>
      </c>
      <c r="I2004" t="s">
        <v>644</v>
      </c>
      <c r="J2004">
        <v>3100</v>
      </c>
      <c r="K2004" s="1">
        <v>44297</v>
      </c>
      <c r="L2004">
        <v>2021</v>
      </c>
      <c r="M2004" t="str">
        <f>UPPER(TEXT(_2020_2022[[#This Row],[Data da Venda]],"mmm"))</f>
        <v>ABR</v>
      </c>
    </row>
    <row r="2005" spans="1:13" x14ac:dyDescent="0.25">
      <c r="A2005" t="s">
        <v>26</v>
      </c>
      <c r="B2005">
        <v>1100</v>
      </c>
      <c r="C2005">
        <v>3</v>
      </c>
      <c r="D2005" t="s">
        <v>40</v>
      </c>
      <c r="E2005" t="s">
        <v>657</v>
      </c>
      <c r="F2005" t="s">
        <v>1074</v>
      </c>
      <c r="G2005" t="s">
        <v>643</v>
      </c>
      <c r="H2005">
        <v>31</v>
      </c>
      <c r="I2005" t="s">
        <v>644</v>
      </c>
      <c r="J2005">
        <v>3300</v>
      </c>
      <c r="K2005" s="1">
        <v>44262</v>
      </c>
      <c r="L2005">
        <v>2021</v>
      </c>
      <c r="M2005" t="str">
        <f>UPPER(TEXT(_2020_2022[[#This Row],[Data da Venda]],"mmm"))</f>
        <v>MAR</v>
      </c>
    </row>
    <row r="2006" spans="1:13" x14ac:dyDescent="0.25">
      <c r="A2006" t="s">
        <v>16</v>
      </c>
      <c r="B2006">
        <v>1400</v>
      </c>
      <c r="C2006">
        <v>4</v>
      </c>
      <c r="D2006" t="s">
        <v>41</v>
      </c>
      <c r="E2006" t="s">
        <v>681</v>
      </c>
      <c r="F2006" t="s">
        <v>1296</v>
      </c>
      <c r="G2006" t="s">
        <v>643</v>
      </c>
      <c r="H2006">
        <v>70</v>
      </c>
      <c r="I2006" t="s">
        <v>647</v>
      </c>
      <c r="J2006">
        <v>5600</v>
      </c>
      <c r="K2006" s="1">
        <v>44342</v>
      </c>
      <c r="L2006">
        <v>2021</v>
      </c>
      <c r="M2006" t="str">
        <f>UPPER(TEXT(_2020_2022[[#This Row],[Data da Venda]],"mmm"))</f>
        <v>MAI</v>
      </c>
    </row>
    <row r="2007" spans="1:13" x14ac:dyDescent="0.25">
      <c r="A2007" t="s">
        <v>24</v>
      </c>
      <c r="B2007">
        <v>2000</v>
      </c>
      <c r="C2007">
        <v>5</v>
      </c>
      <c r="D2007" t="s">
        <v>29</v>
      </c>
      <c r="E2007" t="s">
        <v>641</v>
      </c>
      <c r="F2007" t="s">
        <v>665</v>
      </c>
      <c r="G2007" t="s">
        <v>650</v>
      </c>
      <c r="H2007">
        <v>34</v>
      </c>
      <c r="I2007" t="s">
        <v>644</v>
      </c>
      <c r="J2007">
        <v>10000</v>
      </c>
      <c r="K2007" s="1">
        <v>44537</v>
      </c>
      <c r="L2007">
        <v>2021</v>
      </c>
      <c r="M2007" t="str">
        <f>UPPER(TEXT(_2020_2022[[#This Row],[Data da Venda]],"mmm"))</f>
        <v>DEZ</v>
      </c>
    </row>
    <row r="2008" spans="1:13" x14ac:dyDescent="0.25">
      <c r="A2008" t="s">
        <v>26</v>
      </c>
      <c r="B2008">
        <v>1100</v>
      </c>
      <c r="C2008">
        <v>4</v>
      </c>
      <c r="D2008" t="s">
        <v>29</v>
      </c>
      <c r="E2008" t="s">
        <v>641</v>
      </c>
      <c r="F2008" t="s">
        <v>969</v>
      </c>
      <c r="G2008" t="s">
        <v>650</v>
      </c>
      <c r="H2008">
        <v>34</v>
      </c>
      <c r="I2008" t="s">
        <v>644</v>
      </c>
      <c r="J2008">
        <v>4400</v>
      </c>
      <c r="K2008" s="1">
        <v>44251</v>
      </c>
      <c r="L2008">
        <v>2021</v>
      </c>
      <c r="M2008" t="str">
        <f>UPPER(TEXT(_2020_2022[[#This Row],[Data da Venda]],"mmm"))</f>
        <v>FEV</v>
      </c>
    </row>
    <row r="2009" spans="1:13" x14ac:dyDescent="0.25">
      <c r="A2009" t="s">
        <v>15</v>
      </c>
      <c r="B2009">
        <v>1900</v>
      </c>
      <c r="C2009">
        <v>2</v>
      </c>
      <c r="D2009" t="s">
        <v>36</v>
      </c>
      <c r="E2009" t="s">
        <v>677</v>
      </c>
      <c r="F2009" t="s">
        <v>865</v>
      </c>
      <c r="G2009" t="s">
        <v>650</v>
      </c>
      <c r="H2009">
        <v>74</v>
      </c>
      <c r="I2009" t="s">
        <v>647</v>
      </c>
      <c r="J2009">
        <v>3800</v>
      </c>
      <c r="K2009" s="1">
        <v>44492</v>
      </c>
      <c r="L2009">
        <v>2021</v>
      </c>
      <c r="M2009" t="str">
        <f>UPPER(TEXT(_2020_2022[[#This Row],[Data da Venda]],"mmm"))</f>
        <v>OUT</v>
      </c>
    </row>
    <row r="2010" spans="1:13" x14ac:dyDescent="0.25">
      <c r="A2010" t="s">
        <v>18</v>
      </c>
      <c r="B2010">
        <v>3000</v>
      </c>
      <c r="C2010">
        <v>2</v>
      </c>
      <c r="D2010" t="s">
        <v>33</v>
      </c>
      <c r="E2010" t="s">
        <v>641</v>
      </c>
      <c r="F2010" t="s">
        <v>851</v>
      </c>
      <c r="G2010" t="s">
        <v>650</v>
      </c>
      <c r="H2010">
        <v>72</v>
      </c>
      <c r="I2010" t="s">
        <v>647</v>
      </c>
      <c r="J2010">
        <v>6000</v>
      </c>
      <c r="K2010" s="1">
        <v>44227</v>
      </c>
      <c r="L2010">
        <v>2021</v>
      </c>
      <c r="M2010" t="str">
        <f>UPPER(TEXT(_2020_2022[[#This Row],[Data da Venda]],"mmm"))</f>
        <v>JAN</v>
      </c>
    </row>
    <row r="2011" spans="1:13" x14ac:dyDescent="0.25">
      <c r="A2011" t="s">
        <v>15</v>
      </c>
      <c r="B2011">
        <v>1900</v>
      </c>
      <c r="C2011">
        <v>5</v>
      </c>
      <c r="D2011" t="s">
        <v>29</v>
      </c>
      <c r="E2011" t="s">
        <v>641</v>
      </c>
      <c r="F2011" t="s">
        <v>1240</v>
      </c>
      <c r="G2011" t="s">
        <v>643</v>
      </c>
      <c r="H2011">
        <v>48</v>
      </c>
      <c r="I2011" t="s">
        <v>644</v>
      </c>
      <c r="J2011">
        <v>9500</v>
      </c>
      <c r="K2011" s="1">
        <v>44426</v>
      </c>
      <c r="L2011">
        <v>2021</v>
      </c>
      <c r="M2011" t="str">
        <f>UPPER(TEXT(_2020_2022[[#This Row],[Data da Venda]],"mmm"))</f>
        <v>AGO</v>
      </c>
    </row>
    <row r="2012" spans="1:13" x14ac:dyDescent="0.25">
      <c r="A2012" t="s">
        <v>1443</v>
      </c>
      <c r="B2012">
        <v>1550</v>
      </c>
      <c r="C2012">
        <v>5</v>
      </c>
      <c r="D2012" t="s">
        <v>36</v>
      </c>
      <c r="E2012" t="s">
        <v>677</v>
      </c>
      <c r="F2012" t="s">
        <v>733</v>
      </c>
      <c r="G2012" t="s">
        <v>643</v>
      </c>
      <c r="H2012">
        <v>75</v>
      </c>
      <c r="I2012" t="s">
        <v>647</v>
      </c>
      <c r="J2012">
        <v>7750</v>
      </c>
      <c r="K2012" s="1">
        <v>44260</v>
      </c>
      <c r="L2012">
        <v>2021</v>
      </c>
      <c r="M2012" t="str">
        <f>UPPER(TEXT(_2020_2022[[#This Row],[Data da Venda]],"mmm"))</f>
        <v>MAR</v>
      </c>
    </row>
    <row r="2013" spans="1:13" x14ac:dyDescent="0.25">
      <c r="A2013" t="s">
        <v>12</v>
      </c>
      <c r="B2013">
        <v>6500</v>
      </c>
      <c r="C2013">
        <v>4</v>
      </c>
      <c r="D2013" t="s">
        <v>36</v>
      </c>
      <c r="E2013" t="s">
        <v>677</v>
      </c>
      <c r="F2013" t="s">
        <v>796</v>
      </c>
      <c r="G2013" t="s">
        <v>643</v>
      </c>
      <c r="H2013">
        <v>33</v>
      </c>
      <c r="I2013" t="s">
        <v>644</v>
      </c>
      <c r="J2013">
        <v>26000</v>
      </c>
      <c r="K2013" s="1">
        <v>44383</v>
      </c>
      <c r="L2013">
        <v>2021</v>
      </c>
      <c r="M2013" t="str">
        <f>UPPER(TEXT(_2020_2022[[#This Row],[Data da Venda]],"mmm"))</f>
        <v>JUL</v>
      </c>
    </row>
    <row r="2014" spans="1:13" x14ac:dyDescent="0.25">
      <c r="A2014" t="s">
        <v>13</v>
      </c>
      <c r="B2014">
        <v>2300</v>
      </c>
      <c r="C2014">
        <v>4</v>
      </c>
      <c r="D2014" t="s">
        <v>32</v>
      </c>
      <c r="E2014" t="s">
        <v>652</v>
      </c>
      <c r="F2014" t="s">
        <v>750</v>
      </c>
      <c r="G2014" t="s">
        <v>650</v>
      </c>
      <c r="H2014">
        <v>43</v>
      </c>
      <c r="I2014" t="s">
        <v>644</v>
      </c>
      <c r="J2014">
        <v>9200</v>
      </c>
      <c r="K2014" s="1">
        <v>44431</v>
      </c>
      <c r="L2014">
        <v>2021</v>
      </c>
      <c r="M2014" t="str">
        <f>UPPER(TEXT(_2020_2022[[#This Row],[Data da Venda]],"mmm"))</f>
        <v>AGO</v>
      </c>
    </row>
    <row r="2015" spans="1:13" x14ac:dyDescent="0.25">
      <c r="A2015" t="s">
        <v>26</v>
      </c>
      <c r="B2015">
        <v>1100</v>
      </c>
      <c r="C2015">
        <v>3</v>
      </c>
      <c r="D2015" t="s">
        <v>34</v>
      </c>
      <c r="E2015" t="s">
        <v>679</v>
      </c>
      <c r="F2015" t="s">
        <v>1205</v>
      </c>
      <c r="G2015" t="s">
        <v>643</v>
      </c>
      <c r="H2015">
        <v>62</v>
      </c>
      <c r="I2015" t="s">
        <v>647</v>
      </c>
      <c r="J2015">
        <v>3300</v>
      </c>
      <c r="K2015" s="1">
        <v>44512</v>
      </c>
      <c r="L2015">
        <v>2021</v>
      </c>
      <c r="M2015" t="str">
        <f>UPPER(TEXT(_2020_2022[[#This Row],[Data da Venda]],"mmm"))</f>
        <v>NOV</v>
      </c>
    </row>
    <row r="2016" spans="1:13" x14ac:dyDescent="0.25">
      <c r="A2016" t="s">
        <v>14</v>
      </c>
      <c r="B2016">
        <v>2000</v>
      </c>
      <c r="C2016">
        <v>2</v>
      </c>
      <c r="D2016" t="s">
        <v>29</v>
      </c>
      <c r="E2016" t="s">
        <v>641</v>
      </c>
      <c r="F2016" t="s">
        <v>699</v>
      </c>
      <c r="G2016" t="s">
        <v>650</v>
      </c>
      <c r="H2016">
        <v>29</v>
      </c>
      <c r="I2016" t="s">
        <v>651</v>
      </c>
      <c r="J2016">
        <v>4000</v>
      </c>
      <c r="K2016" s="1">
        <v>44315</v>
      </c>
      <c r="L2016">
        <v>2021</v>
      </c>
      <c r="M2016" t="str">
        <f>UPPER(TEXT(_2020_2022[[#This Row],[Data da Venda]],"mmm"))</f>
        <v>ABR</v>
      </c>
    </row>
    <row r="2017" spans="1:13" x14ac:dyDescent="0.25">
      <c r="A2017" t="s">
        <v>13</v>
      </c>
      <c r="B2017">
        <v>2300</v>
      </c>
      <c r="C2017">
        <v>4</v>
      </c>
      <c r="D2017" t="s">
        <v>30</v>
      </c>
      <c r="E2017" t="s">
        <v>645</v>
      </c>
      <c r="F2017" t="s">
        <v>736</v>
      </c>
      <c r="G2017" t="s">
        <v>643</v>
      </c>
      <c r="H2017">
        <v>37</v>
      </c>
      <c r="I2017" t="s">
        <v>644</v>
      </c>
      <c r="J2017">
        <v>9200</v>
      </c>
      <c r="K2017" s="1">
        <v>44328</v>
      </c>
      <c r="L2017">
        <v>2021</v>
      </c>
      <c r="M2017" t="str">
        <f>UPPER(TEXT(_2020_2022[[#This Row],[Data da Venda]],"mmm"))</f>
        <v>MAI</v>
      </c>
    </row>
    <row r="2018" spans="1:13" x14ac:dyDescent="0.25">
      <c r="A2018" t="s">
        <v>11</v>
      </c>
      <c r="B2018">
        <v>4500</v>
      </c>
      <c r="C2018">
        <v>5</v>
      </c>
      <c r="D2018" t="s">
        <v>34</v>
      </c>
      <c r="E2018" t="s">
        <v>679</v>
      </c>
      <c r="F2018" t="s">
        <v>1370</v>
      </c>
      <c r="G2018" t="s">
        <v>643</v>
      </c>
      <c r="H2018">
        <v>62</v>
      </c>
      <c r="I2018" t="s">
        <v>647</v>
      </c>
      <c r="J2018">
        <v>22500</v>
      </c>
      <c r="K2018" s="1">
        <v>44458</v>
      </c>
      <c r="L2018">
        <v>2021</v>
      </c>
      <c r="M2018" t="str">
        <f>UPPER(TEXT(_2020_2022[[#This Row],[Data da Venda]],"mmm"))</f>
        <v>SET</v>
      </c>
    </row>
    <row r="2019" spans="1:13" x14ac:dyDescent="0.25">
      <c r="A2019" t="s">
        <v>11</v>
      </c>
      <c r="B2019">
        <v>4500</v>
      </c>
      <c r="C2019">
        <v>4</v>
      </c>
      <c r="D2019" t="s">
        <v>37</v>
      </c>
      <c r="E2019" t="s">
        <v>645</v>
      </c>
      <c r="F2019" t="s">
        <v>1298</v>
      </c>
      <c r="G2019" t="s">
        <v>643</v>
      </c>
      <c r="H2019">
        <v>61</v>
      </c>
      <c r="I2019" t="s">
        <v>647</v>
      </c>
      <c r="J2019">
        <v>18000</v>
      </c>
      <c r="K2019" s="1">
        <v>44339</v>
      </c>
      <c r="L2019">
        <v>2021</v>
      </c>
      <c r="M2019" t="str">
        <f>UPPER(TEXT(_2020_2022[[#This Row],[Data da Venda]],"mmm"))</f>
        <v>MAI</v>
      </c>
    </row>
    <row r="2020" spans="1:13" x14ac:dyDescent="0.25">
      <c r="A2020" t="s">
        <v>1443</v>
      </c>
      <c r="B2020">
        <v>1550</v>
      </c>
      <c r="C2020">
        <v>2</v>
      </c>
      <c r="D2020" t="s">
        <v>29</v>
      </c>
      <c r="E2020" t="s">
        <v>641</v>
      </c>
      <c r="F2020" t="s">
        <v>1329</v>
      </c>
      <c r="G2020" t="s">
        <v>643</v>
      </c>
      <c r="H2020">
        <v>30</v>
      </c>
      <c r="I2020" t="s">
        <v>644</v>
      </c>
      <c r="J2020">
        <v>3100</v>
      </c>
      <c r="K2020" s="1">
        <v>44427</v>
      </c>
      <c r="L2020">
        <v>2021</v>
      </c>
      <c r="M2020" t="str">
        <f>UPPER(TEXT(_2020_2022[[#This Row],[Data da Venda]],"mmm"))</f>
        <v>AGO</v>
      </c>
    </row>
    <row r="2021" spans="1:13" x14ac:dyDescent="0.25">
      <c r="A2021" t="s">
        <v>16</v>
      </c>
      <c r="B2021">
        <v>1400</v>
      </c>
      <c r="C2021">
        <v>1</v>
      </c>
      <c r="D2021" t="s">
        <v>29</v>
      </c>
      <c r="E2021" t="s">
        <v>641</v>
      </c>
      <c r="F2021" t="s">
        <v>1093</v>
      </c>
      <c r="G2021" t="s">
        <v>650</v>
      </c>
      <c r="H2021">
        <v>50</v>
      </c>
      <c r="I2021" t="s">
        <v>644</v>
      </c>
      <c r="J2021">
        <v>1400</v>
      </c>
      <c r="K2021" s="1">
        <v>44265</v>
      </c>
      <c r="L2021">
        <v>2021</v>
      </c>
      <c r="M2021" t="str">
        <f>UPPER(TEXT(_2020_2022[[#This Row],[Data da Venda]],"mmm"))</f>
        <v>MAR</v>
      </c>
    </row>
    <row r="2022" spans="1:13" x14ac:dyDescent="0.25">
      <c r="A2022" t="s">
        <v>18</v>
      </c>
      <c r="B2022">
        <v>3000</v>
      </c>
      <c r="C2022">
        <v>2</v>
      </c>
      <c r="D2022" t="s">
        <v>41</v>
      </c>
      <c r="E2022" t="s">
        <v>681</v>
      </c>
      <c r="F2022" t="s">
        <v>689</v>
      </c>
      <c r="G2022" t="s">
        <v>643</v>
      </c>
      <c r="H2022">
        <v>36</v>
      </c>
      <c r="I2022" t="s">
        <v>644</v>
      </c>
      <c r="J2022">
        <v>6000</v>
      </c>
      <c r="K2022" s="1">
        <v>44318</v>
      </c>
      <c r="L2022">
        <v>2021</v>
      </c>
      <c r="M2022" t="str">
        <f>UPPER(TEXT(_2020_2022[[#This Row],[Data da Venda]],"mmm"))</f>
        <v>MAI</v>
      </c>
    </row>
    <row r="2023" spans="1:13" x14ac:dyDescent="0.25">
      <c r="A2023" t="s">
        <v>28</v>
      </c>
      <c r="B2023">
        <v>1400</v>
      </c>
      <c r="C2023">
        <v>5</v>
      </c>
      <c r="D2023" t="s">
        <v>35</v>
      </c>
      <c r="E2023" t="s">
        <v>666</v>
      </c>
      <c r="F2023" t="s">
        <v>779</v>
      </c>
      <c r="G2023" t="s">
        <v>650</v>
      </c>
      <c r="H2023">
        <v>32</v>
      </c>
      <c r="I2023" t="s">
        <v>644</v>
      </c>
      <c r="J2023">
        <v>7000</v>
      </c>
      <c r="K2023" s="1">
        <v>44381</v>
      </c>
      <c r="L2023">
        <v>2021</v>
      </c>
      <c r="M2023" t="str">
        <f>UPPER(TEXT(_2020_2022[[#This Row],[Data da Venda]],"mmm"))</f>
        <v>JUL</v>
      </c>
    </row>
    <row r="2024" spans="1:13" x14ac:dyDescent="0.25">
      <c r="A2024" t="s">
        <v>9</v>
      </c>
      <c r="B2024">
        <v>1500</v>
      </c>
      <c r="C2024">
        <v>3</v>
      </c>
      <c r="D2024" t="s">
        <v>39</v>
      </c>
      <c r="E2024" t="s">
        <v>641</v>
      </c>
      <c r="F2024" t="s">
        <v>874</v>
      </c>
      <c r="G2024" t="s">
        <v>643</v>
      </c>
      <c r="H2024">
        <v>40</v>
      </c>
      <c r="I2024" t="s">
        <v>644</v>
      </c>
      <c r="J2024">
        <v>4500</v>
      </c>
      <c r="K2024" s="1">
        <v>44319</v>
      </c>
      <c r="L2024">
        <v>2021</v>
      </c>
      <c r="M2024" t="str">
        <f>UPPER(TEXT(_2020_2022[[#This Row],[Data da Venda]],"mmm"))</f>
        <v>MAI</v>
      </c>
    </row>
    <row r="2025" spans="1:13" x14ac:dyDescent="0.25">
      <c r="A2025" t="s">
        <v>1444</v>
      </c>
      <c r="B2025">
        <v>1500</v>
      </c>
      <c r="C2025">
        <v>4</v>
      </c>
      <c r="D2025" t="s">
        <v>37</v>
      </c>
      <c r="E2025" t="s">
        <v>645</v>
      </c>
      <c r="F2025" t="s">
        <v>792</v>
      </c>
      <c r="G2025" t="s">
        <v>643</v>
      </c>
      <c r="H2025">
        <v>48</v>
      </c>
      <c r="I2025" t="s">
        <v>644</v>
      </c>
      <c r="J2025">
        <v>6000</v>
      </c>
      <c r="K2025" s="1">
        <v>44351</v>
      </c>
      <c r="L2025">
        <v>2021</v>
      </c>
      <c r="M2025" t="str">
        <f>UPPER(TEXT(_2020_2022[[#This Row],[Data da Venda]],"mmm"))</f>
        <v>JUN</v>
      </c>
    </row>
    <row r="2026" spans="1:13" x14ac:dyDescent="0.25">
      <c r="A2026" t="s">
        <v>20</v>
      </c>
      <c r="B2026">
        <v>2600</v>
      </c>
      <c r="C2026">
        <v>5</v>
      </c>
      <c r="D2026" t="s">
        <v>32</v>
      </c>
      <c r="E2026" t="s">
        <v>652</v>
      </c>
      <c r="F2026" t="s">
        <v>745</v>
      </c>
      <c r="G2026" t="s">
        <v>650</v>
      </c>
      <c r="H2026">
        <v>64</v>
      </c>
      <c r="I2026" t="s">
        <v>647</v>
      </c>
      <c r="J2026">
        <v>13000</v>
      </c>
      <c r="K2026" s="1">
        <v>44551</v>
      </c>
      <c r="L2026">
        <v>2021</v>
      </c>
      <c r="M2026" t="str">
        <f>UPPER(TEXT(_2020_2022[[#This Row],[Data da Venda]],"mmm"))</f>
        <v>DEZ</v>
      </c>
    </row>
    <row r="2027" spans="1:13" x14ac:dyDescent="0.25">
      <c r="A2027" t="s">
        <v>26</v>
      </c>
      <c r="B2027">
        <v>1100</v>
      </c>
      <c r="C2027">
        <v>3</v>
      </c>
      <c r="D2027" t="s">
        <v>40</v>
      </c>
      <c r="E2027" t="s">
        <v>657</v>
      </c>
      <c r="F2027" t="s">
        <v>770</v>
      </c>
      <c r="G2027" t="s">
        <v>643</v>
      </c>
      <c r="H2027">
        <v>31</v>
      </c>
      <c r="I2027" t="s">
        <v>644</v>
      </c>
      <c r="J2027">
        <v>3300</v>
      </c>
      <c r="K2027" s="1">
        <v>44256</v>
      </c>
      <c r="L2027">
        <v>2021</v>
      </c>
      <c r="M2027" t="str">
        <f>UPPER(TEXT(_2020_2022[[#This Row],[Data da Venda]],"mmm"))</f>
        <v>MAR</v>
      </c>
    </row>
    <row r="2028" spans="1:13" x14ac:dyDescent="0.25">
      <c r="A2028" t="s">
        <v>9</v>
      </c>
      <c r="B2028">
        <v>1500</v>
      </c>
      <c r="C2028">
        <v>2</v>
      </c>
      <c r="D2028" t="s">
        <v>30</v>
      </c>
      <c r="E2028" t="s">
        <v>645</v>
      </c>
      <c r="F2028" t="s">
        <v>1000</v>
      </c>
      <c r="G2028" t="s">
        <v>650</v>
      </c>
      <c r="H2028">
        <v>42</v>
      </c>
      <c r="I2028" t="s">
        <v>644</v>
      </c>
      <c r="J2028">
        <v>3000</v>
      </c>
      <c r="K2028" s="1">
        <v>44311</v>
      </c>
      <c r="L2028">
        <v>2021</v>
      </c>
      <c r="M2028" t="str">
        <f>UPPER(TEXT(_2020_2022[[#This Row],[Data da Venda]],"mmm"))</f>
        <v>ABR</v>
      </c>
    </row>
    <row r="2029" spans="1:13" x14ac:dyDescent="0.25">
      <c r="A2029" t="s">
        <v>20</v>
      </c>
      <c r="B2029">
        <v>2600</v>
      </c>
      <c r="C2029">
        <v>2</v>
      </c>
      <c r="D2029" t="s">
        <v>35</v>
      </c>
      <c r="E2029" t="s">
        <v>666</v>
      </c>
      <c r="F2029" t="s">
        <v>1134</v>
      </c>
      <c r="G2029" t="s">
        <v>650</v>
      </c>
      <c r="H2029">
        <v>68</v>
      </c>
      <c r="I2029" t="s">
        <v>647</v>
      </c>
      <c r="J2029">
        <v>5200</v>
      </c>
      <c r="K2029" s="1">
        <v>44340</v>
      </c>
      <c r="L2029">
        <v>2021</v>
      </c>
      <c r="M2029" t="str">
        <f>UPPER(TEXT(_2020_2022[[#This Row],[Data da Venda]],"mmm"))</f>
        <v>MAI</v>
      </c>
    </row>
    <row r="2030" spans="1:13" x14ac:dyDescent="0.25">
      <c r="A2030" t="s">
        <v>5</v>
      </c>
      <c r="B2030">
        <v>1750</v>
      </c>
      <c r="C2030">
        <v>5</v>
      </c>
      <c r="D2030" t="s">
        <v>40</v>
      </c>
      <c r="E2030" t="s">
        <v>657</v>
      </c>
      <c r="F2030" t="s">
        <v>1150</v>
      </c>
      <c r="G2030" t="s">
        <v>643</v>
      </c>
      <c r="H2030">
        <v>25</v>
      </c>
      <c r="I2030" t="s">
        <v>651</v>
      </c>
      <c r="J2030">
        <v>8750</v>
      </c>
      <c r="K2030" s="1">
        <v>44458</v>
      </c>
      <c r="L2030">
        <v>2021</v>
      </c>
      <c r="M2030" t="str">
        <f>UPPER(TEXT(_2020_2022[[#This Row],[Data da Venda]],"mmm"))</f>
        <v>SET</v>
      </c>
    </row>
    <row r="2031" spans="1:13" x14ac:dyDescent="0.25">
      <c r="A2031" t="s">
        <v>11</v>
      </c>
      <c r="B2031">
        <v>4500</v>
      </c>
      <c r="C2031">
        <v>5</v>
      </c>
      <c r="D2031" t="s">
        <v>29</v>
      </c>
      <c r="E2031" t="s">
        <v>641</v>
      </c>
      <c r="F2031" t="s">
        <v>795</v>
      </c>
      <c r="G2031" t="s">
        <v>643</v>
      </c>
      <c r="H2031">
        <v>67</v>
      </c>
      <c r="I2031" t="s">
        <v>647</v>
      </c>
      <c r="J2031">
        <v>22500</v>
      </c>
      <c r="K2031" s="1">
        <v>44525</v>
      </c>
      <c r="L2031">
        <v>2021</v>
      </c>
      <c r="M2031" t="str">
        <f>UPPER(TEXT(_2020_2022[[#This Row],[Data da Venda]],"mmm"))</f>
        <v>NOV</v>
      </c>
    </row>
    <row r="2032" spans="1:13" x14ac:dyDescent="0.25">
      <c r="A2032" t="s">
        <v>15</v>
      </c>
      <c r="B2032">
        <v>1900</v>
      </c>
      <c r="C2032">
        <v>1</v>
      </c>
      <c r="D2032" t="s">
        <v>29</v>
      </c>
      <c r="E2032" t="s">
        <v>641</v>
      </c>
      <c r="F2032" t="s">
        <v>928</v>
      </c>
      <c r="G2032" t="s">
        <v>650</v>
      </c>
      <c r="H2032">
        <v>73</v>
      </c>
      <c r="I2032" t="s">
        <v>647</v>
      </c>
      <c r="J2032">
        <v>1900</v>
      </c>
      <c r="K2032" s="1">
        <v>44248</v>
      </c>
      <c r="L2032">
        <v>2021</v>
      </c>
      <c r="M2032" t="str">
        <f>UPPER(TEXT(_2020_2022[[#This Row],[Data da Venda]],"mmm"))</f>
        <v>FEV</v>
      </c>
    </row>
    <row r="2033" spans="1:13" x14ac:dyDescent="0.25">
      <c r="A2033" t="s">
        <v>14</v>
      </c>
      <c r="B2033">
        <v>2000</v>
      </c>
      <c r="C2033">
        <v>1</v>
      </c>
      <c r="D2033" t="s">
        <v>29</v>
      </c>
      <c r="E2033" t="s">
        <v>641</v>
      </c>
      <c r="F2033" t="s">
        <v>1174</v>
      </c>
      <c r="G2033" t="s">
        <v>650</v>
      </c>
      <c r="H2033">
        <v>40</v>
      </c>
      <c r="I2033" t="s">
        <v>644</v>
      </c>
      <c r="J2033">
        <v>2000</v>
      </c>
      <c r="K2033" s="1">
        <v>44458</v>
      </c>
      <c r="L2033">
        <v>2021</v>
      </c>
      <c r="M2033" t="str">
        <f>UPPER(TEXT(_2020_2022[[#This Row],[Data da Venda]],"mmm"))</f>
        <v>SET</v>
      </c>
    </row>
    <row r="2034" spans="1:13" x14ac:dyDescent="0.25">
      <c r="A2034" t="s">
        <v>18</v>
      </c>
      <c r="B2034">
        <v>3000</v>
      </c>
      <c r="C2034">
        <v>2</v>
      </c>
      <c r="D2034" t="s">
        <v>34</v>
      </c>
      <c r="E2034" t="s">
        <v>679</v>
      </c>
      <c r="F2034" t="s">
        <v>774</v>
      </c>
      <c r="G2034" t="s">
        <v>643</v>
      </c>
      <c r="H2034">
        <v>45</v>
      </c>
      <c r="I2034" t="s">
        <v>644</v>
      </c>
      <c r="J2034">
        <v>6000</v>
      </c>
      <c r="K2034" s="1">
        <v>44322</v>
      </c>
      <c r="L2034">
        <v>2021</v>
      </c>
      <c r="M2034" t="str">
        <f>UPPER(TEXT(_2020_2022[[#This Row],[Data da Venda]],"mmm"))</f>
        <v>MAI</v>
      </c>
    </row>
    <row r="2035" spans="1:13" x14ac:dyDescent="0.25">
      <c r="A2035" t="s">
        <v>7</v>
      </c>
      <c r="B2035">
        <v>750</v>
      </c>
      <c r="C2035">
        <v>3</v>
      </c>
      <c r="D2035" t="s">
        <v>36</v>
      </c>
      <c r="E2035" t="s">
        <v>677</v>
      </c>
      <c r="F2035" t="s">
        <v>943</v>
      </c>
      <c r="G2035" t="s">
        <v>650</v>
      </c>
      <c r="H2035">
        <v>55</v>
      </c>
      <c r="I2035" t="s">
        <v>647</v>
      </c>
      <c r="J2035">
        <v>2250</v>
      </c>
      <c r="K2035" s="1">
        <v>44521</v>
      </c>
      <c r="L2035">
        <v>2021</v>
      </c>
      <c r="M2035" t="str">
        <f>UPPER(TEXT(_2020_2022[[#This Row],[Data da Venda]],"mmm"))</f>
        <v>NOV</v>
      </c>
    </row>
    <row r="2036" spans="1:13" x14ac:dyDescent="0.25">
      <c r="A2036" t="s">
        <v>7</v>
      </c>
      <c r="B2036">
        <v>750</v>
      </c>
      <c r="C2036">
        <v>4</v>
      </c>
      <c r="D2036" t="s">
        <v>39</v>
      </c>
      <c r="E2036" t="s">
        <v>641</v>
      </c>
      <c r="F2036" t="s">
        <v>1310</v>
      </c>
      <c r="G2036" t="s">
        <v>643</v>
      </c>
      <c r="H2036">
        <v>31</v>
      </c>
      <c r="I2036" t="s">
        <v>644</v>
      </c>
      <c r="J2036">
        <v>3000</v>
      </c>
      <c r="K2036" s="1">
        <v>44561</v>
      </c>
      <c r="L2036">
        <v>2021</v>
      </c>
      <c r="M2036" t="str">
        <f>UPPER(TEXT(_2020_2022[[#This Row],[Data da Venda]],"mmm"))</f>
        <v>DEZ</v>
      </c>
    </row>
    <row r="2037" spans="1:13" x14ac:dyDescent="0.25">
      <c r="A2037" t="s">
        <v>7</v>
      </c>
      <c r="B2037">
        <v>750</v>
      </c>
      <c r="C2037">
        <v>4</v>
      </c>
      <c r="D2037" t="s">
        <v>30</v>
      </c>
      <c r="E2037" t="s">
        <v>645</v>
      </c>
      <c r="F2037" t="s">
        <v>1371</v>
      </c>
      <c r="G2037" t="s">
        <v>643</v>
      </c>
      <c r="H2037">
        <v>32</v>
      </c>
      <c r="I2037" t="s">
        <v>644</v>
      </c>
      <c r="J2037">
        <v>3000</v>
      </c>
      <c r="K2037" s="1">
        <v>44205</v>
      </c>
      <c r="L2037">
        <v>2021</v>
      </c>
      <c r="M2037" t="str">
        <f>UPPER(TEXT(_2020_2022[[#This Row],[Data da Venda]],"mmm"))</f>
        <v>JAN</v>
      </c>
    </row>
    <row r="2038" spans="1:13" x14ac:dyDescent="0.25">
      <c r="A2038" t="s">
        <v>18</v>
      </c>
      <c r="B2038">
        <v>3000</v>
      </c>
      <c r="C2038">
        <v>3</v>
      </c>
      <c r="D2038" t="s">
        <v>36</v>
      </c>
      <c r="E2038" t="s">
        <v>677</v>
      </c>
      <c r="F2038" t="s">
        <v>1105</v>
      </c>
      <c r="G2038" t="s">
        <v>650</v>
      </c>
      <c r="H2038">
        <v>31</v>
      </c>
      <c r="I2038" t="s">
        <v>644</v>
      </c>
      <c r="J2038">
        <v>9000</v>
      </c>
      <c r="K2038" s="1">
        <v>44203</v>
      </c>
      <c r="L2038">
        <v>2021</v>
      </c>
      <c r="M2038" t="str">
        <f>UPPER(TEXT(_2020_2022[[#This Row],[Data da Venda]],"mmm"))</f>
        <v>JAN</v>
      </c>
    </row>
    <row r="2039" spans="1:13" x14ac:dyDescent="0.25">
      <c r="A2039" t="s">
        <v>22</v>
      </c>
      <c r="B2039">
        <v>5200</v>
      </c>
      <c r="C2039">
        <v>1</v>
      </c>
      <c r="D2039" t="s">
        <v>29</v>
      </c>
      <c r="E2039" t="s">
        <v>641</v>
      </c>
      <c r="F2039" t="s">
        <v>1120</v>
      </c>
      <c r="G2039" t="s">
        <v>650</v>
      </c>
      <c r="H2039">
        <v>56</v>
      </c>
      <c r="I2039" t="s">
        <v>647</v>
      </c>
      <c r="J2039">
        <v>5200</v>
      </c>
      <c r="K2039" s="1">
        <v>44366</v>
      </c>
      <c r="L2039">
        <v>2021</v>
      </c>
      <c r="M2039" t="str">
        <f>UPPER(TEXT(_2020_2022[[#This Row],[Data da Venda]],"mmm"))</f>
        <v>JUN</v>
      </c>
    </row>
    <row r="2040" spans="1:13" x14ac:dyDescent="0.25">
      <c r="A2040" t="s">
        <v>15</v>
      </c>
      <c r="B2040">
        <v>1900</v>
      </c>
      <c r="C2040">
        <v>2</v>
      </c>
      <c r="D2040" t="s">
        <v>33</v>
      </c>
      <c r="E2040" t="s">
        <v>641</v>
      </c>
      <c r="F2040" t="s">
        <v>788</v>
      </c>
      <c r="G2040" t="s">
        <v>643</v>
      </c>
      <c r="H2040">
        <v>49</v>
      </c>
      <c r="I2040" t="s">
        <v>644</v>
      </c>
      <c r="J2040">
        <v>3800</v>
      </c>
      <c r="K2040" s="1">
        <v>44213</v>
      </c>
      <c r="L2040">
        <v>2021</v>
      </c>
      <c r="M2040" t="str">
        <f>UPPER(TEXT(_2020_2022[[#This Row],[Data da Venda]],"mmm"))</f>
        <v>JAN</v>
      </c>
    </row>
    <row r="2041" spans="1:13" x14ac:dyDescent="0.25">
      <c r="A2041" t="s">
        <v>28</v>
      </c>
      <c r="B2041">
        <v>1400</v>
      </c>
      <c r="C2041">
        <v>5</v>
      </c>
      <c r="D2041" t="s">
        <v>39</v>
      </c>
      <c r="E2041" t="s">
        <v>641</v>
      </c>
      <c r="F2041" t="s">
        <v>1231</v>
      </c>
      <c r="G2041" t="s">
        <v>643</v>
      </c>
      <c r="H2041">
        <v>41</v>
      </c>
      <c r="I2041" t="s">
        <v>644</v>
      </c>
      <c r="J2041">
        <v>7000</v>
      </c>
      <c r="K2041" s="1">
        <v>44336</v>
      </c>
      <c r="L2041">
        <v>2021</v>
      </c>
      <c r="M2041" t="str">
        <f>UPPER(TEXT(_2020_2022[[#This Row],[Data da Venda]],"mmm"))</f>
        <v>MAI</v>
      </c>
    </row>
    <row r="2042" spans="1:13" x14ac:dyDescent="0.25">
      <c r="A2042" t="s">
        <v>24</v>
      </c>
      <c r="B2042">
        <v>2000</v>
      </c>
      <c r="C2042">
        <v>2</v>
      </c>
      <c r="D2042" t="s">
        <v>38</v>
      </c>
      <c r="E2042" t="s">
        <v>648</v>
      </c>
      <c r="F2042" t="s">
        <v>958</v>
      </c>
      <c r="G2042" t="s">
        <v>650</v>
      </c>
      <c r="H2042">
        <v>41</v>
      </c>
      <c r="I2042" t="s">
        <v>644</v>
      </c>
      <c r="J2042">
        <v>4000</v>
      </c>
      <c r="K2042" s="1">
        <v>44212</v>
      </c>
      <c r="L2042">
        <v>2021</v>
      </c>
      <c r="M2042" t="str">
        <f>UPPER(TEXT(_2020_2022[[#This Row],[Data da Venda]],"mmm"))</f>
        <v>JAN</v>
      </c>
    </row>
    <row r="2043" spans="1:13" x14ac:dyDescent="0.25">
      <c r="A2043" t="s">
        <v>18</v>
      </c>
      <c r="B2043">
        <v>3000</v>
      </c>
      <c r="C2043">
        <v>1</v>
      </c>
      <c r="D2043" t="s">
        <v>29</v>
      </c>
      <c r="E2043" t="s">
        <v>641</v>
      </c>
      <c r="F2043" t="s">
        <v>950</v>
      </c>
      <c r="G2043" t="s">
        <v>650</v>
      </c>
      <c r="H2043">
        <v>48</v>
      </c>
      <c r="I2043" t="s">
        <v>644</v>
      </c>
      <c r="J2043">
        <v>3000</v>
      </c>
      <c r="K2043" s="1">
        <v>44532</v>
      </c>
      <c r="L2043">
        <v>2021</v>
      </c>
      <c r="M2043" t="str">
        <f>UPPER(TEXT(_2020_2022[[#This Row],[Data da Venda]],"mmm"))</f>
        <v>DEZ</v>
      </c>
    </row>
    <row r="2044" spans="1:13" x14ac:dyDescent="0.25">
      <c r="A2044" t="s">
        <v>12</v>
      </c>
      <c r="B2044">
        <v>6500</v>
      </c>
      <c r="C2044">
        <v>1</v>
      </c>
      <c r="D2044" t="s">
        <v>30</v>
      </c>
      <c r="E2044" t="s">
        <v>645</v>
      </c>
      <c r="F2044" t="s">
        <v>1372</v>
      </c>
      <c r="G2044" t="s">
        <v>643</v>
      </c>
      <c r="H2044">
        <v>30</v>
      </c>
      <c r="I2044" t="s">
        <v>644</v>
      </c>
      <c r="J2044">
        <v>6500</v>
      </c>
      <c r="K2044" s="1">
        <v>44257</v>
      </c>
      <c r="L2044">
        <v>2021</v>
      </c>
      <c r="M2044" t="str">
        <f>UPPER(TEXT(_2020_2022[[#This Row],[Data da Venda]],"mmm"))</f>
        <v>MAR</v>
      </c>
    </row>
    <row r="2045" spans="1:13" x14ac:dyDescent="0.25">
      <c r="A2045" t="s">
        <v>15</v>
      </c>
      <c r="B2045">
        <v>1900</v>
      </c>
      <c r="C2045">
        <v>3</v>
      </c>
      <c r="D2045" t="s">
        <v>40</v>
      </c>
      <c r="E2045" t="s">
        <v>657</v>
      </c>
      <c r="F2045" t="s">
        <v>876</v>
      </c>
      <c r="G2045" t="s">
        <v>650</v>
      </c>
      <c r="H2045">
        <v>28</v>
      </c>
      <c r="I2045" t="s">
        <v>651</v>
      </c>
      <c r="J2045">
        <v>5700</v>
      </c>
      <c r="K2045" s="1">
        <v>44296</v>
      </c>
      <c r="L2045">
        <v>2021</v>
      </c>
      <c r="M2045" t="str">
        <f>UPPER(TEXT(_2020_2022[[#This Row],[Data da Venda]],"mmm"))</f>
        <v>ABR</v>
      </c>
    </row>
    <row r="2046" spans="1:13" x14ac:dyDescent="0.25">
      <c r="A2046" t="s">
        <v>22</v>
      </c>
      <c r="B2046">
        <v>5200</v>
      </c>
      <c r="C2046">
        <v>4</v>
      </c>
      <c r="D2046" t="s">
        <v>34</v>
      </c>
      <c r="E2046" t="s">
        <v>679</v>
      </c>
      <c r="F2046" t="s">
        <v>1227</v>
      </c>
      <c r="G2046" t="s">
        <v>650</v>
      </c>
      <c r="H2046">
        <v>39</v>
      </c>
      <c r="I2046" t="s">
        <v>644</v>
      </c>
      <c r="J2046">
        <v>20800</v>
      </c>
      <c r="K2046" s="1">
        <v>44519</v>
      </c>
      <c r="L2046">
        <v>2021</v>
      </c>
      <c r="M2046" t="str">
        <f>UPPER(TEXT(_2020_2022[[#This Row],[Data da Venda]],"mmm"))</f>
        <v>NOV</v>
      </c>
    </row>
    <row r="2047" spans="1:13" x14ac:dyDescent="0.25">
      <c r="A2047" t="s">
        <v>7</v>
      </c>
      <c r="B2047">
        <v>750</v>
      </c>
      <c r="C2047">
        <v>1</v>
      </c>
      <c r="D2047" t="s">
        <v>36</v>
      </c>
      <c r="E2047" t="s">
        <v>677</v>
      </c>
      <c r="F2047" t="s">
        <v>1094</v>
      </c>
      <c r="G2047" t="s">
        <v>650</v>
      </c>
      <c r="H2047">
        <v>26</v>
      </c>
      <c r="I2047" t="s">
        <v>651</v>
      </c>
      <c r="J2047">
        <v>750</v>
      </c>
      <c r="K2047" s="1">
        <v>44477</v>
      </c>
      <c r="L2047">
        <v>2021</v>
      </c>
      <c r="M2047" t="str">
        <f>UPPER(TEXT(_2020_2022[[#This Row],[Data da Venda]],"mmm"))</f>
        <v>OUT</v>
      </c>
    </row>
    <row r="2048" spans="1:13" x14ac:dyDescent="0.25">
      <c r="A2048" t="s">
        <v>1441</v>
      </c>
      <c r="B2048">
        <v>1450</v>
      </c>
      <c r="C2048">
        <v>1</v>
      </c>
      <c r="D2048" t="s">
        <v>30</v>
      </c>
      <c r="E2048" t="s">
        <v>645</v>
      </c>
      <c r="F2048" t="s">
        <v>1373</v>
      </c>
      <c r="G2048" t="s">
        <v>643</v>
      </c>
      <c r="H2048">
        <v>66</v>
      </c>
      <c r="I2048" t="s">
        <v>647</v>
      </c>
      <c r="J2048">
        <v>1450</v>
      </c>
      <c r="K2048" s="1">
        <v>44493</v>
      </c>
      <c r="L2048">
        <v>2021</v>
      </c>
      <c r="M2048" t="str">
        <f>UPPER(TEXT(_2020_2022[[#This Row],[Data da Venda]],"mmm"))</f>
        <v>OUT</v>
      </c>
    </row>
    <row r="2049" spans="1:13" x14ac:dyDescent="0.25">
      <c r="A2049" t="s">
        <v>9</v>
      </c>
      <c r="B2049">
        <v>1500</v>
      </c>
      <c r="C2049">
        <v>5</v>
      </c>
      <c r="D2049" t="s">
        <v>41</v>
      </c>
      <c r="E2049" t="s">
        <v>681</v>
      </c>
      <c r="F2049" t="s">
        <v>1196</v>
      </c>
      <c r="G2049" t="s">
        <v>643</v>
      </c>
      <c r="H2049">
        <v>64</v>
      </c>
      <c r="I2049" t="s">
        <v>647</v>
      </c>
      <c r="J2049">
        <v>7500</v>
      </c>
      <c r="K2049" s="1">
        <v>44431</v>
      </c>
      <c r="L2049">
        <v>2021</v>
      </c>
      <c r="M2049" t="str">
        <f>UPPER(TEXT(_2020_2022[[#This Row],[Data da Venda]],"mmm"))</f>
        <v>AGO</v>
      </c>
    </row>
    <row r="2050" spans="1:13" x14ac:dyDescent="0.25">
      <c r="A2050" t="s">
        <v>22</v>
      </c>
      <c r="B2050">
        <v>5200</v>
      </c>
      <c r="C2050">
        <v>1</v>
      </c>
      <c r="D2050" t="s">
        <v>30</v>
      </c>
      <c r="E2050" t="s">
        <v>645</v>
      </c>
      <c r="F2050" t="s">
        <v>1178</v>
      </c>
      <c r="G2050" t="s">
        <v>650</v>
      </c>
      <c r="H2050">
        <v>36</v>
      </c>
      <c r="I2050" t="s">
        <v>644</v>
      </c>
      <c r="J2050">
        <v>5200</v>
      </c>
      <c r="K2050" s="1">
        <v>44321</v>
      </c>
      <c r="L2050">
        <v>2021</v>
      </c>
      <c r="M2050" t="str">
        <f>UPPER(TEXT(_2020_2022[[#This Row],[Data da Venda]],"mmm"))</f>
        <v>MAI</v>
      </c>
    </row>
    <row r="2051" spans="1:13" x14ac:dyDescent="0.25">
      <c r="A2051" t="s">
        <v>1443</v>
      </c>
      <c r="B2051">
        <v>1550</v>
      </c>
      <c r="C2051">
        <v>5</v>
      </c>
      <c r="D2051" t="s">
        <v>37</v>
      </c>
      <c r="E2051" t="s">
        <v>645</v>
      </c>
      <c r="F2051" t="s">
        <v>1043</v>
      </c>
      <c r="G2051" t="s">
        <v>650</v>
      </c>
      <c r="H2051">
        <v>43</v>
      </c>
      <c r="I2051" t="s">
        <v>644</v>
      </c>
      <c r="J2051">
        <v>7750</v>
      </c>
      <c r="K2051" s="1">
        <v>44484</v>
      </c>
      <c r="L2051">
        <v>2021</v>
      </c>
      <c r="M2051" t="str">
        <f>UPPER(TEXT(_2020_2022[[#This Row],[Data da Venda]],"mmm"))</f>
        <v>OUT</v>
      </c>
    </row>
    <row r="2052" spans="1:13" x14ac:dyDescent="0.25">
      <c r="A2052" t="s">
        <v>16</v>
      </c>
      <c r="B2052">
        <v>1400</v>
      </c>
      <c r="C2052">
        <v>4</v>
      </c>
      <c r="D2052" t="s">
        <v>40</v>
      </c>
      <c r="E2052" t="s">
        <v>657</v>
      </c>
      <c r="F2052" t="s">
        <v>1340</v>
      </c>
      <c r="G2052" t="s">
        <v>650</v>
      </c>
      <c r="H2052">
        <v>53</v>
      </c>
      <c r="I2052" t="s">
        <v>647</v>
      </c>
      <c r="J2052">
        <v>5600</v>
      </c>
      <c r="K2052" s="1">
        <v>44468</v>
      </c>
      <c r="L2052">
        <v>2021</v>
      </c>
      <c r="M2052" t="str">
        <f>UPPER(TEXT(_2020_2022[[#This Row],[Data da Venda]],"mmm"))</f>
        <v>SET</v>
      </c>
    </row>
    <row r="2053" spans="1:13" x14ac:dyDescent="0.25">
      <c r="A2053" t="s">
        <v>15</v>
      </c>
      <c r="B2053">
        <v>1900</v>
      </c>
      <c r="C2053">
        <v>5</v>
      </c>
      <c r="D2053" t="s">
        <v>29</v>
      </c>
      <c r="E2053" t="s">
        <v>641</v>
      </c>
      <c r="F2053" t="s">
        <v>1320</v>
      </c>
      <c r="G2053" t="s">
        <v>643</v>
      </c>
      <c r="H2053">
        <v>41</v>
      </c>
      <c r="I2053" t="s">
        <v>644</v>
      </c>
      <c r="J2053">
        <v>9500</v>
      </c>
      <c r="K2053" s="1">
        <v>44420</v>
      </c>
      <c r="L2053">
        <v>2021</v>
      </c>
      <c r="M2053" t="str">
        <f>UPPER(TEXT(_2020_2022[[#This Row],[Data da Venda]],"mmm"))</f>
        <v>AGO</v>
      </c>
    </row>
    <row r="2054" spans="1:13" x14ac:dyDescent="0.25">
      <c r="A2054" t="s">
        <v>14</v>
      </c>
      <c r="B2054">
        <v>2000</v>
      </c>
      <c r="C2054">
        <v>3</v>
      </c>
      <c r="D2054" t="s">
        <v>31</v>
      </c>
      <c r="E2054" t="s">
        <v>645</v>
      </c>
      <c r="F2054" t="s">
        <v>1075</v>
      </c>
      <c r="G2054" t="s">
        <v>643</v>
      </c>
      <c r="H2054">
        <v>73</v>
      </c>
      <c r="I2054" t="s">
        <v>647</v>
      </c>
      <c r="J2054">
        <v>6000</v>
      </c>
      <c r="K2054" s="1">
        <v>44551</v>
      </c>
      <c r="L2054">
        <v>2021</v>
      </c>
      <c r="M2054" t="str">
        <f>UPPER(TEXT(_2020_2022[[#This Row],[Data da Venda]],"mmm"))</f>
        <v>DEZ</v>
      </c>
    </row>
    <row r="2055" spans="1:13" x14ac:dyDescent="0.25">
      <c r="A2055" t="s">
        <v>18</v>
      </c>
      <c r="B2055">
        <v>3000</v>
      </c>
      <c r="C2055">
        <v>2</v>
      </c>
      <c r="D2055" t="s">
        <v>37</v>
      </c>
      <c r="E2055" t="s">
        <v>645</v>
      </c>
      <c r="F2055" t="s">
        <v>971</v>
      </c>
      <c r="G2055" t="s">
        <v>643</v>
      </c>
      <c r="H2055">
        <v>43</v>
      </c>
      <c r="I2055" t="s">
        <v>644</v>
      </c>
      <c r="J2055">
        <v>6000</v>
      </c>
      <c r="K2055" s="1">
        <v>44537</v>
      </c>
      <c r="L2055">
        <v>2021</v>
      </c>
      <c r="M2055" t="str">
        <f>UPPER(TEXT(_2020_2022[[#This Row],[Data da Venda]],"mmm"))</f>
        <v>DEZ</v>
      </c>
    </row>
    <row r="2056" spans="1:13" x14ac:dyDescent="0.25">
      <c r="A2056" t="s">
        <v>1443</v>
      </c>
      <c r="B2056">
        <v>1550</v>
      </c>
      <c r="C2056">
        <v>1</v>
      </c>
      <c r="D2056" t="s">
        <v>39</v>
      </c>
      <c r="E2056" t="s">
        <v>641</v>
      </c>
      <c r="F2056" t="s">
        <v>1374</v>
      </c>
      <c r="G2056" t="s">
        <v>643</v>
      </c>
      <c r="H2056">
        <v>43</v>
      </c>
      <c r="I2056" t="s">
        <v>644</v>
      </c>
      <c r="J2056">
        <v>1550</v>
      </c>
      <c r="K2056" s="1">
        <v>44464</v>
      </c>
      <c r="L2056">
        <v>2021</v>
      </c>
      <c r="M2056" t="str">
        <f>UPPER(TEXT(_2020_2022[[#This Row],[Data da Venda]],"mmm"))</f>
        <v>SET</v>
      </c>
    </row>
    <row r="2057" spans="1:13" x14ac:dyDescent="0.25">
      <c r="A2057" t="s">
        <v>11</v>
      </c>
      <c r="B2057">
        <v>4500</v>
      </c>
      <c r="C2057">
        <v>1</v>
      </c>
      <c r="D2057" t="s">
        <v>37</v>
      </c>
      <c r="E2057" t="s">
        <v>645</v>
      </c>
      <c r="F2057" t="s">
        <v>1269</v>
      </c>
      <c r="G2057" t="s">
        <v>643</v>
      </c>
      <c r="H2057">
        <v>59</v>
      </c>
      <c r="I2057" t="s">
        <v>647</v>
      </c>
      <c r="J2057">
        <v>4500</v>
      </c>
      <c r="K2057" s="1">
        <v>44348</v>
      </c>
      <c r="L2057">
        <v>2021</v>
      </c>
      <c r="M2057" t="str">
        <f>UPPER(TEXT(_2020_2022[[#This Row],[Data da Venda]],"mmm"))</f>
        <v>JUN</v>
      </c>
    </row>
    <row r="2058" spans="1:13" x14ac:dyDescent="0.25">
      <c r="A2058" t="s">
        <v>21</v>
      </c>
      <c r="B2058">
        <v>2400</v>
      </c>
      <c r="C2058">
        <v>1</v>
      </c>
      <c r="D2058" t="s">
        <v>31</v>
      </c>
      <c r="E2058" t="s">
        <v>645</v>
      </c>
      <c r="F2058" t="s">
        <v>1206</v>
      </c>
      <c r="G2058" t="s">
        <v>643</v>
      </c>
      <c r="H2058">
        <v>41</v>
      </c>
      <c r="I2058" t="s">
        <v>644</v>
      </c>
      <c r="J2058">
        <v>2400</v>
      </c>
      <c r="K2058" s="1">
        <v>44303</v>
      </c>
      <c r="L2058">
        <v>2021</v>
      </c>
      <c r="M2058" t="str">
        <f>UPPER(TEXT(_2020_2022[[#This Row],[Data da Venda]],"mmm"))</f>
        <v>ABR</v>
      </c>
    </row>
    <row r="2059" spans="1:13" x14ac:dyDescent="0.25">
      <c r="A2059" t="s">
        <v>14</v>
      </c>
      <c r="B2059">
        <v>2000</v>
      </c>
      <c r="C2059">
        <v>1</v>
      </c>
      <c r="D2059" t="s">
        <v>31</v>
      </c>
      <c r="E2059" t="s">
        <v>645</v>
      </c>
      <c r="F2059" t="s">
        <v>1045</v>
      </c>
      <c r="G2059" t="s">
        <v>650</v>
      </c>
      <c r="H2059">
        <v>28</v>
      </c>
      <c r="I2059" t="s">
        <v>651</v>
      </c>
      <c r="J2059">
        <v>2000</v>
      </c>
      <c r="K2059" s="1">
        <v>44223</v>
      </c>
      <c r="L2059">
        <v>2021</v>
      </c>
      <c r="M2059" t="str">
        <f>UPPER(TEXT(_2020_2022[[#This Row],[Data da Venda]],"mmm"))</f>
        <v>JAN</v>
      </c>
    </row>
    <row r="2060" spans="1:13" x14ac:dyDescent="0.25">
      <c r="A2060" t="s">
        <v>8</v>
      </c>
      <c r="B2060">
        <v>5500</v>
      </c>
      <c r="C2060">
        <v>4</v>
      </c>
      <c r="D2060" t="s">
        <v>29</v>
      </c>
      <c r="E2060" t="s">
        <v>641</v>
      </c>
      <c r="F2060" t="s">
        <v>1273</v>
      </c>
      <c r="G2060" t="s">
        <v>643</v>
      </c>
      <c r="H2060">
        <v>74</v>
      </c>
      <c r="I2060" t="s">
        <v>647</v>
      </c>
      <c r="J2060">
        <v>22000</v>
      </c>
      <c r="K2060" s="1">
        <v>44280</v>
      </c>
      <c r="L2060">
        <v>2021</v>
      </c>
      <c r="M2060" t="str">
        <f>UPPER(TEXT(_2020_2022[[#This Row],[Data da Venda]],"mmm"))</f>
        <v>MAR</v>
      </c>
    </row>
    <row r="2061" spans="1:13" x14ac:dyDescent="0.25">
      <c r="A2061" t="s">
        <v>28</v>
      </c>
      <c r="B2061">
        <v>1400</v>
      </c>
      <c r="C2061">
        <v>2</v>
      </c>
      <c r="D2061" t="s">
        <v>35</v>
      </c>
      <c r="E2061" t="s">
        <v>666</v>
      </c>
      <c r="F2061" t="s">
        <v>721</v>
      </c>
      <c r="G2061" t="s">
        <v>650</v>
      </c>
      <c r="H2061">
        <v>38</v>
      </c>
      <c r="I2061" t="s">
        <v>644</v>
      </c>
      <c r="J2061">
        <v>2800</v>
      </c>
      <c r="K2061" s="1">
        <v>44410</v>
      </c>
      <c r="L2061">
        <v>2021</v>
      </c>
      <c r="M2061" t="str">
        <f>UPPER(TEXT(_2020_2022[[#This Row],[Data da Venda]],"mmm"))</f>
        <v>AGO</v>
      </c>
    </row>
    <row r="2062" spans="1:13" x14ac:dyDescent="0.25">
      <c r="A2062" t="s">
        <v>1445</v>
      </c>
      <c r="B2062">
        <v>1500</v>
      </c>
      <c r="C2062">
        <v>2</v>
      </c>
      <c r="D2062" t="s">
        <v>38</v>
      </c>
      <c r="E2062" t="s">
        <v>648</v>
      </c>
      <c r="F2062" t="s">
        <v>769</v>
      </c>
      <c r="G2062" t="s">
        <v>643</v>
      </c>
      <c r="H2062">
        <v>28</v>
      </c>
      <c r="I2062" t="s">
        <v>651</v>
      </c>
      <c r="J2062">
        <v>3000</v>
      </c>
      <c r="K2062" s="1">
        <v>44455</v>
      </c>
      <c r="L2062">
        <v>2021</v>
      </c>
      <c r="M2062" t="str">
        <f>UPPER(TEXT(_2020_2022[[#This Row],[Data da Venda]],"mmm"))</f>
        <v>SET</v>
      </c>
    </row>
    <row r="2063" spans="1:13" x14ac:dyDescent="0.25">
      <c r="A2063" t="s">
        <v>20</v>
      </c>
      <c r="B2063">
        <v>2600</v>
      </c>
      <c r="C2063">
        <v>1</v>
      </c>
      <c r="D2063" t="s">
        <v>29</v>
      </c>
      <c r="E2063" t="s">
        <v>641</v>
      </c>
      <c r="F2063" t="s">
        <v>1338</v>
      </c>
      <c r="G2063" t="s">
        <v>643</v>
      </c>
      <c r="H2063">
        <v>35</v>
      </c>
      <c r="I2063" t="s">
        <v>644</v>
      </c>
      <c r="J2063">
        <v>2600</v>
      </c>
      <c r="K2063" s="1">
        <v>44502</v>
      </c>
      <c r="L2063">
        <v>2021</v>
      </c>
      <c r="M2063" t="str">
        <f>UPPER(TEXT(_2020_2022[[#This Row],[Data da Venda]],"mmm"))</f>
        <v>NOV</v>
      </c>
    </row>
    <row r="2064" spans="1:13" x14ac:dyDescent="0.25">
      <c r="A2064" t="s">
        <v>20</v>
      </c>
      <c r="B2064">
        <v>2600</v>
      </c>
      <c r="C2064">
        <v>1</v>
      </c>
      <c r="D2064" t="s">
        <v>34</v>
      </c>
      <c r="E2064" t="s">
        <v>679</v>
      </c>
      <c r="F2064" t="s">
        <v>822</v>
      </c>
      <c r="G2064" t="s">
        <v>643</v>
      </c>
      <c r="H2064">
        <v>54</v>
      </c>
      <c r="I2064" t="s">
        <v>647</v>
      </c>
      <c r="J2064">
        <v>2600</v>
      </c>
      <c r="K2064" s="1">
        <v>44299</v>
      </c>
      <c r="L2064">
        <v>2021</v>
      </c>
      <c r="M2064" t="str">
        <f>UPPER(TEXT(_2020_2022[[#This Row],[Data da Venda]],"mmm"))</f>
        <v>ABR</v>
      </c>
    </row>
    <row r="2065" spans="1:13" x14ac:dyDescent="0.25">
      <c r="A2065" t="s">
        <v>1444</v>
      </c>
      <c r="B2065">
        <v>1500</v>
      </c>
      <c r="C2065">
        <v>2</v>
      </c>
      <c r="D2065" t="s">
        <v>38</v>
      </c>
      <c r="E2065" t="s">
        <v>648</v>
      </c>
      <c r="F2065" t="s">
        <v>1017</v>
      </c>
      <c r="G2065" t="s">
        <v>643</v>
      </c>
      <c r="H2065">
        <v>58</v>
      </c>
      <c r="I2065" t="s">
        <v>647</v>
      </c>
      <c r="J2065">
        <v>3000</v>
      </c>
      <c r="K2065" s="1">
        <v>44203</v>
      </c>
      <c r="L2065">
        <v>2021</v>
      </c>
      <c r="M2065" t="str">
        <f>UPPER(TEXT(_2020_2022[[#This Row],[Data da Venda]],"mmm"))</f>
        <v>JAN</v>
      </c>
    </row>
    <row r="2066" spans="1:13" x14ac:dyDescent="0.25">
      <c r="A2066" t="s">
        <v>1442</v>
      </c>
      <c r="B2066">
        <v>1200</v>
      </c>
      <c r="C2066">
        <v>5</v>
      </c>
      <c r="D2066" t="s">
        <v>33</v>
      </c>
      <c r="E2066" t="s">
        <v>641</v>
      </c>
      <c r="F2066" t="s">
        <v>907</v>
      </c>
      <c r="G2066" t="s">
        <v>650</v>
      </c>
      <c r="H2066">
        <v>31</v>
      </c>
      <c r="I2066" t="s">
        <v>644</v>
      </c>
      <c r="J2066">
        <v>6000</v>
      </c>
      <c r="K2066" s="1">
        <v>44364</v>
      </c>
      <c r="L2066">
        <v>2021</v>
      </c>
      <c r="M2066" t="str">
        <f>UPPER(TEXT(_2020_2022[[#This Row],[Data da Venda]],"mmm"))</f>
        <v>JUN</v>
      </c>
    </row>
    <row r="2067" spans="1:13" x14ac:dyDescent="0.25">
      <c r="A2067" t="s">
        <v>25</v>
      </c>
      <c r="B2067">
        <v>2500</v>
      </c>
      <c r="C2067">
        <v>1</v>
      </c>
      <c r="D2067" t="s">
        <v>31</v>
      </c>
      <c r="E2067" t="s">
        <v>645</v>
      </c>
      <c r="F2067" t="s">
        <v>791</v>
      </c>
      <c r="G2067" t="s">
        <v>643</v>
      </c>
      <c r="H2067">
        <v>73</v>
      </c>
      <c r="I2067" t="s">
        <v>647</v>
      </c>
      <c r="J2067">
        <v>2500</v>
      </c>
      <c r="K2067" s="1">
        <v>44260</v>
      </c>
      <c r="L2067">
        <v>2021</v>
      </c>
      <c r="M2067" t="str">
        <f>UPPER(TEXT(_2020_2022[[#This Row],[Data da Venda]],"mmm"))</f>
        <v>MAR</v>
      </c>
    </row>
    <row r="2068" spans="1:13" x14ac:dyDescent="0.25">
      <c r="A2068" t="s">
        <v>1441</v>
      </c>
      <c r="B2068">
        <v>1450</v>
      </c>
      <c r="C2068">
        <v>5</v>
      </c>
      <c r="D2068" t="s">
        <v>30</v>
      </c>
      <c r="E2068" t="s">
        <v>645</v>
      </c>
      <c r="F2068" t="s">
        <v>921</v>
      </c>
      <c r="G2068" t="s">
        <v>643</v>
      </c>
      <c r="H2068">
        <v>49</v>
      </c>
      <c r="I2068" t="s">
        <v>644</v>
      </c>
      <c r="J2068">
        <v>7250</v>
      </c>
      <c r="K2068" s="1">
        <v>44417</v>
      </c>
      <c r="L2068">
        <v>2021</v>
      </c>
      <c r="M2068" t="str">
        <f>UPPER(TEXT(_2020_2022[[#This Row],[Data da Venda]],"mmm"))</f>
        <v>AGO</v>
      </c>
    </row>
    <row r="2069" spans="1:13" x14ac:dyDescent="0.25">
      <c r="A2069" t="s">
        <v>25</v>
      </c>
      <c r="B2069">
        <v>2500</v>
      </c>
      <c r="C2069">
        <v>1</v>
      </c>
      <c r="D2069" t="s">
        <v>32</v>
      </c>
      <c r="E2069" t="s">
        <v>652</v>
      </c>
      <c r="F2069" t="s">
        <v>897</v>
      </c>
      <c r="G2069" t="s">
        <v>643</v>
      </c>
      <c r="H2069">
        <v>39</v>
      </c>
      <c r="I2069" t="s">
        <v>644</v>
      </c>
      <c r="J2069">
        <v>2500</v>
      </c>
      <c r="K2069" s="1">
        <v>44517</v>
      </c>
      <c r="L2069">
        <v>2021</v>
      </c>
      <c r="M2069" t="str">
        <f>UPPER(TEXT(_2020_2022[[#This Row],[Data da Venda]],"mmm"))</f>
        <v>NOV</v>
      </c>
    </row>
    <row r="2070" spans="1:13" x14ac:dyDescent="0.25">
      <c r="A2070" t="s">
        <v>13</v>
      </c>
      <c r="B2070">
        <v>2300</v>
      </c>
      <c r="C2070">
        <v>4</v>
      </c>
      <c r="D2070" t="s">
        <v>29</v>
      </c>
      <c r="E2070" t="s">
        <v>641</v>
      </c>
      <c r="F2070" t="s">
        <v>1126</v>
      </c>
      <c r="G2070" t="s">
        <v>643</v>
      </c>
      <c r="H2070">
        <v>33</v>
      </c>
      <c r="I2070" t="s">
        <v>644</v>
      </c>
      <c r="J2070">
        <v>9200</v>
      </c>
      <c r="K2070" s="1">
        <v>44264</v>
      </c>
      <c r="L2070">
        <v>2021</v>
      </c>
      <c r="M2070" t="str">
        <f>UPPER(TEXT(_2020_2022[[#This Row],[Data da Venda]],"mmm"))</f>
        <v>MAR</v>
      </c>
    </row>
    <row r="2071" spans="1:13" x14ac:dyDescent="0.25">
      <c r="A2071" t="s">
        <v>1441</v>
      </c>
      <c r="B2071">
        <v>1450</v>
      </c>
      <c r="C2071">
        <v>2</v>
      </c>
      <c r="D2071" t="s">
        <v>36</v>
      </c>
      <c r="E2071" t="s">
        <v>677</v>
      </c>
      <c r="F2071" t="s">
        <v>964</v>
      </c>
      <c r="G2071" t="s">
        <v>650</v>
      </c>
      <c r="H2071">
        <v>35</v>
      </c>
      <c r="I2071" t="s">
        <v>644</v>
      </c>
      <c r="J2071">
        <v>2900</v>
      </c>
      <c r="K2071" s="1">
        <v>44287</v>
      </c>
      <c r="L2071">
        <v>2021</v>
      </c>
      <c r="M2071" t="str">
        <f>UPPER(TEXT(_2020_2022[[#This Row],[Data da Venda]],"mmm"))</f>
        <v>ABR</v>
      </c>
    </row>
    <row r="2072" spans="1:13" x14ac:dyDescent="0.25">
      <c r="A2072" t="s">
        <v>1442</v>
      </c>
      <c r="B2072">
        <v>1200</v>
      </c>
      <c r="C2072">
        <v>1</v>
      </c>
      <c r="D2072" t="s">
        <v>39</v>
      </c>
      <c r="E2072" t="s">
        <v>641</v>
      </c>
      <c r="F2072" t="s">
        <v>1310</v>
      </c>
      <c r="G2072" t="s">
        <v>643</v>
      </c>
      <c r="H2072">
        <v>31</v>
      </c>
      <c r="I2072" t="s">
        <v>644</v>
      </c>
      <c r="J2072">
        <v>1200</v>
      </c>
      <c r="K2072" s="1">
        <v>44359</v>
      </c>
      <c r="L2072">
        <v>2021</v>
      </c>
      <c r="M2072" t="str">
        <f>UPPER(TEXT(_2020_2022[[#This Row],[Data da Venda]],"mmm"))</f>
        <v>JUN</v>
      </c>
    </row>
    <row r="2073" spans="1:13" x14ac:dyDescent="0.25">
      <c r="A2073" t="s">
        <v>11</v>
      </c>
      <c r="B2073">
        <v>4500</v>
      </c>
      <c r="C2073">
        <v>1</v>
      </c>
      <c r="D2073" t="s">
        <v>33</v>
      </c>
      <c r="E2073" t="s">
        <v>641</v>
      </c>
      <c r="F2073" t="s">
        <v>863</v>
      </c>
      <c r="G2073" t="s">
        <v>643</v>
      </c>
      <c r="H2073">
        <v>48</v>
      </c>
      <c r="I2073" t="s">
        <v>644</v>
      </c>
      <c r="J2073">
        <v>4500</v>
      </c>
      <c r="K2073" s="1">
        <v>44475</v>
      </c>
      <c r="L2073">
        <v>2021</v>
      </c>
      <c r="M2073" t="str">
        <f>UPPER(TEXT(_2020_2022[[#This Row],[Data da Venda]],"mmm"))</f>
        <v>OUT</v>
      </c>
    </row>
    <row r="2074" spans="1:13" x14ac:dyDescent="0.25">
      <c r="A2074" t="s">
        <v>1444</v>
      </c>
      <c r="B2074">
        <v>1500</v>
      </c>
      <c r="C2074">
        <v>4</v>
      </c>
      <c r="D2074" t="s">
        <v>33</v>
      </c>
      <c r="E2074" t="s">
        <v>641</v>
      </c>
      <c r="F2074" t="s">
        <v>802</v>
      </c>
      <c r="G2074" t="s">
        <v>650</v>
      </c>
      <c r="H2074">
        <v>31</v>
      </c>
      <c r="I2074" t="s">
        <v>644</v>
      </c>
      <c r="J2074">
        <v>6000</v>
      </c>
      <c r="K2074" s="1">
        <v>44214</v>
      </c>
      <c r="L2074">
        <v>2021</v>
      </c>
      <c r="M2074" t="str">
        <f>UPPER(TEXT(_2020_2022[[#This Row],[Data da Venda]],"mmm"))</f>
        <v>JAN</v>
      </c>
    </row>
    <row r="2075" spans="1:13" x14ac:dyDescent="0.25">
      <c r="A2075" t="s">
        <v>20</v>
      </c>
      <c r="B2075">
        <v>2600</v>
      </c>
      <c r="C2075">
        <v>5</v>
      </c>
      <c r="D2075" t="s">
        <v>36</v>
      </c>
      <c r="E2075" t="s">
        <v>677</v>
      </c>
      <c r="F2075" t="s">
        <v>976</v>
      </c>
      <c r="G2075" t="s">
        <v>643</v>
      </c>
      <c r="H2075">
        <v>34</v>
      </c>
      <c r="I2075" t="s">
        <v>644</v>
      </c>
      <c r="J2075">
        <v>13000</v>
      </c>
      <c r="K2075" s="1">
        <v>44350</v>
      </c>
      <c r="L2075">
        <v>2021</v>
      </c>
      <c r="M2075" t="str">
        <f>UPPER(TEXT(_2020_2022[[#This Row],[Data da Venda]],"mmm"))</f>
        <v>JUN</v>
      </c>
    </row>
    <row r="2076" spans="1:13" x14ac:dyDescent="0.25">
      <c r="A2076" t="s">
        <v>1443</v>
      </c>
      <c r="B2076">
        <v>1550</v>
      </c>
      <c r="C2076">
        <v>2</v>
      </c>
      <c r="D2076" t="s">
        <v>29</v>
      </c>
      <c r="E2076" t="s">
        <v>641</v>
      </c>
      <c r="F2076" t="s">
        <v>1375</v>
      </c>
      <c r="G2076" t="s">
        <v>650</v>
      </c>
      <c r="H2076">
        <v>70</v>
      </c>
      <c r="I2076" t="s">
        <v>647</v>
      </c>
      <c r="J2076">
        <v>3100</v>
      </c>
      <c r="K2076" s="1">
        <v>44294</v>
      </c>
      <c r="L2076">
        <v>2021</v>
      </c>
      <c r="M2076" t="str">
        <f>UPPER(TEXT(_2020_2022[[#This Row],[Data da Venda]],"mmm"))</f>
        <v>ABR</v>
      </c>
    </row>
    <row r="2077" spans="1:13" x14ac:dyDescent="0.25">
      <c r="A2077" t="s">
        <v>1443</v>
      </c>
      <c r="B2077">
        <v>1550</v>
      </c>
      <c r="C2077">
        <v>1</v>
      </c>
      <c r="D2077" t="s">
        <v>30</v>
      </c>
      <c r="E2077" t="s">
        <v>645</v>
      </c>
      <c r="F2077" t="s">
        <v>1323</v>
      </c>
      <c r="G2077" t="s">
        <v>643</v>
      </c>
      <c r="H2077">
        <v>36</v>
      </c>
      <c r="I2077" t="s">
        <v>644</v>
      </c>
      <c r="J2077">
        <v>1550</v>
      </c>
      <c r="K2077" s="1">
        <v>44363</v>
      </c>
      <c r="L2077">
        <v>2021</v>
      </c>
      <c r="M2077" t="str">
        <f>UPPER(TEXT(_2020_2022[[#This Row],[Data da Venda]],"mmm"))</f>
        <v>JUN</v>
      </c>
    </row>
    <row r="2078" spans="1:13" x14ac:dyDescent="0.25">
      <c r="A2078" t="s">
        <v>18</v>
      </c>
      <c r="B2078">
        <v>3000</v>
      </c>
      <c r="C2078">
        <v>2</v>
      </c>
      <c r="D2078" t="s">
        <v>33</v>
      </c>
      <c r="E2078" t="s">
        <v>641</v>
      </c>
      <c r="F2078" t="s">
        <v>783</v>
      </c>
      <c r="G2078" t="s">
        <v>650</v>
      </c>
      <c r="H2078">
        <v>66</v>
      </c>
      <c r="I2078" t="s">
        <v>647</v>
      </c>
      <c r="J2078">
        <v>6000</v>
      </c>
      <c r="K2078" s="1">
        <v>44211</v>
      </c>
      <c r="L2078">
        <v>2021</v>
      </c>
      <c r="M2078" t="str">
        <f>UPPER(TEXT(_2020_2022[[#This Row],[Data da Venda]],"mmm"))</f>
        <v>JAN</v>
      </c>
    </row>
    <row r="2079" spans="1:13" x14ac:dyDescent="0.25">
      <c r="A2079" t="s">
        <v>11</v>
      </c>
      <c r="B2079">
        <v>4500</v>
      </c>
      <c r="C2079">
        <v>5</v>
      </c>
      <c r="D2079" t="s">
        <v>29</v>
      </c>
      <c r="E2079" t="s">
        <v>641</v>
      </c>
      <c r="F2079" t="s">
        <v>1242</v>
      </c>
      <c r="G2079" t="s">
        <v>643</v>
      </c>
      <c r="H2079">
        <v>52</v>
      </c>
      <c r="I2079" t="s">
        <v>647</v>
      </c>
      <c r="J2079">
        <v>22500</v>
      </c>
      <c r="K2079" s="1">
        <v>44257</v>
      </c>
      <c r="L2079">
        <v>2021</v>
      </c>
      <c r="M2079" t="str">
        <f>UPPER(TEXT(_2020_2022[[#This Row],[Data da Venda]],"mmm"))</f>
        <v>MAR</v>
      </c>
    </row>
    <row r="2080" spans="1:13" x14ac:dyDescent="0.25">
      <c r="A2080" t="s">
        <v>1442</v>
      </c>
      <c r="B2080">
        <v>1200</v>
      </c>
      <c r="C2080">
        <v>2</v>
      </c>
      <c r="D2080" t="s">
        <v>29</v>
      </c>
      <c r="E2080" t="s">
        <v>641</v>
      </c>
      <c r="F2080" t="s">
        <v>928</v>
      </c>
      <c r="G2080" t="s">
        <v>650</v>
      </c>
      <c r="H2080">
        <v>73</v>
      </c>
      <c r="I2080" t="s">
        <v>647</v>
      </c>
      <c r="J2080">
        <v>2400</v>
      </c>
      <c r="K2080" s="1">
        <v>44431</v>
      </c>
      <c r="L2080">
        <v>2021</v>
      </c>
      <c r="M2080" t="str">
        <f>UPPER(TEXT(_2020_2022[[#This Row],[Data da Venda]],"mmm"))</f>
        <v>AGO</v>
      </c>
    </row>
    <row r="2081" spans="1:13" x14ac:dyDescent="0.25">
      <c r="A2081" t="s">
        <v>8</v>
      </c>
      <c r="B2081">
        <v>5500</v>
      </c>
      <c r="C2081">
        <v>1</v>
      </c>
      <c r="D2081" t="s">
        <v>34</v>
      </c>
      <c r="E2081" t="s">
        <v>679</v>
      </c>
      <c r="F2081" t="s">
        <v>1376</v>
      </c>
      <c r="G2081" t="s">
        <v>643</v>
      </c>
      <c r="H2081">
        <v>68</v>
      </c>
      <c r="I2081" t="s">
        <v>647</v>
      </c>
      <c r="J2081">
        <v>5500</v>
      </c>
      <c r="K2081" s="1">
        <v>44245</v>
      </c>
      <c r="L2081">
        <v>2021</v>
      </c>
      <c r="M2081" t="str">
        <f>UPPER(TEXT(_2020_2022[[#This Row],[Data da Venda]],"mmm"))</f>
        <v>FEV</v>
      </c>
    </row>
    <row r="2082" spans="1:13" x14ac:dyDescent="0.25">
      <c r="A2082" t="s">
        <v>28</v>
      </c>
      <c r="B2082">
        <v>1400</v>
      </c>
      <c r="C2082">
        <v>2</v>
      </c>
      <c r="D2082" t="s">
        <v>29</v>
      </c>
      <c r="E2082" t="s">
        <v>641</v>
      </c>
      <c r="F2082" t="s">
        <v>813</v>
      </c>
      <c r="G2082" t="s">
        <v>650</v>
      </c>
      <c r="H2082">
        <v>40</v>
      </c>
      <c r="I2082" t="s">
        <v>644</v>
      </c>
      <c r="J2082">
        <v>2800</v>
      </c>
      <c r="K2082" s="1">
        <v>44520</v>
      </c>
      <c r="L2082">
        <v>2021</v>
      </c>
      <c r="M2082" t="str">
        <f>UPPER(TEXT(_2020_2022[[#This Row],[Data da Venda]],"mmm"))</f>
        <v>NOV</v>
      </c>
    </row>
    <row r="2083" spans="1:13" x14ac:dyDescent="0.25">
      <c r="A2083" t="s">
        <v>1444</v>
      </c>
      <c r="B2083">
        <v>1500</v>
      </c>
      <c r="C2083">
        <v>1</v>
      </c>
      <c r="D2083" t="s">
        <v>34</v>
      </c>
      <c r="E2083" t="s">
        <v>679</v>
      </c>
      <c r="F2083" t="s">
        <v>1096</v>
      </c>
      <c r="G2083" t="s">
        <v>643</v>
      </c>
      <c r="H2083">
        <v>26</v>
      </c>
      <c r="I2083" t="s">
        <v>651</v>
      </c>
      <c r="J2083">
        <v>1500</v>
      </c>
      <c r="K2083" s="1">
        <v>44451</v>
      </c>
      <c r="L2083">
        <v>2021</v>
      </c>
      <c r="M2083" t="str">
        <f>UPPER(TEXT(_2020_2022[[#This Row],[Data da Venda]],"mmm"))</f>
        <v>SET</v>
      </c>
    </row>
    <row r="2084" spans="1:13" x14ac:dyDescent="0.25">
      <c r="A2084" t="s">
        <v>20</v>
      </c>
      <c r="B2084">
        <v>2600</v>
      </c>
      <c r="C2084">
        <v>1</v>
      </c>
      <c r="D2084" t="s">
        <v>31</v>
      </c>
      <c r="E2084" t="s">
        <v>645</v>
      </c>
      <c r="F2084" t="s">
        <v>1250</v>
      </c>
      <c r="G2084" t="s">
        <v>650</v>
      </c>
      <c r="H2084">
        <v>59</v>
      </c>
      <c r="I2084" t="s">
        <v>647</v>
      </c>
      <c r="J2084">
        <v>2600</v>
      </c>
      <c r="K2084" s="1">
        <v>44300</v>
      </c>
      <c r="L2084">
        <v>2021</v>
      </c>
      <c r="M2084" t="str">
        <f>UPPER(TEXT(_2020_2022[[#This Row],[Data da Venda]],"mmm"))</f>
        <v>ABR</v>
      </c>
    </row>
    <row r="2085" spans="1:13" x14ac:dyDescent="0.25">
      <c r="A2085" t="s">
        <v>8</v>
      </c>
      <c r="B2085">
        <v>5500</v>
      </c>
      <c r="C2085">
        <v>2</v>
      </c>
      <c r="D2085" t="s">
        <v>36</v>
      </c>
      <c r="E2085" t="s">
        <v>677</v>
      </c>
      <c r="F2085" t="s">
        <v>1161</v>
      </c>
      <c r="G2085" t="s">
        <v>643</v>
      </c>
      <c r="H2085">
        <v>70</v>
      </c>
      <c r="I2085" t="s">
        <v>647</v>
      </c>
      <c r="J2085">
        <v>11000</v>
      </c>
      <c r="K2085" s="1">
        <v>44236</v>
      </c>
      <c r="L2085">
        <v>2021</v>
      </c>
      <c r="M2085" t="str">
        <f>UPPER(TEXT(_2020_2022[[#This Row],[Data da Venda]],"mmm"))</f>
        <v>FEV</v>
      </c>
    </row>
    <row r="2086" spans="1:13" x14ac:dyDescent="0.25">
      <c r="A2086" t="s">
        <v>16</v>
      </c>
      <c r="B2086">
        <v>1400</v>
      </c>
      <c r="C2086">
        <v>2</v>
      </c>
      <c r="D2086" t="s">
        <v>39</v>
      </c>
      <c r="E2086" t="s">
        <v>641</v>
      </c>
      <c r="F2086" t="s">
        <v>1007</v>
      </c>
      <c r="G2086" t="s">
        <v>650</v>
      </c>
      <c r="H2086">
        <v>76</v>
      </c>
      <c r="I2086" t="s">
        <v>647</v>
      </c>
      <c r="J2086">
        <v>2800</v>
      </c>
      <c r="K2086" s="1">
        <v>44209</v>
      </c>
      <c r="L2086">
        <v>2021</v>
      </c>
      <c r="M2086" t="str">
        <f>UPPER(TEXT(_2020_2022[[#This Row],[Data da Venda]],"mmm"))</f>
        <v>JAN</v>
      </c>
    </row>
    <row r="2087" spans="1:13" x14ac:dyDescent="0.25">
      <c r="A2087" t="s">
        <v>22</v>
      </c>
      <c r="B2087">
        <v>5200</v>
      </c>
      <c r="C2087">
        <v>1</v>
      </c>
      <c r="D2087" t="s">
        <v>32</v>
      </c>
      <c r="E2087" t="s">
        <v>652</v>
      </c>
      <c r="F2087" t="s">
        <v>1031</v>
      </c>
      <c r="G2087" t="s">
        <v>643</v>
      </c>
      <c r="H2087">
        <v>44</v>
      </c>
      <c r="I2087" t="s">
        <v>644</v>
      </c>
      <c r="J2087">
        <v>5200</v>
      </c>
      <c r="K2087" s="1">
        <v>44386</v>
      </c>
      <c r="L2087">
        <v>2021</v>
      </c>
      <c r="M2087" t="str">
        <f>UPPER(TEXT(_2020_2022[[#This Row],[Data da Venda]],"mmm"))</f>
        <v>JUL</v>
      </c>
    </row>
    <row r="2088" spans="1:13" x14ac:dyDescent="0.25">
      <c r="A2088" t="s">
        <v>1444</v>
      </c>
      <c r="B2088">
        <v>1500</v>
      </c>
      <c r="C2088">
        <v>2</v>
      </c>
      <c r="D2088" t="s">
        <v>38</v>
      </c>
      <c r="E2088" t="s">
        <v>648</v>
      </c>
      <c r="F2088" t="s">
        <v>958</v>
      </c>
      <c r="G2088" t="s">
        <v>650</v>
      </c>
      <c r="H2088">
        <v>41</v>
      </c>
      <c r="I2088" t="s">
        <v>644</v>
      </c>
      <c r="J2088">
        <v>3000</v>
      </c>
      <c r="K2088" s="1">
        <v>44336</v>
      </c>
      <c r="L2088">
        <v>2021</v>
      </c>
      <c r="M2088" t="str">
        <f>UPPER(TEXT(_2020_2022[[#This Row],[Data da Venda]],"mmm"))</f>
        <v>MAI</v>
      </c>
    </row>
    <row r="2089" spans="1:13" x14ac:dyDescent="0.25">
      <c r="A2089" t="s">
        <v>20</v>
      </c>
      <c r="B2089">
        <v>2600</v>
      </c>
      <c r="C2089">
        <v>5</v>
      </c>
      <c r="D2089" t="s">
        <v>35</v>
      </c>
      <c r="E2089" t="s">
        <v>666</v>
      </c>
      <c r="F2089" t="s">
        <v>1365</v>
      </c>
      <c r="G2089" t="s">
        <v>650</v>
      </c>
      <c r="H2089">
        <v>28</v>
      </c>
      <c r="I2089" t="s">
        <v>651</v>
      </c>
      <c r="J2089">
        <v>13000</v>
      </c>
      <c r="K2089" s="1">
        <v>44290</v>
      </c>
      <c r="L2089">
        <v>2021</v>
      </c>
      <c r="M2089" t="str">
        <f>UPPER(TEXT(_2020_2022[[#This Row],[Data da Venda]],"mmm"))</f>
        <v>ABR</v>
      </c>
    </row>
    <row r="2090" spans="1:13" x14ac:dyDescent="0.25">
      <c r="A2090" t="s">
        <v>22</v>
      </c>
      <c r="B2090">
        <v>5200</v>
      </c>
      <c r="C2090">
        <v>4</v>
      </c>
      <c r="D2090" t="s">
        <v>34</v>
      </c>
      <c r="E2090" t="s">
        <v>679</v>
      </c>
      <c r="F2090" t="s">
        <v>1237</v>
      </c>
      <c r="G2090" t="s">
        <v>650</v>
      </c>
      <c r="H2090">
        <v>39</v>
      </c>
      <c r="I2090" t="s">
        <v>644</v>
      </c>
      <c r="J2090">
        <v>20800</v>
      </c>
      <c r="K2090" s="1">
        <v>44287</v>
      </c>
      <c r="L2090">
        <v>2021</v>
      </c>
      <c r="M2090" t="str">
        <f>UPPER(TEXT(_2020_2022[[#This Row],[Data da Venda]],"mmm"))</f>
        <v>ABR</v>
      </c>
    </row>
    <row r="2091" spans="1:13" x14ac:dyDescent="0.25">
      <c r="A2091" t="s">
        <v>28</v>
      </c>
      <c r="B2091">
        <v>1400</v>
      </c>
      <c r="C2091">
        <v>4</v>
      </c>
      <c r="D2091" t="s">
        <v>39</v>
      </c>
      <c r="E2091" t="s">
        <v>641</v>
      </c>
      <c r="F2091" t="s">
        <v>1377</v>
      </c>
      <c r="G2091" t="s">
        <v>643</v>
      </c>
      <c r="H2091">
        <v>28</v>
      </c>
      <c r="I2091" t="s">
        <v>651</v>
      </c>
      <c r="J2091">
        <v>5600</v>
      </c>
      <c r="K2091" s="1">
        <v>44322</v>
      </c>
      <c r="L2091">
        <v>2021</v>
      </c>
      <c r="M2091" t="str">
        <f>UPPER(TEXT(_2020_2022[[#This Row],[Data da Venda]],"mmm"))</f>
        <v>MAI</v>
      </c>
    </row>
    <row r="2092" spans="1:13" x14ac:dyDescent="0.25">
      <c r="A2092" t="s">
        <v>8</v>
      </c>
      <c r="B2092">
        <v>5500</v>
      </c>
      <c r="C2092">
        <v>4</v>
      </c>
      <c r="D2092" t="s">
        <v>32</v>
      </c>
      <c r="E2092" t="s">
        <v>652</v>
      </c>
      <c r="F2092" t="s">
        <v>797</v>
      </c>
      <c r="G2092" t="s">
        <v>643</v>
      </c>
      <c r="H2092">
        <v>56</v>
      </c>
      <c r="I2092" t="s">
        <v>647</v>
      </c>
      <c r="J2092">
        <v>22000</v>
      </c>
      <c r="K2092" s="1">
        <v>44469</v>
      </c>
      <c r="L2092">
        <v>2021</v>
      </c>
      <c r="M2092" t="str">
        <f>UPPER(TEXT(_2020_2022[[#This Row],[Data da Venda]],"mmm"))</f>
        <v>SET</v>
      </c>
    </row>
    <row r="2093" spans="1:13" x14ac:dyDescent="0.25">
      <c r="A2093" t="s">
        <v>25</v>
      </c>
      <c r="B2093">
        <v>2500</v>
      </c>
      <c r="C2093">
        <v>4</v>
      </c>
      <c r="D2093" t="s">
        <v>39</v>
      </c>
      <c r="E2093" t="s">
        <v>641</v>
      </c>
      <c r="F2093" t="s">
        <v>1153</v>
      </c>
      <c r="G2093" t="s">
        <v>650</v>
      </c>
      <c r="H2093">
        <v>61</v>
      </c>
      <c r="I2093" t="s">
        <v>647</v>
      </c>
      <c r="J2093">
        <v>10000</v>
      </c>
      <c r="K2093" s="1">
        <v>44198</v>
      </c>
      <c r="L2093">
        <v>2021</v>
      </c>
      <c r="M2093" t="str">
        <f>UPPER(TEXT(_2020_2022[[#This Row],[Data da Venda]],"mmm"))</f>
        <v>JAN</v>
      </c>
    </row>
    <row r="2094" spans="1:13" x14ac:dyDescent="0.25">
      <c r="A2094" t="s">
        <v>22</v>
      </c>
      <c r="B2094">
        <v>5200</v>
      </c>
      <c r="C2094">
        <v>5</v>
      </c>
      <c r="D2094" t="s">
        <v>33</v>
      </c>
      <c r="E2094" t="s">
        <v>641</v>
      </c>
      <c r="F2094" t="s">
        <v>1159</v>
      </c>
      <c r="G2094" t="s">
        <v>643</v>
      </c>
      <c r="H2094">
        <v>48</v>
      </c>
      <c r="I2094" t="s">
        <v>644</v>
      </c>
      <c r="J2094">
        <v>26000</v>
      </c>
      <c r="K2094" s="1">
        <v>44265</v>
      </c>
      <c r="L2094">
        <v>2021</v>
      </c>
      <c r="M2094" t="str">
        <f>UPPER(TEXT(_2020_2022[[#This Row],[Data da Venda]],"mmm"))</f>
        <v>MAR</v>
      </c>
    </row>
    <row r="2095" spans="1:13" x14ac:dyDescent="0.25">
      <c r="A2095" t="s">
        <v>1443</v>
      </c>
      <c r="B2095">
        <v>1550</v>
      </c>
      <c r="C2095">
        <v>5</v>
      </c>
      <c r="D2095" t="s">
        <v>40</v>
      </c>
      <c r="E2095" t="s">
        <v>657</v>
      </c>
      <c r="F2095" t="s">
        <v>1150</v>
      </c>
      <c r="G2095" t="s">
        <v>643</v>
      </c>
      <c r="H2095">
        <v>25</v>
      </c>
      <c r="I2095" t="s">
        <v>651</v>
      </c>
      <c r="J2095">
        <v>7750</v>
      </c>
      <c r="K2095" s="1">
        <v>44306</v>
      </c>
      <c r="L2095">
        <v>2021</v>
      </c>
      <c r="M2095" t="str">
        <f>UPPER(TEXT(_2020_2022[[#This Row],[Data da Venda]],"mmm"))</f>
        <v>ABR</v>
      </c>
    </row>
    <row r="2096" spans="1:13" x14ac:dyDescent="0.25">
      <c r="A2096" t="s">
        <v>14</v>
      </c>
      <c r="B2096">
        <v>2000</v>
      </c>
      <c r="C2096">
        <v>2</v>
      </c>
      <c r="D2096" t="s">
        <v>41</v>
      </c>
      <c r="E2096" t="s">
        <v>681</v>
      </c>
      <c r="F2096" t="s">
        <v>1183</v>
      </c>
      <c r="G2096" t="s">
        <v>650</v>
      </c>
      <c r="H2096">
        <v>67</v>
      </c>
      <c r="I2096" t="s">
        <v>647</v>
      </c>
      <c r="J2096">
        <v>4000</v>
      </c>
      <c r="K2096" s="1">
        <v>44272</v>
      </c>
      <c r="L2096">
        <v>2021</v>
      </c>
      <c r="M2096" t="str">
        <f>UPPER(TEXT(_2020_2022[[#This Row],[Data da Venda]],"mmm"))</f>
        <v>MAR</v>
      </c>
    </row>
    <row r="2097" spans="1:13" x14ac:dyDescent="0.25">
      <c r="A2097" t="s">
        <v>21</v>
      </c>
      <c r="B2097">
        <v>2400</v>
      </c>
      <c r="C2097">
        <v>4</v>
      </c>
      <c r="D2097" t="s">
        <v>37</v>
      </c>
      <c r="E2097" t="s">
        <v>645</v>
      </c>
      <c r="F2097" t="s">
        <v>646</v>
      </c>
      <c r="G2097" t="s">
        <v>643</v>
      </c>
      <c r="H2097">
        <v>64</v>
      </c>
      <c r="I2097" t="s">
        <v>647</v>
      </c>
      <c r="J2097">
        <v>9600</v>
      </c>
      <c r="K2097" s="1">
        <v>44402</v>
      </c>
      <c r="L2097">
        <v>2021</v>
      </c>
      <c r="M2097" t="str">
        <f>UPPER(TEXT(_2020_2022[[#This Row],[Data da Venda]],"mmm"))</f>
        <v>JUL</v>
      </c>
    </row>
    <row r="2098" spans="1:13" x14ac:dyDescent="0.25">
      <c r="A2098" t="s">
        <v>28</v>
      </c>
      <c r="B2098">
        <v>1400</v>
      </c>
      <c r="C2098">
        <v>2</v>
      </c>
      <c r="D2098" t="s">
        <v>36</v>
      </c>
      <c r="E2098" t="s">
        <v>677</v>
      </c>
      <c r="F2098" t="s">
        <v>801</v>
      </c>
      <c r="G2098" t="s">
        <v>650</v>
      </c>
      <c r="H2098">
        <v>64</v>
      </c>
      <c r="I2098" t="s">
        <v>647</v>
      </c>
      <c r="J2098">
        <v>2800</v>
      </c>
      <c r="K2098" s="1">
        <v>44550</v>
      </c>
      <c r="L2098">
        <v>2021</v>
      </c>
      <c r="M2098" t="str">
        <f>UPPER(TEXT(_2020_2022[[#This Row],[Data da Venda]],"mmm"))</f>
        <v>DEZ</v>
      </c>
    </row>
    <row r="2099" spans="1:13" x14ac:dyDescent="0.25">
      <c r="A2099" t="s">
        <v>1441</v>
      </c>
      <c r="B2099">
        <v>1450</v>
      </c>
      <c r="C2099">
        <v>3</v>
      </c>
      <c r="D2099" t="s">
        <v>31</v>
      </c>
      <c r="E2099" t="s">
        <v>645</v>
      </c>
      <c r="F2099" t="s">
        <v>1252</v>
      </c>
      <c r="G2099" t="s">
        <v>650</v>
      </c>
      <c r="H2099">
        <v>33</v>
      </c>
      <c r="I2099" t="s">
        <v>644</v>
      </c>
      <c r="J2099">
        <v>4350</v>
      </c>
      <c r="K2099" s="1">
        <v>44373</v>
      </c>
      <c r="L2099">
        <v>2021</v>
      </c>
      <c r="M2099" t="str">
        <f>UPPER(TEXT(_2020_2022[[#This Row],[Data da Venda]],"mmm"))</f>
        <v>JUN</v>
      </c>
    </row>
    <row r="2100" spans="1:13" x14ac:dyDescent="0.25">
      <c r="A2100" t="s">
        <v>28</v>
      </c>
      <c r="B2100">
        <v>1400</v>
      </c>
      <c r="C2100">
        <v>3</v>
      </c>
      <c r="D2100" t="s">
        <v>35</v>
      </c>
      <c r="E2100" t="s">
        <v>666</v>
      </c>
      <c r="F2100" t="s">
        <v>1134</v>
      </c>
      <c r="G2100" t="s">
        <v>650</v>
      </c>
      <c r="H2100">
        <v>68</v>
      </c>
      <c r="I2100" t="s">
        <v>647</v>
      </c>
      <c r="J2100">
        <v>4200</v>
      </c>
      <c r="K2100" s="1">
        <v>44472</v>
      </c>
      <c r="L2100">
        <v>2021</v>
      </c>
      <c r="M2100" t="str">
        <f>UPPER(TEXT(_2020_2022[[#This Row],[Data da Venda]],"mmm"))</f>
        <v>OUT</v>
      </c>
    </row>
    <row r="2101" spans="1:13" x14ac:dyDescent="0.25">
      <c r="A2101" t="s">
        <v>16</v>
      </c>
      <c r="B2101">
        <v>1400</v>
      </c>
      <c r="C2101">
        <v>4</v>
      </c>
      <c r="D2101" t="s">
        <v>40</v>
      </c>
      <c r="E2101" t="s">
        <v>657</v>
      </c>
      <c r="F2101" t="s">
        <v>1378</v>
      </c>
      <c r="G2101" t="s">
        <v>650</v>
      </c>
      <c r="H2101">
        <v>27</v>
      </c>
      <c r="I2101" t="s">
        <v>651</v>
      </c>
      <c r="J2101">
        <v>5600</v>
      </c>
      <c r="K2101" s="1">
        <v>44274</v>
      </c>
      <c r="L2101">
        <v>2021</v>
      </c>
      <c r="M2101" t="str">
        <f>UPPER(TEXT(_2020_2022[[#This Row],[Data da Venda]],"mmm"))</f>
        <v>MAR</v>
      </c>
    </row>
    <row r="2102" spans="1:13" x14ac:dyDescent="0.25">
      <c r="A2102" t="s">
        <v>1444</v>
      </c>
      <c r="B2102">
        <v>1500</v>
      </c>
      <c r="C2102">
        <v>5</v>
      </c>
      <c r="D2102" t="s">
        <v>36</v>
      </c>
      <c r="E2102" t="s">
        <v>677</v>
      </c>
      <c r="F2102" t="s">
        <v>886</v>
      </c>
      <c r="G2102" t="s">
        <v>650</v>
      </c>
      <c r="H2102">
        <v>27</v>
      </c>
      <c r="I2102" t="s">
        <v>651</v>
      </c>
      <c r="J2102">
        <v>7500</v>
      </c>
      <c r="K2102" s="1">
        <v>44407</v>
      </c>
      <c r="L2102">
        <v>2021</v>
      </c>
      <c r="M2102" t="str">
        <f>UPPER(TEXT(_2020_2022[[#This Row],[Data da Venda]],"mmm"))</f>
        <v>JUL</v>
      </c>
    </row>
    <row r="2103" spans="1:13" x14ac:dyDescent="0.25">
      <c r="A2103" t="s">
        <v>28</v>
      </c>
      <c r="B2103">
        <v>1400</v>
      </c>
      <c r="C2103">
        <v>3</v>
      </c>
      <c r="D2103" t="s">
        <v>30</v>
      </c>
      <c r="E2103" t="s">
        <v>645</v>
      </c>
      <c r="F2103" t="s">
        <v>835</v>
      </c>
      <c r="G2103" t="s">
        <v>650</v>
      </c>
      <c r="H2103">
        <v>61</v>
      </c>
      <c r="I2103" t="s">
        <v>647</v>
      </c>
      <c r="J2103">
        <v>4200</v>
      </c>
      <c r="K2103" s="1">
        <v>44207</v>
      </c>
      <c r="L2103">
        <v>2021</v>
      </c>
      <c r="M2103" t="str">
        <f>UPPER(TEXT(_2020_2022[[#This Row],[Data da Venda]],"mmm"))</f>
        <v>JAN</v>
      </c>
    </row>
    <row r="2104" spans="1:13" x14ac:dyDescent="0.25">
      <c r="A2104" t="s">
        <v>26</v>
      </c>
      <c r="B2104">
        <v>1100</v>
      </c>
      <c r="C2104">
        <v>1</v>
      </c>
      <c r="D2104" t="s">
        <v>36</v>
      </c>
      <c r="E2104" t="s">
        <v>677</v>
      </c>
      <c r="F2104" t="s">
        <v>690</v>
      </c>
      <c r="G2104" t="s">
        <v>650</v>
      </c>
      <c r="H2104">
        <v>60</v>
      </c>
      <c r="I2104" t="s">
        <v>647</v>
      </c>
      <c r="J2104">
        <v>1100</v>
      </c>
      <c r="K2104" s="1">
        <v>44426</v>
      </c>
      <c r="L2104">
        <v>2021</v>
      </c>
      <c r="M2104" t="str">
        <f>UPPER(TEXT(_2020_2022[[#This Row],[Data da Venda]],"mmm"))</f>
        <v>AGO</v>
      </c>
    </row>
    <row r="2105" spans="1:13" x14ac:dyDescent="0.25">
      <c r="A2105" t="s">
        <v>1445</v>
      </c>
      <c r="B2105">
        <v>1500</v>
      </c>
      <c r="C2105">
        <v>4</v>
      </c>
      <c r="D2105" t="s">
        <v>40</v>
      </c>
      <c r="E2105" t="s">
        <v>657</v>
      </c>
      <c r="F2105" t="s">
        <v>1295</v>
      </c>
      <c r="G2105" t="s">
        <v>643</v>
      </c>
      <c r="H2105">
        <v>47</v>
      </c>
      <c r="I2105" t="s">
        <v>644</v>
      </c>
      <c r="J2105">
        <v>6000</v>
      </c>
      <c r="K2105" s="1">
        <v>44287</v>
      </c>
      <c r="L2105">
        <v>2021</v>
      </c>
      <c r="M2105" t="str">
        <f>UPPER(TEXT(_2020_2022[[#This Row],[Data da Venda]],"mmm"))</f>
        <v>ABR</v>
      </c>
    </row>
    <row r="2106" spans="1:13" x14ac:dyDescent="0.25">
      <c r="A2106" t="s">
        <v>9</v>
      </c>
      <c r="B2106">
        <v>1500</v>
      </c>
      <c r="C2106">
        <v>3</v>
      </c>
      <c r="D2106" t="s">
        <v>29</v>
      </c>
      <c r="E2106" t="s">
        <v>641</v>
      </c>
      <c r="F2106" t="s">
        <v>1035</v>
      </c>
      <c r="G2106" t="s">
        <v>643</v>
      </c>
      <c r="H2106">
        <v>57</v>
      </c>
      <c r="I2106" t="s">
        <v>647</v>
      </c>
      <c r="J2106">
        <v>4500</v>
      </c>
      <c r="K2106" s="1">
        <v>44214</v>
      </c>
      <c r="L2106">
        <v>2021</v>
      </c>
      <c r="M2106" t="str">
        <f>UPPER(TEXT(_2020_2022[[#This Row],[Data da Venda]],"mmm"))</f>
        <v>JAN</v>
      </c>
    </row>
    <row r="2107" spans="1:13" x14ac:dyDescent="0.25">
      <c r="A2107" t="s">
        <v>22</v>
      </c>
      <c r="B2107">
        <v>5200</v>
      </c>
      <c r="C2107">
        <v>2</v>
      </c>
      <c r="D2107" t="s">
        <v>33</v>
      </c>
      <c r="E2107" t="s">
        <v>641</v>
      </c>
      <c r="F2107" t="s">
        <v>1379</v>
      </c>
      <c r="G2107" t="s">
        <v>643</v>
      </c>
      <c r="H2107">
        <v>31</v>
      </c>
      <c r="I2107" t="s">
        <v>644</v>
      </c>
      <c r="J2107">
        <v>10400</v>
      </c>
      <c r="K2107" s="1">
        <v>44512</v>
      </c>
      <c r="L2107">
        <v>2021</v>
      </c>
      <c r="M2107" t="str">
        <f>UPPER(TEXT(_2020_2022[[#This Row],[Data da Venda]],"mmm"))</f>
        <v>NOV</v>
      </c>
    </row>
    <row r="2108" spans="1:13" x14ac:dyDescent="0.25">
      <c r="A2108" t="s">
        <v>26</v>
      </c>
      <c r="B2108">
        <v>1100</v>
      </c>
      <c r="C2108">
        <v>4</v>
      </c>
      <c r="D2108" t="s">
        <v>30</v>
      </c>
      <c r="E2108" t="s">
        <v>645</v>
      </c>
      <c r="F2108" t="s">
        <v>1251</v>
      </c>
      <c r="G2108" t="s">
        <v>643</v>
      </c>
      <c r="H2108">
        <v>70</v>
      </c>
      <c r="I2108" t="s">
        <v>647</v>
      </c>
      <c r="J2108">
        <v>4400</v>
      </c>
      <c r="K2108" s="1">
        <v>44303</v>
      </c>
      <c r="L2108">
        <v>2021</v>
      </c>
      <c r="M2108" t="str">
        <f>UPPER(TEXT(_2020_2022[[#This Row],[Data da Venda]],"mmm"))</f>
        <v>ABR</v>
      </c>
    </row>
    <row r="2109" spans="1:13" x14ac:dyDescent="0.25">
      <c r="A2109" t="s">
        <v>1442</v>
      </c>
      <c r="B2109">
        <v>1200</v>
      </c>
      <c r="C2109">
        <v>1</v>
      </c>
      <c r="D2109" t="s">
        <v>38</v>
      </c>
      <c r="E2109" t="s">
        <v>648</v>
      </c>
      <c r="F2109" t="s">
        <v>1367</v>
      </c>
      <c r="G2109" t="s">
        <v>650</v>
      </c>
      <c r="H2109">
        <v>48</v>
      </c>
      <c r="I2109" t="s">
        <v>644</v>
      </c>
      <c r="J2109">
        <v>1200</v>
      </c>
      <c r="K2109" s="1">
        <v>44509</v>
      </c>
      <c r="L2109">
        <v>2021</v>
      </c>
      <c r="M2109" t="str">
        <f>UPPER(TEXT(_2020_2022[[#This Row],[Data da Venda]],"mmm"))</f>
        <v>NOV</v>
      </c>
    </row>
    <row r="2110" spans="1:13" x14ac:dyDescent="0.25">
      <c r="A2110" t="s">
        <v>18</v>
      </c>
      <c r="B2110">
        <v>3000</v>
      </c>
      <c r="C2110">
        <v>2</v>
      </c>
      <c r="D2110" t="s">
        <v>37</v>
      </c>
      <c r="E2110" t="s">
        <v>645</v>
      </c>
      <c r="F2110" t="s">
        <v>1019</v>
      </c>
      <c r="G2110" t="s">
        <v>643</v>
      </c>
      <c r="H2110">
        <v>48</v>
      </c>
      <c r="I2110" t="s">
        <v>644</v>
      </c>
      <c r="J2110">
        <v>6000</v>
      </c>
      <c r="K2110" s="1">
        <v>44461</v>
      </c>
      <c r="L2110">
        <v>2021</v>
      </c>
      <c r="M2110" t="str">
        <f>UPPER(TEXT(_2020_2022[[#This Row],[Data da Venda]],"mmm"))</f>
        <v>SET</v>
      </c>
    </row>
    <row r="2111" spans="1:13" x14ac:dyDescent="0.25">
      <c r="A2111" t="s">
        <v>20</v>
      </c>
      <c r="B2111">
        <v>2600</v>
      </c>
      <c r="C2111">
        <v>3</v>
      </c>
      <c r="D2111" t="s">
        <v>29</v>
      </c>
      <c r="E2111" t="s">
        <v>641</v>
      </c>
      <c r="F2111" t="s">
        <v>1333</v>
      </c>
      <c r="G2111" t="s">
        <v>650</v>
      </c>
      <c r="H2111">
        <v>64</v>
      </c>
      <c r="I2111" t="s">
        <v>647</v>
      </c>
      <c r="J2111">
        <v>7800</v>
      </c>
      <c r="K2111" s="1">
        <v>44401</v>
      </c>
      <c r="L2111">
        <v>2021</v>
      </c>
      <c r="M2111" t="str">
        <f>UPPER(TEXT(_2020_2022[[#This Row],[Data da Venda]],"mmm"))</f>
        <v>JUL</v>
      </c>
    </row>
    <row r="2112" spans="1:13" x14ac:dyDescent="0.25">
      <c r="A2112" t="s">
        <v>12</v>
      </c>
      <c r="B2112">
        <v>6500</v>
      </c>
      <c r="C2112">
        <v>3</v>
      </c>
      <c r="D2112" t="s">
        <v>30</v>
      </c>
      <c r="E2112" t="s">
        <v>645</v>
      </c>
      <c r="F2112" t="s">
        <v>1350</v>
      </c>
      <c r="G2112" t="s">
        <v>643</v>
      </c>
      <c r="H2112">
        <v>59</v>
      </c>
      <c r="I2112" t="s">
        <v>647</v>
      </c>
      <c r="J2112">
        <v>19500</v>
      </c>
      <c r="K2112" s="1">
        <v>44288</v>
      </c>
      <c r="L2112">
        <v>2021</v>
      </c>
      <c r="M2112" t="str">
        <f>UPPER(TEXT(_2020_2022[[#This Row],[Data da Venda]],"mmm"))</f>
        <v>ABR</v>
      </c>
    </row>
    <row r="2113" spans="1:13" x14ac:dyDescent="0.25">
      <c r="A2113" t="s">
        <v>16</v>
      </c>
      <c r="B2113">
        <v>1400</v>
      </c>
      <c r="C2113">
        <v>1</v>
      </c>
      <c r="D2113" t="s">
        <v>37</v>
      </c>
      <c r="E2113" t="s">
        <v>645</v>
      </c>
      <c r="F2113" t="s">
        <v>1043</v>
      </c>
      <c r="G2113" t="s">
        <v>650</v>
      </c>
      <c r="H2113">
        <v>43</v>
      </c>
      <c r="I2113" t="s">
        <v>644</v>
      </c>
      <c r="J2113">
        <v>1400</v>
      </c>
      <c r="K2113" s="1">
        <v>44384</v>
      </c>
      <c r="L2113">
        <v>2021</v>
      </c>
      <c r="M2113" t="str">
        <f>UPPER(TEXT(_2020_2022[[#This Row],[Data da Venda]],"mmm"))</f>
        <v>JUL</v>
      </c>
    </row>
    <row r="2114" spans="1:13" x14ac:dyDescent="0.25">
      <c r="A2114" t="s">
        <v>8</v>
      </c>
      <c r="B2114">
        <v>5500</v>
      </c>
      <c r="C2114">
        <v>1</v>
      </c>
      <c r="D2114" t="s">
        <v>30</v>
      </c>
      <c r="E2114" t="s">
        <v>645</v>
      </c>
      <c r="F2114" t="s">
        <v>896</v>
      </c>
      <c r="G2114" t="s">
        <v>643</v>
      </c>
      <c r="H2114">
        <v>47</v>
      </c>
      <c r="I2114" t="s">
        <v>644</v>
      </c>
      <c r="J2114">
        <v>5500</v>
      </c>
      <c r="K2114" s="1">
        <v>44534</v>
      </c>
      <c r="L2114">
        <v>2021</v>
      </c>
      <c r="M2114" t="str">
        <f>UPPER(TEXT(_2020_2022[[#This Row],[Data da Venda]],"mmm"))</f>
        <v>DEZ</v>
      </c>
    </row>
    <row r="2115" spans="1:13" x14ac:dyDescent="0.25">
      <c r="A2115" t="s">
        <v>13</v>
      </c>
      <c r="B2115">
        <v>2300</v>
      </c>
      <c r="C2115">
        <v>3</v>
      </c>
      <c r="D2115" t="s">
        <v>33</v>
      </c>
      <c r="E2115" t="s">
        <v>641</v>
      </c>
      <c r="F2115" t="s">
        <v>1067</v>
      </c>
      <c r="G2115" t="s">
        <v>650</v>
      </c>
      <c r="H2115">
        <v>45</v>
      </c>
      <c r="I2115" t="s">
        <v>644</v>
      </c>
      <c r="J2115">
        <v>6900</v>
      </c>
      <c r="K2115" s="1">
        <v>44472</v>
      </c>
      <c r="L2115">
        <v>2021</v>
      </c>
      <c r="M2115" t="str">
        <f>UPPER(TEXT(_2020_2022[[#This Row],[Data da Venda]],"mmm"))</f>
        <v>OUT</v>
      </c>
    </row>
    <row r="2116" spans="1:13" x14ac:dyDescent="0.25">
      <c r="A2116" t="s">
        <v>18</v>
      </c>
      <c r="B2116">
        <v>3000</v>
      </c>
      <c r="C2116">
        <v>2</v>
      </c>
      <c r="D2116" t="s">
        <v>31</v>
      </c>
      <c r="E2116" t="s">
        <v>645</v>
      </c>
      <c r="F2116" t="s">
        <v>817</v>
      </c>
      <c r="G2116" t="s">
        <v>643</v>
      </c>
      <c r="H2116">
        <v>32</v>
      </c>
      <c r="I2116" t="s">
        <v>644</v>
      </c>
      <c r="J2116">
        <v>6000</v>
      </c>
      <c r="K2116" s="1">
        <v>44372</v>
      </c>
      <c r="L2116">
        <v>2021</v>
      </c>
      <c r="M2116" t="str">
        <f>UPPER(TEXT(_2020_2022[[#This Row],[Data da Venda]],"mmm"))</f>
        <v>JUN</v>
      </c>
    </row>
    <row r="2117" spans="1:13" x14ac:dyDescent="0.25">
      <c r="A2117" t="s">
        <v>1444</v>
      </c>
      <c r="B2117">
        <v>1500</v>
      </c>
      <c r="C2117">
        <v>2</v>
      </c>
      <c r="D2117" t="s">
        <v>41</v>
      </c>
      <c r="E2117" t="s">
        <v>681</v>
      </c>
      <c r="F2117" t="s">
        <v>1278</v>
      </c>
      <c r="G2117" t="s">
        <v>650</v>
      </c>
      <c r="H2117">
        <v>52</v>
      </c>
      <c r="I2117" t="s">
        <v>647</v>
      </c>
      <c r="J2117">
        <v>3000</v>
      </c>
      <c r="K2117" s="1">
        <v>44375</v>
      </c>
      <c r="L2117">
        <v>2021</v>
      </c>
      <c r="M2117" t="str">
        <f>UPPER(TEXT(_2020_2022[[#This Row],[Data da Venda]],"mmm"))</f>
        <v>JUN</v>
      </c>
    </row>
    <row r="2118" spans="1:13" x14ac:dyDescent="0.25">
      <c r="A2118" t="s">
        <v>8</v>
      </c>
      <c r="B2118">
        <v>5500</v>
      </c>
      <c r="C2118">
        <v>3</v>
      </c>
      <c r="D2118" t="s">
        <v>41</v>
      </c>
      <c r="E2118" t="s">
        <v>681</v>
      </c>
      <c r="F2118" t="s">
        <v>1129</v>
      </c>
      <c r="G2118" t="s">
        <v>643</v>
      </c>
      <c r="H2118">
        <v>41</v>
      </c>
      <c r="I2118" t="s">
        <v>644</v>
      </c>
      <c r="J2118">
        <v>16500</v>
      </c>
      <c r="K2118" s="1">
        <v>44214</v>
      </c>
      <c r="L2118">
        <v>2021</v>
      </c>
      <c r="M2118" t="str">
        <f>UPPER(TEXT(_2020_2022[[#This Row],[Data da Venda]],"mmm"))</f>
        <v>JAN</v>
      </c>
    </row>
    <row r="2119" spans="1:13" x14ac:dyDescent="0.25">
      <c r="A2119" t="s">
        <v>14</v>
      </c>
      <c r="B2119">
        <v>2000</v>
      </c>
      <c r="C2119">
        <v>4</v>
      </c>
      <c r="D2119" t="s">
        <v>36</v>
      </c>
      <c r="E2119" t="s">
        <v>677</v>
      </c>
      <c r="F2119" t="s">
        <v>998</v>
      </c>
      <c r="G2119" t="s">
        <v>650</v>
      </c>
      <c r="H2119">
        <v>68</v>
      </c>
      <c r="I2119" t="s">
        <v>647</v>
      </c>
      <c r="J2119">
        <v>8000</v>
      </c>
      <c r="K2119" s="1">
        <v>44266</v>
      </c>
      <c r="L2119">
        <v>2021</v>
      </c>
      <c r="M2119" t="str">
        <f>UPPER(TEXT(_2020_2022[[#This Row],[Data da Venda]],"mmm"))</f>
        <v>MAR</v>
      </c>
    </row>
    <row r="2120" spans="1:13" x14ac:dyDescent="0.25">
      <c r="A2120" t="s">
        <v>7</v>
      </c>
      <c r="B2120">
        <v>750</v>
      </c>
      <c r="C2120">
        <v>1</v>
      </c>
      <c r="D2120" t="s">
        <v>30</v>
      </c>
      <c r="E2120" t="s">
        <v>645</v>
      </c>
      <c r="F2120" t="s">
        <v>736</v>
      </c>
      <c r="G2120" t="s">
        <v>643</v>
      </c>
      <c r="H2120">
        <v>37</v>
      </c>
      <c r="I2120" t="s">
        <v>644</v>
      </c>
      <c r="J2120">
        <v>750</v>
      </c>
      <c r="K2120" s="1">
        <v>44263</v>
      </c>
      <c r="L2120">
        <v>2021</v>
      </c>
      <c r="M2120" t="str">
        <f>UPPER(TEXT(_2020_2022[[#This Row],[Data da Venda]],"mmm"))</f>
        <v>MAR</v>
      </c>
    </row>
    <row r="2121" spans="1:13" x14ac:dyDescent="0.25">
      <c r="A2121" t="s">
        <v>16</v>
      </c>
      <c r="B2121">
        <v>1400</v>
      </c>
      <c r="C2121">
        <v>3</v>
      </c>
      <c r="D2121" t="s">
        <v>33</v>
      </c>
      <c r="E2121" t="s">
        <v>641</v>
      </c>
      <c r="F2121" t="s">
        <v>1346</v>
      </c>
      <c r="G2121" t="s">
        <v>650</v>
      </c>
      <c r="H2121">
        <v>31</v>
      </c>
      <c r="I2121" t="s">
        <v>644</v>
      </c>
      <c r="J2121">
        <v>4200</v>
      </c>
      <c r="K2121" s="1">
        <v>44415</v>
      </c>
      <c r="L2121">
        <v>2021</v>
      </c>
      <c r="M2121" t="str">
        <f>UPPER(TEXT(_2020_2022[[#This Row],[Data da Venda]],"mmm"))</f>
        <v>AGO</v>
      </c>
    </row>
    <row r="2122" spans="1:13" x14ac:dyDescent="0.25">
      <c r="A2122" t="s">
        <v>7</v>
      </c>
      <c r="B2122">
        <v>750</v>
      </c>
      <c r="C2122">
        <v>5</v>
      </c>
      <c r="D2122" t="s">
        <v>39</v>
      </c>
      <c r="E2122" t="s">
        <v>641</v>
      </c>
      <c r="F2122" t="s">
        <v>1225</v>
      </c>
      <c r="G2122" t="s">
        <v>650</v>
      </c>
      <c r="H2122">
        <v>45</v>
      </c>
      <c r="I2122" t="s">
        <v>644</v>
      </c>
      <c r="J2122">
        <v>3750</v>
      </c>
      <c r="K2122" s="1">
        <v>44467</v>
      </c>
      <c r="L2122">
        <v>2021</v>
      </c>
      <c r="M2122" t="str">
        <f>UPPER(TEXT(_2020_2022[[#This Row],[Data da Venda]],"mmm"))</f>
        <v>SET</v>
      </c>
    </row>
    <row r="2123" spans="1:13" x14ac:dyDescent="0.25">
      <c r="A2123" t="s">
        <v>11</v>
      </c>
      <c r="B2123">
        <v>4500</v>
      </c>
      <c r="C2123">
        <v>3</v>
      </c>
      <c r="D2123" t="s">
        <v>33</v>
      </c>
      <c r="E2123" t="s">
        <v>641</v>
      </c>
      <c r="F2123" t="s">
        <v>829</v>
      </c>
      <c r="G2123" t="s">
        <v>650</v>
      </c>
      <c r="H2123">
        <v>48</v>
      </c>
      <c r="I2123" t="s">
        <v>644</v>
      </c>
      <c r="J2123">
        <v>13500</v>
      </c>
      <c r="K2123" s="1">
        <v>44328</v>
      </c>
      <c r="L2123">
        <v>2021</v>
      </c>
      <c r="M2123" t="str">
        <f>UPPER(TEXT(_2020_2022[[#This Row],[Data da Venda]],"mmm"))</f>
        <v>MAI</v>
      </c>
    </row>
    <row r="2124" spans="1:13" x14ac:dyDescent="0.25">
      <c r="A2124" t="s">
        <v>24</v>
      </c>
      <c r="B2124">
        <v>2000</v>
      </c>
      <c r="C2124">
        <v>1</v>
      </c>
      <c r="D2124" t="s">
        <v>41</v>
      </c>
      <c r="E2124" t="s">
        <v>681</v>
      </c>
      <c r="F2124" t="s">
        <v>914</v>
      </c>
      <c r="G2124" t="s">
        <v>643</v>
      </c>
      <c r="H2124">
        <v>55</v>
      </c>
      <c r="I2124" t="s">
        <v>647</v>
      </c>
      <c r="J2124">
        <v>2000</v>
      </c>
      <c r="K2124" s="1">
        <v>44450</v>
      </c>
      <c r="L2124">
        <v>2021</v>
      </c>
      <c r="M2124" t="str">
        <f>UPPER(TEXT(_2020_2022[[#This Row],[Data da Venda]],"mmm"))</f>
        <v>SET</v>
      </c>
    </row>
    <row r="2125" spans="1:13" x14ac:dyDescent="0.25">
      <c r="A2125" t="s">
        <v>28</v>
      </c>
      <c r="B2125">
        <v>1400</v>
      </c>
      <c r="C2125">
        <v>3</v>
      </c>
      <c r="D2125" t="s">
        <v>41</v>
      </c>
      <c r="E2125" t="s">
        <v>681</v>
      </c>
      <c r="F2125" t="s">
        <v>1130</v>
      </c>
      <c r="G2125" t="s">
        <v>643</v>
      </c>
      <c r="H2125">
        <v>44</v>
      </c>
      <c r="I2125" t="s">
        <v>644</v>
      </c>
      <c r="J2125">
        <v>4200</v>
      </c>
      <c r="K2125" s="1">
        <v>44457</v>
      </c>
      <c r="L2125">
        <v>2021</v>
      </c>
      <c r="M2125" t="str">
        <f>UPPER(TEXT(_2020_2022[[#This Row],[Data da Venda]],"mmm"))</f>
        <v>SET</v>
      </c>
    </row>
    <row r="2126" spans="1:13" x14ac:dyDescent="0.25">
      <c r="A2126" t="s">
        <v>1441</v>
      </c>
      <c r="B2126">
        <v>1450</v>
      </c>
      <c r="C2126">
        <v>3</v>
      </c>
      <c r="D2126" t="s">
        <v>39</v>
      </c>
      <c r="E2126" t="s">
        <v>641</v>
      </c>
      <c r="F2126" t="s">
        <v>1309</v>
      </c>
      <c r="G2126" t="s">
        <v>650</v>
      </c>
      <c r="H2126">
        <v>37</v>
      </c>
      <c r="I2126" t="s">
        <v>644</v>
      </c>
      <c r="J2126">
        <v>4350</v>
      </c>
      <c r="K2126" s="1">
        <v>44224</v>
      </c>
      <c r="L2126">
        <v>2021</v>
      </c>
      <c r="M2126" t="str">
        <f>UPPER(TEXT(_2020_2022[[#This Row],[Data da Venda]],"mmm"))</f>
        <v>JAN</v>
      </c>
    </row>
    <row r="2127" spans="1:13" x14ac:dyDescent="0.25">
      <c r="A2127" t="s">
        <v>1442</v>
      </c>
      <c r="B2127">
        <v>1200</v>
      </c>
      <c r="C2127">
        <v>1</v>
      </c>
      <c r="D2127" t="s">
        <v>40</v>
      </c>
      <c r="E2127" t="s">
        <v>657</v>
      </c>
      <c r="F2127" t="s">
        <v>658</v>
      </c>
      <c r="G2127" t="s">
        <v>643</v>
      </c>
      <c r="H2127">
        <v>56</v>
      </c>
      <c r="I2127" t="s">
        <v>647</v>
      </c>
      <c r="J2127">
        <v>1200</v>
      </c>
      <c r="K2127" s="1">
        <v>44469</v>
      </c>
      <c r="L2127">
        <v>2021</v>
      </c>
      <c r="M2127" t="str">
        <f>UPPER(TEXT(_2020_2022[[#This Row],[Data da Venda]],"mmm"))</f>
        <v>SET</v>
      </c>
    </row>
    <row r="2128" spans="1:13" x14ac:dyDescent="0.25">
      <c r="A2128" t="s">
        <v>25</v>
      </c>
      <c r="B2128">
        <v>2500</v>
      </c>
      <c r="C2128">
        <v>3</v>
      </c>
      <c r="D2128" t="s">
        <v>40</v>
      </c>
      <c r="E2128" t="s">
        <v>657</v>
      </c>
      <c r="F2128" t="s">
        <v>770</v>
      </c>
      <c r="G2128" t="s">
        <v>643</v>
      </c>
      <c r="H2128">
        <v>31</v>
      </c>
      <c r="I2128" t="s">
        <v>644</v>
      </c>
      <c r="J2128">
        <v>7500</v>
      </c>
      <c r="K2128" s="1">
        <v>44299</v>
      </c>
      <c r="L2128">
        <v>2021</v>
      </c>
      <c r="M2128" t="str">
        <f>UPPER(TEXT(_2020_2022[[#This Row],[Data da Venda]],"mmm"))</f>
        <v>ABR</v>
      </c>
    </row>
    <row r="2129" spans="1:13" x14ac:dyDescent="0.25">
      <c r="A2129" t="s">
        <v>1443</v>
      </c>
      <c r="B2129">
        <v>1550</v>
      </c>
      <c r="C2129">
        <v>2</v>
      </c>
      <c r="D2129" t="s">
        <v>41</v>
      </c>
      <c r="E2129" t="s">
        <v>681</v>
      </c>
      <c r="F2129" t="s">
        <v>1328</v>
      </c>
      <c r="G2129" t="s">
        <v>643</v>
      </c>
      <c r="H2129">
        <v>58</v>
      </c>
      <c r="I2129" t="s">
        <v>647</v>
      </c>
      <c r="J2129">
        <v>3100</v>
      </c>
      <c r="K2129" s="1">
        <v>44529</v>
      </c>
      <c r="L2129">
        <v>2021</v>
      </c>
      <c r="M2129" t="str">
        <f>UPPER(TEXT(_2020_2022[[#This Row],[Data da Venda]],"mmm"))</f>
        <v>NOV</v>
      </c>
    </row>
    <row r="2130" spans="1:13" x14ac:dyDescent="0.25">
      <c r="A2130" t="s">
        <v>1444</v>
      </c>
      <c r="B2130">
        <v>1500</v>
      </c>
      <c r="C2130">
        <v>3</v>
      </c>
      <c r="D2130" t="s">
        <v>36</v>
      </c>
      <c r="E2130" t="s">
        <v>677</v>
      </c>
      <c r="F2130" t="s">
        <v>755</v>
      </c>
      <c r="G2130" t="s">
        <v>643</v>
      </c>
      <c r="H2130">
        <v>48</v>
      </c>
      <c r="I2130" t="s">
        <v>644</v>
      </c>
      <c r="J2130">
        <v>4500</v>
      </c>
      <c r="K2130" s="1">
        <v>44342</v>
      </c>
      <c r="L2130">
        <v>2021</v>
      </c>
      <c r="M2130" t="str">
        <f>UPPER(TEXT(_2020_2022[[#This Row],[Data da Venda]],"mmm"))</f>
        <v>MAI</v>
      </c>
    </row>
    <row r="2131" spans="1:13" x14ac:dyDescent="0.25">
      <c r="A2131" t="s">
        <v>21</v>
      </c>
      <c r="B2131">
        <v>2400</v>
      </c>
      <c r="C2131">
        <v>1</v>
      </c>
      <c r="D2131" t="s">
        <v>34</v>
      </c>
      <c r="E2131" t="s">
        <v>679</v>
      </c>
      <c r="F2131" t="s">
        <v>930</v>
      </c>
      <c r="G2131" t="s">
        <v>643</v>
      </c>
      <c r="H2131">
        <v>71</v>
      </c>
      <c r="I2131" t="s">
        <v>647</v>
      </c>
      <c r="J2131">
        <v>2400</v>
      </c>
      <c r="K2131" s="1">
        <v>44425</v>
      </c>
      <c r="L2131">
        <v>2021</v>
      </c>
      <c r="M2131" t="str">
        <f>UPPER(TEXT(_2020_2022[[#This Row],[Data da Venda]],"mmm"))</f>
        <v>AGO</v>
      </c>
    </row>
    <row r="2132" spans="1:13" x14ac:dyDescent="0.25">
      <c r="A2132" t="s">
        <v>5</v>
      </c>
      <c r="B2132">
        <v>1750</v>
      </c>
      <c r="C2132">
        <v>1</v>
      </c>
      <c r="D2132" t="s">
        <v>35</v>
      </c>
      <c r="E2132" t="s">
        <v>666</v>
      </c>
      <c r="F2132" t="s">
        <v>1243</v>
      </c>
      <c r="G2132" t="s">
        <v>650</v>
      </c>
      <c r="H2132">
        <v>53</v>
      </c>
      <c r="I2132" t="s">
        <v>647</v>
      </c>
      <c r="J2132">
        <v>1750</v>
      </c>
      <c r="K2132" s="1">
        <v>44216</v>
      </c>
      <c r="L2132">
        <v>2021</v>
      </c>
      <c r="M2132" t="str">
        <f>UPPER(TEXT(_2020_2022[[#This Row],[Data da Venda]],"mmm"))</f>
        <v>JAN</v>
      </c>
    </row>
    <row r="2133" spans="1:13" x14ac:dyDescent="0.25">
      <c r="A2133" t="s">
        <v>25</v>
      </c>
      <c r="B2133">
        <v>2500</v>
      </c>
      <c r="C2133">
        <v>1</v>
      </c>
      <c r="D2133" t="s">
        <v>36</v>
      </c>
      <c r="E2133" t="s">
        <v>677</v>
      </c>
      <c r="F2133" t="s">
        <v>937</v>
      </c>
      <c r="G2133" t="s">
        <v>650</v>
      </c>
      <c r="H2133">
        <v>39</v>
      </c>
      <c r="I2133" t="s">
        <v>644</v>
      </c>
      <c r="J2133">
        <v>2500</v>
      </c>
      <c r="K2133" s="1">
        <v>44341</v>
      </c>
      <c r="L2133">
        <v>2021</v>
      </c>
      <c r="M2133" t="str">
        <f>UPPER(TEXT(_2020_2022[[#This Row],[Data da Venda]],"mmm"))</f>
        <v>MAI</v>
      </c>
    </row>
    <row r="2134" spans="1:13" x14ac:dyDescent="0.25">
      <c r="A2134" t="s">
        <v>1443</v>
      </c>
      <c r="B2134">
        <v>1550</v>
      </c>
      <c r="C2134">
        <v>4</v>
      </c>
      <c r="D2134" t="s">
        <v>32</v>
      </c>
      <c r="E2134" t="s">
        <v>652</v>
      </c>
      <c r="F2134" t="s">
        <v>1172</v>
      </c>
      <c r="G2134" t="s">
        <v>643</v>
      </c>
      <c r="H2134">
        <v>48</v>
      </c>
      <c r="I2134" t="s">
        <v>644</v>
      </c>
      <c r="J2134">
        <v>6200</v>
      </c>
      <c r="K2134" s="1">
        <v>44467</v>
      </c>
      <c r="L2134">
        <v>2021</v>
      </c>
      <c r="M2134" t="str">
        <f>UPPER(TEXT(_2020_2022[[#This Row],[Data da Venda]],"mmm"))</f>
        <v>SET</v>
      </c>
    </row>
    <row r="2135" spans="1:13" x14ac:dyDescent="0.25">
      <c r="A2135" t="s">
        <v>20</v>
      </c>
      <c r="B2135">
        <v>2600</v>
      </c>
      <c r="C2135">
        <v>5</v>
      </c>
      <c r="D2135" t="s">
        <v>35</v>
      </c>
      <c r="E2135" t="s">
        <v>666</v>
      </c>
      <c r="F2135" t="s">
        <v>1062</v>
      </c>
      <c r="G2135" t="s">
        <v>650</v>
      </c>
      <c r="H2135">
        <v>56</v>
      </c>
      <c r="I2135" t="s">
        <v>647</v>
      </c>
      <c r="J2135">
        <v>13000</v>
      </c>
      <c r="K2135" s="1">
        <v>44323</v>
      </c>
      <c r="L2135">
        <v>2021</v>
      </c>
      <c r="M2135" t="str">
        <f>UPPER(TEXT(_2020_2022[[#This Row],[Data da Venda]],"mmm"))</f>
        <v>MAI</v>
      </c>
    </row>
    <row r="2136" spans="1:13" x14ac:dyDescent="0.25">
      <c r="A2136" t="s">
        <v>21</v>
      </c>
      <c r="B2136">
        <v>2400</v>
      </c>
      <c r="C2136">
        <v>2</v>
      </c>
      <c r="D2136" t="s">
        <v>36</v>
      </c>
      <c r="E2136" t="s">
        <v>677</v>
      </c>
      <c r="F2136" t="s">
        <v>960</v>
      </c>
      <c r="G2136" t="s">
        <v>650</v>
      </c>
      <c r="H2136">
        <v>32</v>
      </c>
      <c r="I2136" t="s">
        <v>644</v>
      </c>
      <c r="J2136">
        <v>4800</v>
      </c>
      <c r="K2136" s="1">
        <v>44237</v>
      </c>
      <c r="L2136">
        <v>2021</v>
      </c>
      <c r="M2136" t="str">
        <f>UPPER(TEXT(_2020_2022[[#This Row],[Data da Venda]],"mmm"))</f>
        <v>FEV</v>
      </c>
    </row>
    <row r="2137" spans="1:13" x14ac:dyDescent="0.25">
      <c r="A2137" t="s">
        <v>18</v>
      </c>
      <c r="B2137">
        <v>3000</v>
      </c>
      <c r="C2137">
        <v>3</v>
      </c>
      <c r="D2137" t="s">
        <v>40</v>
      </c>
      <c r="E2137" t="s">
        <v>657</v>
      </c>
      <c r="F2137" t="s">
        <v>1157</v>
      </c>
      <c r="G2137" t="s">
        <v>643</v>
      </c>
      <c r="H2137">
        <v>36</v>
      </c>
      <c r="I2137" t="s">
        <v>644</v>
      </c>
      <c r="J2137">
        <v>9000</v>
      </c>
      <c r="K2137" s="1">
        <v>44388</v>
      </c>
      <c r="L2137">
        <v>2021</v>
      </c>
      <c r="M2137" t="str">
        <f>UPPER(TEXT(_2020_2022[[#This Row],[Data da Venda]],"mmm"))</f>
        <v>JUL</v>
      </c>
    </row>
    <row r="2138" spans="1:13" x14ac:dyDescent="0.25">
      <c r="A2138" t="s">
        <v>1440</v>
      </c>
      <c r="B2138">
        <v>700</v>
      </c>
      <c r="C2138">
        <v>2</v>
      </c>
      <c r="D2138" t="s">
        <v>41</v>
      </c>
      <c r="E2138" t="s">
        <v>681</v>
      </c>
      <c r="F2138" t="s">
        <v>743</v>
      </c>
      <c r="G2138" t="s">
        <v>643</v>
      </c>
      <c r="H2138">
        <v>41</v>
      </c>
      <c r="I2138" t="s">
        <v>644</v>
      </c>
      <c r="J2138">
        <v>1400</v>
      </c>
      <c r="K2138" s="1">
        <v>44553</v>
      </c>
      <c r="L2138">
        <v>2021</v>
      </c>
      <c r="M2138" t="str">
        <f>UPPER(TEXT(_2020_2022[[#This Row],[Data da Venda]],"mmm"))</f>
        <v>DEZ</v>
      </c>
    </row>
    <row r="2139" spans="1:13" x14ac:dyDescent="0.25">
      <c r="A2139" t="s">
        <v>25</v>
      </c>
      <c r="B2139">
        <v>2500</v>
      </c>
      <c r="C2139">
        <v>2</v>
      </c>
      <c r="D2139" t="s">
        <v>37</v>
      </c>
      <c r="E2139" t="s">
        <v>645</v>
      </c>
      <c r="F2139" t="s">
        <v>1095</v>
      </c>
      <c r="G2139" t="s">
        <v>643</v>
      </c>
      <c r="H2139">
        <v>44</v>
      </c>
      <c r="I2139" t="s">
        <v>644</v>
      </c>
      <c r="J2139">
        <v>5000</v>
      </c>
      <c r="K2139" s="1">
        <v>44457</v>
      </c>
      <c r="L2139">
        <v>2021</v>
      </c>
      <c r="M2139" t="str">
        <f>UPPER(TEXT(_2020_2022[[#This Row],[Data da Venda]],"mmm"))</f>
        <v>SET</v>
      </c>
    </row>
    <row r="2140" spans="1:13" x14ac:dyDescent="0.25">
      <c r="A2140" t="s">
        <v>18</v>
      </c>
      <c r="B2140">
        <v>3000</v>
      </c>
      <c r="C2140">
        <v>1</v>
      </c>
      <c r="D2140" t="s">
        <v>38</v>
      </c>
      <c r="E2140" t="s">
        <v>648</v>
      </c>
      <c r="F2140" t="s">
        <v>847</v>
      </c>
      <c r="G2140" t="s">
        <v>643</v>
      </c>
      <c r="H2140">
        <v>37</v>
      </c>
      <c r="I2140" t="s">
        <v>644</v>
      </c>
      <c r="J2140">
        <v>3000</v>
      </c>
      <c r="K2140" s="1">
        <v>44310</v>
      </c>
      <c r="L2140">
        <v>2021</v>
      </c>
      <c r="M2140" t="str">
        <f>UPPER(TEXT(_2020_2022[[#This Row],[Data da Venda]],"mmm"))</f>
        <v>ABR</v>
      </c>
    </row>
    <row r="2141" spans="1:13" x14ac:dyDescent="0.25">
      <c r="A2141" t="s">
        <v>26</v>
      </c>
      <c r="B2141">
        <v>1100</v>
      </c>
      <c r="C2141">
        <v>4</v>
      </c>
      <c r="D2141" t="s">
        <v>33</v>
      </c>
      <c r="E2141" t="s">
        <v>641</v>
      </c>
      <c r="F2141" t="s">
        <v>917</v>
      </c>
      <c r="G2141" t="s">
        <v>643</v>
      </c>
      <c r="H2141">
        <v>45</v>
      </c>
      <c r="I2141" t="s">
        <v>644</v>
      </c>
      <c r="J2141">
        <v>4400</v>
      </c>
      <c r="K2141" s="1">
        <v>44241</v>
      </c>
      <c r="L2141">
        <v>2021</v>
      </c>
      <c r="M2141" t="str">
        <f>UPPER(TEXT(_2020_2022[[#This Row],[Data da Venda]],"mmm"))</f>
        <v>FEV</v>
      </c>
    </row>
    <row r="2142" spans="1:13" x14ac:dyDescent="0.25">
      <c r="A2142" t="s">
        <v>1442</v>
      </c>
      <c r="B2142">
        <v>1200</v>
      </c>
      <c r="C2142">
        <v>3</v>
      </c>
      <c r="D2142" t="s">
        <v>29</v>
      </c>
      <c r="E2142" t="s">
        <v>641</v>
      </c>
      <c r="F2142" t="s">
        <v>1338</v>
      </c>
      <c r="G2142" t="s">
        <v>643</v>
      </c>
      <c r="H2142">
        <v>35</v>
      </c>
      <c r="I2142" t="s">
        <v>644</v>
      </c>
      <c r="J2142">
        <v>3600</v>
      </c>
      <c r="K2142" s="1">
        <v>44287</v>
      </c>
      <c r="L2142">
        <v>2021</v>
      </c>
      <c r="M2142" t="str">
        <f>UPPER(TEXT(_2020_2022[[#This Row],[Data da Venda]],"mmm"))</f>
        <v>ABR</v>
      </c>
    </row>
    <row r="2143" spans="1:13" x14ac:dyDescent="0.25">
      <c r="A2143" t="s">
        <v>11</v>
      </c>
      <c r="B2143">
        <v>4500</v>
      </c>
      <c r="C2143">
        <v>3</v>
      </c>
      <c r="D2143" t="s">
        <v>36</v>
      </c>
      <c r="E2143" t="s">
        <v>677</v>
      </c>
      <c r="F2143" t="s">
        <v>1198</v>
      </c>
      <c r="G2143" t="s">
        <v>650</v>
      </c>
      <c r="H2143">
        <v>65</v>
      </c>
      <c r="I2143" t="s">
        <v>647</v>
      </c>
      <c r="J2143">
        <v>13500</v>
      </c>
      <c r="K2143" s="1">
        <v>44372</v>
      </c>
      <c r="L2143">
        <v>2021</v>
      </c>
      <c r="M2143" t="str">
        <f>UPPER(TEXT(_2020_2022[[#This Row],[Data da Venda]],"mmm"))</f>
        <v>JUN</v>
      </c>
    </row>
    <row r="2144" spans="1:13" x14ac:dyDescent="0.25">
      <c r="A2144" t="s">
        <v>25</v>
      </c>
      <c r="B2144">
        <v>2500</v>
      </c>
      <c r="C2144">
        <v>5</v>
      </c>
      <c r="D2144" t="s">
        <v>36</v>
      </c>
      <c r="E2144" t="s">
        <v>677</v>
      </c>
      <c r="F2144" t="s">
        <v>1175</v>
      </c>
      <c r="G2144" t="s">
        <v>650</v>
      </c>
      <c r="H2144">
        <v>62</v>
      </c>
      <c r="I2144" t="s">
        <v>647</v>
      </c>
      <c r="J2144">
        <v>12500</v>
      </c>
      <c r="K2144" s="1">
        <v>44561</v>
      </c>
      <c r="L2144">
        <v>2021</v>
      </c>
      <c r="M2144" t="str">
        <f>UPPER(TEXT(_2020_2022[[#This Row],[Data da Venda]],"mmm"))</f>
        <v>DEZ</v>
      </c>
    </row>
    <row r="2145" spans="1:13" x14ac:dyDescent="0.25">
      <c r="A2145" t="s">
        <v>1442</v>
      </c>
      <c r="B2145">
        <v>1200</v>
      </c>
      <c r="C2145">
        <v>4</v>
      </c>
      <c r="D2145" t="s">
        <v>41</v>
      </c>
      <c r="E2145" t="s">
        <v>681</v>
      </c>
      <c r="F2145" t="s">
        <v>1213</v>
      </c>
      <c r="G2145" t="s">
        <v>643</v>
      </c>
      <c r="H2145">
        <v>56</v>
      </c>
      <c r="I2145" t="s">
        <v>647</v>
      </c>
      <c r="J2145">
        <v>4800</v>
      </c>
      <c r="K2145" s="1">
        <v>44470</v>
      </c>
      <c r="L2145">
        <v>2021</v>
      </c>
      <c r="M2145" t="str">
        <f>UPPER(TEXT(_2020_2022[[#This Row],[Data da Venda]],"mmm"))</f>
        <v>OUT</v>
      </c>
    </row>
    <row r="2146" spans="1:13" x14ac:dyDescent="0.25">
      <c r="A2146" t="s">
        <v>1441</v>
      </c>
      <c r="B2146">
        <v>1450</v>
      </c>
      <c r="C2146">
        <v>2</v>
      </c>
      <c r="D2146" t="s">
        <v>39</v>
      </c>
      <c r="E2146" t="s">
        <v>641</v>
      </c>
      <c r="F2146" t="s">
        <v>1374</v>
      </c>
      <c r="G2146" t="s">
        <v>643</v>
      </c>
      <c r="H2146">
        <v>43</v>
      </c>
      <c r="I2146" t="s">
        <v>644</v>
      </c>
      <c r="J2146">
        <v>2900</v>
      </c>
      <c r="K2146" s="1">
        <v>44561</v>
      </c>
      <c r="L2146">
        <v>2021</v>
      </c>
      <c r="M2146" t="str">
        <f>UPPER(TEXT(_2020_2022[[#This Row],[Data da Venda]],"mmm"))</f>
        <v>DEZ</v>
      </c>
    </row>
    <row r="2147" spans="1:13" x14ac:dyDescent="0.25">
      <c r="A2147" t="s">
        <v>1441</v>
      </c>
      <c r="B2147">
        <v>1450</v>
      </c>
      <c r="C2147">
        <v>2</v>
      </c>
      <c r="D2147" t="s">
        <v>29</v>
      </c>
      <c r="E2147" t="s">
        <v>641</v>
      </c>
      <c r="F2147" t="s">
        <v>1232</v>
      </c>
      <c r="G2147" t="s">
        <v>643</v>
      </c>
      <c r="H2147">
        <v>64</v>
      </c>
      <c r="I2147" t="s">
        <v>647</v>
      </c>
      <c r="J2147">
        <v>2900</v>
      </c>
      <c r="K2147" s="1">
        <v>44416</v>
      </c>
      <c r="L2147">
        <v>2021</v>
      </c>
      <c r="M2147" t="str">
        <f>UPPER(TEXT(_2020_2022[[#This Row],[Data da Venda]],"mmm"))</f>
        <v>AGO</v>
      </c>
    </row>
    <row r="2148" spans="1:13" x14ac:dyDescent="0.25">
      <c r="A2148" t="s">
        <v>20</v>
      </c>
      <c r="B2148">
        <v>2600</v>
      </c>
      <c r="C2148">
        <v>3</v>
      </c>
      <c r="D2148" t="s">
        <v>41</v>
      </c>
      <c r="E2148" t="s">
        <v>681</v>
      </c>
      <c r="F2148" t="s">
        <v>1308</v>
      </c>
      <c r="G2148" t="s">
        <v>650</v>
      </c>
      <c r="H2148">
        <v>32</v>
      </c>
      <c r="I2148" t="s">
        <v>644</v>
      </c>
      <c r="J2148">
        <v>7800</v>
      </c>
      <c r="K2148" s="1">
        <v>44286</v>
      </c>
      <c r="L2148">
        <v>2021</v>
      </c>
      <c r="M2148" t="str">
        <f>UPPER(TEXT(_2020_2022[[#This Row],[Data da Venda]],"mmm"))</f>
        <v>MAR</v>
      </c>
    </row>
    <row r="2149" spans="1:13" x14ac:dyDescent="0.25">
      <c r="A2149" t="s">
        <v>26</v>
      </c>
      <c r="B2149">
        <v>1100</v>
      </c>
      <c r="C2149">
        <v>4</v>
      </c>
      <c r="D2149" t="s">
        <v>39</v>
      </c>
      <c r="E2149" t="s">
        <v>641</v>
      </c>
      <c r="F2149" t="s">
        <v>726</v>
      </c>
      <c r="G2149" t="s">
        <v>643</v>
      </c>
      <c r="H2149">
        <v>43</v>
      </c>
      <c r="I2149" t="s">
        <v>644</v>
      </c>
      <c r="J2149">
        <v>4400</v>
      </c>
      <c r="K2149" s="1">
        <v>44419</v>
      </c>
      <c r="L2149">
        <v>2021</v>
      </c>
      <c r="M2149" t="str">
        <f>UPPER(TEXT(_2020_2022[[#This Row],[Data da Venda]],"mmm"))</f>
        <v>AGO</v>
      </c>
    </row>
    <row r="2150" spans="1:13" x14ac:dyDescent="0.25">
      <c r="A2150" t="s">
        <v>25</v>
      </c>
      <c r="B2150">
        <v>2500</v>
      </c>
      <c r="C2150">
        <v>3</v>
      </c>
      <c r="D2150" t="s">
        <v>34</v>
      </c>
      <c r="E2150" t="s">
        <v>679</v>
      </c>
      <c r="F2150" t="s">
        <v>1096</v>
      </c>
      <c r="G2150" t="s">
        <v>643</v>
      </c>
      <c r="H2150">
        <v>26</v>
      </c>
      <c r="I2150" t="s">
        <v>651</v>
      </c>
      <c r="J2150">
        <v>7500</v>
      </c>
      <c r="K2150" s="1">
        <v>44540</v>
      </c>
      <c r="L2150">
        <v>2021</v>
      </c>
      <c r="M2150" t="str">
        <f>UPPER(TEXT(_2020_2022[[#This Row],[Data da Venda]],"mmm"))</f>
        <v>DEZ</v>
      </c>
    </row>
    <row r="2151" spans="1:13" x14ac:dyDescent="0.25">
      <c r="A2151" t="s">
        <v>9</v>
      </c>
      <c r="B2151">
        <v>1500</v>
      </c>
      <c r="C2151">
        <v>3</v>
      </c>
      <c r="D2151" t="s">
        <v>37</v>
      </c>
      <c r="E2151" t="s">
        <v>645</v>
      </c>
      <c r="F2151" t="s">
        <v>1043</v>
      </c>
      <c r="G2151" t="s">
        <v>650</v>
      </c>
      <c r="H2151">
        <v>43</v>
      </c>
      <c r="I2151" t="s">
        <v>644</v>
      </c>
      <c r="J2151">
        <v>4500</v>
      </c>
      <c r="K2151" s="1">
        <v>44370</v>
      </c>
      <c r="L2151">
        <v>2021</v>
      </c>
      <c r="M2151" t="str">
        <f>UPPER(TEXT(_2020_2022[[#This Row],[Data da Venda]],"mmm"))</f>
        <v>JUN</v>
      </c>
    </row>
    <row r="2152" spans="1:13" x14ac:dyDescent="0.25">
      <c r="A2152" t="s">
        <v>14</v>
      </c>
      <c r="B2152">
        <v>2000</v>
      </c>
      <c r="C2152">
        <v>3</v>
      </c>
      <c r="D2152" t="s">
        <v>38</v>
      </c>
      <c r="E2152" t="s">
        <v>648</v>
      </c>
      <c r="F2152" t="s">
        <v>859</v>
      </c>
      <c r="G2152" t="s">
        <v>650</v>
      </c>
      <c r="H2152">
        <v>42</v>
      </c>
      <c r="I2152" t="s">
        <v>644</v>
      </c>
      <c r="J2152">
        <v>6000</v>
      </c>
      <c r="K2152" s="1">
        <v>44485</v>
      </c>
      <c r="L2152">
        <v>2021</v>
      </c>
      <c r="M2152" t="str">
        <f>UPPER(TEXT(_2020_2022[[#This Row],[Data da Venda]],"mmm"))</f>
        <v>OUT</v>
      </c>
    </row>
    <row r="2153" spans="1:13" x14ac:dyDescent="0.25">
      <c r="A2153" t="s">
        <v>28</v>
      </c>
      <c r="B2153">
        <v>1400</v>
      </c>
      <c r="C2153">
        <v>2</v>
      </c>
      <c r="D2153" t="s">
        <v>39</v>
      </c>
      <c r="E2153" t="s">
        <v>641</v>
      </c>
      <c r="F2153" t="s">
        <v>1007</v>
      </c>
      <c r="G2153" t="s">
        <v>650</v>
      </c>
      <c r="H2153">
        <v>76</v>
      </c>
      <c r="I2153" t="s">
        <v>647</v>
      </c>
      <c r="J2153">
        <v>2800</v>
      </c>
      <c r="K2153" s="1">
        <v>44532</v>
      </c>
      <c r="L2153">
        <v>2021</v>
      </c>
      <c r="M2153" t="str">
        <f>UPPER(TEXT(_2020_2022[[#This Row],[Data da Venda]],"mmm"))</f>
        <v>DEZ</v>
      </c>
    </row>
    <row r="2154" spans="1:13" x14ac:dyDescent="0.25">
      <c r="A2154" t="s">
        <v>7</v>
      </c>
      <c r="B2154">
        <v>750</v>
      </c>
      <c r="C2154">
        <v>5</v>
      </c>
      <c r="D2154" t="s">
        <v>29</v>
      </c>
      <c r="E2154" t="s">
        <v>641</v>
      </c>
      <c r="F2154" t="s">
        <v>957</v>
      </c>
      <c r="G2154" t="s">
        <v>643</v>
      </c>
      <c r="H2154">
        <v>38</v>
      </c>
      <c r="I2154" t="s">
        <v>644</v>
      </c>
      <c r="J2154">
        <v>3750</v>
      </c>
      <c r="K2154" s="1">
        <v>44316</v>
      </c>
      <c r="L2154">
        <v>2021</v>
      </c>
      <c r="M2154" t="str">
        <f>UPPER(TEXT(_2020_2022[[#This Row],[Data da Venda]],"mmm"))</f>
        <v>ABR</v>
      </c>
    </row>
    <row r="2155" spans="1:13" x14ac:dyDescent="0.25">
      <c r="A2155" t="s">
        <v>24</v>
      </c>
      <c r="B2155">
        <v>2000</v>
      </c>
      <c r="C2155">
        <v>1</v>
      </c>
      <c r="D2155" t="s">
        <v>38</v>
      </c>
      <c r="E2155" t="s">
        <v>648</v>
      </c>
      <c r="F2155" t="s">
        <v>1142</v>
      </c>
      <c r="G2155" t="s">
        <v>643</v>
      </c>
      <c r="H2155">
        <v>55</v>
      </c>
      <c r="I2155" t="s">
        <v>647</v>
      </c>
      <c r="J2155">
        <v>2000</v>
      </c>
      <c r="K2155" s="1">
        <v>44400</v>
      </c>
      <c r="L2155">
        <v>2021</v>
      </c>
      <c r="M2155" t="str">
        <f>UPPER(TEXT(_2020_2022[[#This Row],[Data da Venda]],"mmm"))</f>
        <v>JUL</v>
      </c>
    </row>
    <row r="2156" spans="1:13" x14ac:dyDescent="0.25">
      <c r="A2156" t="s">
        <v>14</v>
      </c>
      <c r="B2156">
        <v>2000</v>
      </c>
      <c r="C2156">
        <v>1</v>
      </c>
      <c r="D2156" t="s">
        <v>36</v>
      </c>
      <c r="E2156" t="s">
        <v>677</v>
      </c>
      <c r="F2156" t="s">
        <v>900</v>
      </c>
      <c r="G2156" t="s">
        <v>650</v>
      </c>
      <c r="H2156">
        <v>32</v>
      </c>
      <c r="I2156" t="s">
        <v>644</v>
      </c>
      <c r="J2156">
        <v>2000</v>
      </c>
      <c r="K2156" s="1">
        <v>44497</v>
      </c>
      <c r="L2156">
        <v>2021</v>
      </c>
      <c r="M2156" t="str">
        <f>UPPER(TEXT(_2020_2022[[#This Row],[Data da Venda]],"mmm"))</f>
        <v>OUT</v>
      </c>
    </row>
    <row r="2157" spans="1:13" x14ac:dyDescent="0.25">
      <c r="A2157" t="s">
        <v>26</v>
      </c>
      <c r="B2157">
        <v>1100</v>
      </c>
      <c r="C2157">
        <v>2</v>
      </c>
      <c r="D2157" t="s">
        <v>30</v>
      </c>
      <c r="E2157" t="s">
        <v>645</v>
      </c>
      <c r="F2157" t="s">
        <v>1372</v>
      </c>
      <c r="G2157" t="s">
        <v>643</v>
      </c>
      <c r="H2157">
        <v>30</v>
      </c>
      <c r="I2157" t="s">
        <v>644</v>
      </c>
      <c r="J2157">
        <v>2200</v>
      </c>
      <c r="K2157" s="1">
        <v>44197</v>
      </c>
      <c r="L2157">
        <v>2021</v>
      </c>
      <c r="M2157" t="str">
        <f>UPPER(TEXT(_2020_2022[[#This Row],[Data da Venda]],"mmm"))</f>
        <v>JAN</v>
      </c>
    </row>
    <row r="2158" spans="1:13" x14ac:dyDescent="0.25">
      <c r="A2158" t="s">
        <v>21</v>
      </c>
      <c r="B2158">
        <v>2400</v>
      </c>
      <c r="C2158">
        <v>4</v>
      </c>
      <c r="D2158" t="s">
        <v>40</v>
      </c>
      <c r="E2158" t="s">
        <v>657</v>
      </c>
      <c r="F2158" t="s">
        <v>716</v>
      </c>
      <c r="G2158" t="s">
        <v>650</v>
      </c>
      <c r="H2158">
        <v>52</v>
      </c>
      <c r="I2158" t="s">
        <v>647</v>
      </c>
      <c r="J2158">
        <v>9600</v>
      </c>
      <c r="K2158" s="1">
        <v>44299</v>
      </c>
      <c r="L2158">
        <v>2021</v>
      </c>
      <c r="M2158" t="str">
        <f>UPPER(TEXT(_2020_2022[[#This Row],[Data da Venda]],"mmm"))</f>
        <v>ABR</v>
      </c>
    </row>
    <row r="2159" spans="1:13" x14ac:dyDescent="0.25">
      <c r="A2159" t="s">
        <v>1441</v>
      </c>
      <c r="B2159">
        <v>1450</v>
      </c>
      <c r="C2159">
        <v>2</v>
      </c>
      <c r="D2159" t="s">
        <v>29</v>
      </c>
      <c r="E2159" t="s">
        <v>641</v>
      </c>
      <c r="F2159" t="s">
        <v>957</v>
      </c>
      <c r="G2159" t="s">
        <v>643</v>
      </c>
      <c r="H2159">
        <v>38</v>
      </c>
      <c r="I2159" t="s">
        <v>644</v>
      </c>
      <c r="J2159">
        <v>2900</v>
      </c>
      <c r="K2159" s="1">
        <v>44401</v>
      </c>
      <c r="L2159">
        <v>2021</v>
      </c>
      <c r="M2159" t="str">
        <f>UPPER(TEXT(_2020_2022[[#This Row],[Data da Venda]],"mmm"))</f>
        <v>JUL</v>
      </c>
    </row>
    <row r="2160" spans="1:13" x14ac:dyDescent="0.25">
      <c r="A2160" t="s">
        <v>20</v>
      </c>
      <c r="B2160">
        <v>2600</v>
      </c>
      <c r="C2160">
        <v>3</v>
      </c>
      <c r="D2160" t="s">
        <v>33</v>
      </c>
      <c r="E2160" t="s">
        <v>641</v>
      </c>
      <c r="F2160" t="s">
        <v>853</v>
      </c>
      <c r="G2160" t="s">
        <v>643</v>
      </c>
      <c r="H2160">
        <v>42</v>
      </c>
      <c r="I2160" t="s">
        <v>644</v>
      </c>
      <c r="J2160">
        <v>7800</v>
      </c>
      <c r="K2160" s="1">
        <v>44537</v>
      </c>
      <c r="L2160">
        <v>2021</v>
      </c>
      <c r="M2160" t="str">
        <f>UPPER(TEXT(_2020_2022[[#This Row],[Data da Venda]],"mmm"))</f>
        <v>DEZ</v>
      </c>
    </row>
    <row r="2161" spans="1:13" x14ac:dyDescent="0.25">
      <c r="A2161" t="s">
        <v>8</v>
      </c>
      <c r="B2161">
        <v>5500</v>
      </c>
      <c r="C2161">
        <v>2</v>
      </c>
      <c r="D2161" t="s">
        <v>41</v>
      </c>
      <c r="E2161" t="s">
        <v>681</v>
      </c>
      <c r="F2161" t="s">
        <v>1039</v>
      </c>
      <c r="G2161" t="s">
        <v>643</v>
      </c>
      <c r="H2161">
        <v>70</v>
      </c>
      <c r="I2161" t="s">
        <v>647</v>
      </c>
      <c r="J2161">
        <v>11000</v>
      </c>
      <c r="K2161" s="1">
        <v>44444</v>
      </c>
      <c r="L2161">
        <v>2021</v>
      </c>
      <c r="M2161" t="str">
        <f>UPPER(TEXT(_2020_2022[[#This Row],[Data da Venda]],"mmm"))</f>
        <v>SET</v>
      </c>
    </row>
    <row r="2162" spans="1:13" x14ac:dyDescent="0.25">
      <c r="A2162" t="s">
        <v>1445</v>
      </c>
      <c r="B2162">
        <v>1500</v>
      </c>
      <c r="C2162">
        <v>5</v>
      </c>
      <c r="D2162" t="s">
        <v>37</v>
      </c>
      <c r="E2162" t="s">
        <v>645</v>
      </c>
      <c r="F2162" t="s">
        <v>949</v>
      </c>
      <c r="G2162" t="s">
        <v>650</v>
      </c>
      <c r="H2162">
        <v>34</v>
      </c>
      <c r="I2162" t="s">
        <v>644</v>
      </c>
      <c r="J2162">
        <v>7500</v>
      </c>
      <c r="K2162" s="1">
        <v>44445</v>
      </c>
      <c r="L2162">
        <v>2021</v>
      </c>
      <c r="M2162" t="str">
        <f>UPPER(TEXT(_2020_2022[[#This Row],[Data da Venda]],"mmm"))</f>
        <v>SET</v>
      </c>
    </row>
    <row r="2163" spans="1:13" x14ac:dyDescent="0.25">
      <c r="A2163" t="s">
        <v>25</v>
      </c>
      <c r="B2163">
        <v>2500</v>
      </c>
      <c r="C2163">
        <v>4</v>
      </c>
      <c r="D2163" t="s">
        <v>38</v>
      </c>
      <c r="E2163" t="s">
        <v>648</v>
      </c>
      <c r="F2163" t="s">
        <v>837</v>
      </c>
      <c r="G2163" t="s">
        <v>650</v>
      </c>
      <c r="H2163">
        <v>63</v>
      </c>
      <c r="I2163" t="s">
        <v>647</v>
      </c>
      <c r="J2163">
        <v>10000</v>
      </c>
      <c r="K2163" s="1">
        <v>44197</v>
      </c>
      <c r="L2163">
        <v>2021</v>
      </c>
      <c r="M2163" t="str">
        <f>UPPER(TEXT(_2020_2022[[#This Row],[Data da Venda]],"mmm"))</f>
        <v>JAN</v>
      </c>
    </row>
    <row r="2164" spans="1:13" x14ac:dyDescent="0.25">
      <c r="A2164" t="s">
        <v>7</v>
      </c>
      <c r="B2164">
        <v>750</v>
      </c>
      <c r="C2164">
        <v>4</v>
      </c>
      <c r="D2164" t="s">
        <v>30</v>
      </c>
      <c r="E2164" t="s">
        <v>645</v>
      </c>
      <c r="F2164" t="s">
        <v>1234</v>
      </c>
      <c r="G2164" t="s">
        <v>650</v>
      </c>
      <c r="H2164">
        <v>68</v>
      </c>
      <c r="I2164" t="s">
        <v>647</v>
      </c>
      <c r="J2164">
        <v>3000</v>
      </c>
      <c r="K2164" s="1">
        <v>44421</v>
      </c>
      <c r="L2164">
        <v>2021</v>
      </c>
      <c r="M2164" t="str">
        <f>UPPER(TEXT(_2020_2022[[#This Row],[Data da Venda]],"mmm"))</f>
        <v>AGO</v>
      </c>
    </row>
    <row r="2165" spans="1:13" x14ac:dyDescent="0.25">
      <c r="A2165" t="s">
        <v>8</v>
      </c>
      <c r="B2165">
        <v>5500</v>
      </c>
      <c r="C2165">
        <v>1</v>
      </c>
      <c r="D2165" t="s">
        <v>31</v>
      </c>
      <c r="E2165" t="s">
        <v>645</v>
      </c>
      <c r="F2165" t="s">
        <v>686</v>
      </c>
      <c r="G2165" t="s">
        <v>643</v>
      </c>
      <c r="H2165">
        <v>53</v>
      </c>
      <c r="I2165" t="s">
        <v>647</v>
      </c>
      <c r="J2165">
        <v>5500</v>
      </c>
      <c r="K2165" s="1">
        <v>44342</v>
      </c>
      <c r="L2165">
        <v>2021</v>
      </c>
      <c r="M2165" t="str">
        <f>UPPER(TEXT(_2020_2022[[#This Row],[Data da Venda]],"mmm"))</f>
        <v>MAI</v>
      </c>
    </row>
    <row r="2166" spans="1:13" x14ac:dyDescent="0.25">
      <c r="A2166" t="s">
        <v>18</v>
      </c>
      <c r="B2166">
        <v>3000</v>
      </c>
      <c r="C2166">
        <v>2</v>
      </c>
      <c r="D2166" t="s">
        <v>31</v>
      </c>
      <c r="E2166" t="s">
        <v>645</v>
      </c>
      <c r="F2166" t="s">
        <v>747</v>
      </c>
      <c r="G2166" t="s">
        <v>650</v>
      </c>
      <c r="H2166">
        <v>45</v>
      </c>
      <c r="I2166" t="s">
        <v>644</v>
      </c>
      <c r="J2166">
        <v>6000</v>
      </c>
      <c r="K2166" s="1">
        <v>44354</v>
      </c>
      <c r="L2166">
        <v>2021</v>
      </c>
      <c r="M2166" t="str">
        <f>UPPER(TEXT(_2020_2022[[#This Row],[Data da Venda]],"mmm"))</f>
        <v>JUN</v>
      </c>
    </row>
    <row r="2167" spans="1:13" x14ac:dyDescent="0.25">
      <c r="A2167" t="s">
        <v>22</v>
      </c>
      <c r="B2167">
        <v>5200</v>
      </c>
      <c r="C2167">
        <v>4</v>
      </c>
      <c r="D2167" t="s">
        <v>38</v>
      </c>
      <c r="E2167" t="s">
        <v>648</v>
      </c>
      <c r="F2167" t="s">
        <v>946</v>
      </c>
      <c r="G2167" t="s">
        <v>650</v>
      </c>
      <c r="H2167">
        <v>34</v>
      </c>
      <c r="I2167" t="s">
        <v>644</v>
      </c>
      <c r="J2167">
        <v>20800</v>
      </c>
      <c r="K2167" s="1">
        <v>44337</v>
      </c>
      <c r="L2167">
        <v>2021</v>
      </c>
      <c r="M2167" t="str">
        <f>UPPER(TEXT(_2020_2022[[#This Row],[Data da Venda]],"mmm"))</f>
        <v>MAI</v>
      </c>
    </row>
    <row r="2168" spans="1:13" x14ac:dyDescent="0.25">
      <c r="A2168" t="s">
        <v>1444</v>
      </c>
      <c r="B2168">
        <v>1500</v>
      </c>
      <c r="C2168">
        <v>2</v>
      </c>
      <c r="D2168" t="s">
        <v>29</v>
      </c>
      <c r="E2168" t="s">
        <v>641</v>
      </c>
      <c r="F2168" t="s">
        <v>1070</v>
      </c>
      <c r="G2168" t="s">
        <v>643</v>
      </c>
      <c r="H2168">
        <v>49</v>
      </c>
      <c r="I2168" t="s">
        <v>644</v>
      </c>
      <c r="J2168">
        <v>3000</v>
      </c>
      <c r="K2168" s="1">
        <v>44499</v>
      </c>
      <c r="L2168">
        <v>2021</v>
      </c>
      <c r="M2168" t="str">
        <f>UPPER(TEXT(_2020_2022[[#This Row],[Data da Venda]],"mmm"))</f>
        <v>OUT</v>
      </c>
    </row>
    <row r="2169" spans="1:13" x14ac:dyDescent="0.25">
      <c r="A2169" t="s">
        <v>1440</v>
      </c>
      <c r="B2169">
        <v>700</v>
      </c>
      <c r="C2169">
        <v>1</v>
      </c>
      <c r="D2169" t="s">
        <v>34</v>
      </c>
      <c r="E2169" t="s">
        <v>679</v>
      </c>
      <c r="F2169" t="s">
        <v>930</v>
      </c>
      <c r="G2169" t="s">
        <v>643</v>
      </c>
      <c r="H2169">
        <v>71</v>
      </c>
      <c r="I2169" t="s">
        <v>647</v>
      </c>
      <c r="J2169">
        <v>700</v>
      </c>
      <c r="K2169" s="1">
        <v>44415</v>
      </c>
      <c r="L2169">
        <v>2021</v>
      </c>
      <c r="M2169" t="str">
        <f>UPPER(TEXT(_2020_2022[[#This Row],[Data da Venda]],"mmm"))</f>
        <v>AGO</v>
      </c>
    </row>
    <row r="2170" spans="1:13" x14ac:dyDescent="0.25">
      <c r="A2170" t="s">
        <v>9</v>
      </c>
      <c r="B2170">
        <v>1500</v>
      </c>
      <c r="C2170">
        <v>5</v>
      </c>
      <c r="D2170" t="s">
        <v>36</v>
      </c>
      <c r="E2170" t="s">
        <v>677</v>
      </c>
      <c r="F2170" t="s">
        <v>936</v>
      </c>
      <c r="G2170" t="s">
        <v>643</v>
      </c>
      <c r="H2170">
        <v>35</v>
      </c>
      <c r="I2170" t="s">
        <v>644</v>
      </c>
      <c r="J2170">
        <v>7500</v>
      </c>
      <c r="K2170" s="1">
        <v>44402</v>
      </c>
      <c r="L2170">
        <v>2021</v>
      </c>
      <c r="M2170" t="str">
        <f>UPPER(TEXT(_2020_2022[[#This Row],[Data da Venda]],"mmm"))</f>
        <v>JUL</v>
      </c>
    </row>
    <row r="2171" spans="1:13" x14ac:dyDescent="0.25">
      <c r="A2171" t="s">
        <v>25</v>
      </c>
      <c r="B2171">
        <v>2500</v>
      </c>
      <c r="C2171">
        <v>4</v>
      </c>
      <c r="D2171" t="s">
        <v>33</v>
      </c>
      <c r="E2171" t="s">
        <v>641</v>
      </c>
      <c r="F2171" t="s">
        <v>866</v>
      </c>
      <c r="G2171" t="s">
        <v>643</v>
      </c>
      <c r="H2171">
        <v>36</v>
      </c>
      <c r="I2171" t="s">
        <v>644</v>
      </c>
      <c r="J2171">
        <v>10000</v>
      </c>
      <c r="K2171" s="1">
        <v>44439</v>
      </c>
      <c r="L2171">
        <v>2021</v>
      </c>
      <c r="M2171" t="str">
        <f>UPPER(TEXT(_2020_2022[[#This Row],[Data da Venda]],"mmm"))</f>
        <v>AGO</v>
      </c>
    </row>
    <row r="2172" spans="1:13" x14ac:dyDescent="0.25">
      <c r="A2172" t="s">
        <v>9</v>
      </c>
      <c r="B2172">
        <v>1500</v>
      </c>
      <c r="C2172">
        <v>3</v>
      </c>
      <c r="D2172" t="s">
        <v>38</v>
      </c>
      <c r="E2172" t="s">
        <v>648</v>
      </c>
      <c r="F2172" t="s">
        <v>859</v>
      </c>
      <c r="G2172" t="s">
        <v>650</v>
      </c>
      <c r="H2172">
        <v>42</v>
      </c>
      <c r="I2172" t="s">
        <v>644</v>
      </c>
      <c r="J2172">
        <v>4500</v>
      </c>
      <c r="K2172" s="1">
        <v>44477</v>
      </c>
      <c r="L2172">
        <v>2021</v>
      </c>
      <c r="M2172" t="str">
        <f>UPPER(TEXT(_2020_2022[[#This Row],[Data da Venda]],"mmm"))</f>
        <v>OUT</v>
      </c>
    </row>
    <row r="2173" spans="1:13" x14ac:dyDescent="0.25">
      <c r="A2173" t="s">
        <v>8</v>
      </c>
      <c r="B2173">
        <v>5500</v>
      </c>
      <c r="C2173">
        <v>3</v>
      </c>
      <c r="D2173" t="s">
        <v>29</v>
      </c>
      <c r="E2173" t="s">
        <v>641</v>
      </c>
      <c r="F2173" t="s">
        <v>665</v>
      </c>
      <c r="G2173" t="s">
        <v>650</v>
      </c>
      <c r="H2173">
        <v>34</v>
      </c>
      <c r="I2173" t="s">
        <v>644</v>
      </c>
      <c r="J2173">
        <v>16500</v>
      </c>
      <c r="K2173" s="1">
        <v>44266</v>
      </c>
      <c r="L2173">
        <v>2021</v>
      </c>
      <c r="M2173" t="str">
        <f>UPPER(TEXT(_2020_2022[[#This Row],[Data da Venda]],"mmm"))</f>
        <v>MAR</v>
      </c>
    </row>
    <row r="2174" spans="1:13" x14ac:dyDescent="0.25">
      <c r="A2174" t="s">
        <v>14</v>
      </c>
      <c r="B2174">
        <v>2000</v>
      </c>
      <c r="C2174">
        <v>2</v>
      </c>
      <c r="D2174" t="s">
        <v>39</v>
      </c>
      <c r="E2174" t="s">
        <v>641</v>
      </c>
      <c r="F2174" t="s">
        <v>1233</v>
      </c>
      <c r="G2174" t="s">
        <v>643</v>
      </c>
      <c r="H2174">
        <v>68</v>
      </c>
      <c r="I2174" t="s">
        <v>647</v>
      </c>
      <c r="J2174">
        <v>4000</v>
      </c>
      <c r="K2174" s="1">
        <v>44415</v>
      </c>
      <c r="L2174">
        <v>2021</v>
      </c>
      <c r="M2174" t="str">
        <f>UPPER(TEXT(_2020_2022[[#This Row],[Data da Venda]],"mmm"))</f>
        <v>AGO</v>
      </c>
    </row>
    <row r="2175" spans="1:13" x14ac:dyDescent="0.25">
      <c r="A2175" t="s">
        <v>26</v>
      </c>
      <c r="B2175">
        <v>1100</v>
      </c>
      <c r="C2175">
        <v>1</v>
      </c>
      <c r="D2175" t="s">
        <v>29</v>
      </c>
      <c r="E2175" t="s">
        <v>641</v>
      </c>
      <c r="F2175" t="s">
        <v>843</v>
      </c>
      <c r="G2175" t="s">
        <v>650</v>
      </c>
      <c r="H2175">
        <v>73</v>
      </c>
      <c r="I2175" t="s">
        <v>647</v>
      </c>
      <c r="J2175">
        <v>1100</v>
      </c>
      <c r="K2175" s="1">
        <v>44531</v>
      </c>
      <c r="L2175">
        <v>2021</v>
      </c>
      <c r="M2175" t="str">
        <f>UPPER(TEXT(_2020_2022[[#This Row],[Data da Venda]],"mmm"))</f>
        <v>DEZ</v>
      </c>
    </row>
    <row r="2176" spans="1:13" x14ac:dyDescent="0.25">
      <c r="A2176" t="s">
        <v>8</v>
      </c>
      <c r="B2176">
        <v>5500</v>
      </c>
      <c r="C2176">
        <v>2</v>
      </c>
      <c r="D2176" t="s">
        <v>38</v>
      </c>
      <c r="E2176" t="s">
        <v>648</v>
      </c>
      <c r="F2176" t="s">
        <v>693</v>
      </c>
      <c r="G2176" t="s">
        <v>643</v>
      </c>
      <c r="H2176">
        <v>62</v>
      </c>
      <c r="I2176" t="s">
        <v>647</v>
      </c>
      <c r="J2176">
        <v>11000</v>
      </c>
      <c r="K2176" s="1">
        <v>44242</v>
      </c>
      <c r="L2176">
        <v>2021</v>
      </c>
      <c r="M2176" t="str">
        <f>UPPER(TEXT(_2020_2022[[#This Row],[Data da Venda]],"mmm"))</f>
        <v>FEV</v>
      </c>
    </row>
    <row r="2177" spans="1:13" x14ac:dyDescent="0.25">
      <c r="A2177" t="s">
        <v>16</v>
      </c>
      <c r="B2177">
        <v>1400</v>
      </c>
      <c r="C2177">
        <v>1</v>
      </c>
      <c r="D2177" t="s">
        <v>36</v>
      </c>
      <c r="E2177" t="s">
        <v>677</v>
      </c>
      <c r="F2177" t="s">
        <v>1253</v>
      </c>
      <c r="G2177" t="s">
        <v>650</v>
      </c>
      <c r="H2177">
        <v>54</v>
      </c>
      <c r="I2177" t="s">
        <v>647</v>
      </c>
      <c r="J2177">
        <v>1400</v>
      </c>
      <c r="K2177" s="1">
        <v>44276</v>
      </c>
      <c r="L2177">
        <v>2021</v>
      </c>
      <c r="M2177" t="str">
        <f>UPPER(TEXT(_2020_2022[[#This Row],[Data da Venda]],"mmm"))</f>
        <v>MAR</v>
      </c>
    </row>
    <row r="2178" spans="1:13" x14ac:dyDescent="0.25">
      <c r="A2178" t="s">
        <v>26</v>
      </c>
      <c r="B2178">
        <v>1100</v>
      </c>
      <c r="C2178">
        <v>1</v>
      </c>
      <c r="D2178" t="s">
        <v>29</v>
      </c>
      <c r="E2178" t="s">
        <v>641</v>
      </c>
      <c r="F2178" t="s">
        <v>813</v>
      </c>
      <c r="G2178" t="s">
        <v>650</v>
      </c>
      <c r="H2178">
        <v>40</v>
      </c>
      <c r="I2178" t="s">
        <v>644</v>
      </c>
      <c r="J2178">
        <v>1100</v>
      </c>
      <c r="K2178" s="1">
        <v>44283</v>
      </c>
      <c r="L2178">
        <v>2021</v>
      </c>
      <c r="M2178" t="str">
        <f>UPPER(TEXT(_2020_2022[[#This Row],[Data da Venda]],"mmm"))</f>
        <v>MAR</v>
      </c>
    </row>
    <row r="2179" spans="1:13" x14ac:dyDescent="0.25">
      <c r="A2179" t="s">
        <v>1443</v>
      </c>
      <c r="B2179">
        <v>1550</v>
      </c>
      <c r="C2179">
        <v>2</v>
      </c>
      <c r="D2179" t="s">
        <v>32</v>
      </c>
      <c r="E2179" t="s">
        <v>652</v>
      </c>
      <c r="F2179" t="s">
        <v>1024</v>
      </c>
      <c r="G2179" t="s">
        <v>643</v>
      </c>
      <c r="H2179">
        <v>76</v>
      </c>
      <c r="I2179" t="s">
        <v>647</v>
      </c>
      <c r="J2179">
        <v>3100</v>
      </c>
      <c r="K2179" s="1">
        <v>44296</v>
      </c>
      <c r="L2179">
        <v>2021</v>
      </c>
      <c r="M2179" t="str">
        <f>UPPER(TEXT(_2020_2022[[#This Row],[Data da Venda]],"mmm"))</f>
        <v>ABR</v>
      </c>
    </row>
    <row r="2180" spans="1:13" x14ac:dyDescent="0.25">
      <c r="A2180" t="s">
        <v>9</v>
      </c>
      <c r="B2180">
        <v>1500</v>
      </c>
      <c r="C2180">
        <v>2</v>
      </c>
      <c r="D2180" t="s">
        <v>37</v>
      </c>
      <c r="E2180" t="s">
        <v>645</v>
      </c>
      <c r="F2180" t="s">
        <v>1356</v>
      </c>
      <c r="G2180" t="s">
        <v>643</v>
      </c>
      <c r="H2180">
        <v>64</v>
      </c>
      <c r="I2180" t="s">
        <v>647</v>
      </c>
      <c r="J2180">
        <v>3000</v>
      </c>
      <c r="K2180" s="1">
        <v>44359</v>
      </c>
      <c r="L2180">
        <v>2021</v>
      </c>
      <c r="M2180" t="str">
        <f>UPPER(TEXT(_2020_2022[[#This Row],[Data da Venda]],"mmm"))</f>
        <v>JUN</v>
      </c>
    </row>
    <row r="2181" spans="1:13" x14ac:dyDescent="0.25">
      <c r="A2181" t="s">
        <v>1442</v>
      </c>
      <c r="B2181">
        <v>1200</v>
      </c>
      <c r="C2181">
        <v>2</v>
      </c>
      <c r="D2181" t="s">
        <v>30</v>
      </c>
      <c r="E2181" t="s">
        <v>645</v>
      </c>
      <c r="F2181" t="s">
        <v>921</v>
      </c>
      <c r="G2181" t="s">
        <v>643</v>
      </c>
      <c r="H2181">
        <v>49</v>
      </c>
      <c r="I2181" t="s">
        <v>644</v>
      </c>
      <c r="J2181">
        <v>2400</v>
      </c>
      <c r="K2181" s="1">
        <v>44362</v>
      </c>
      <c r="L2181">
        <v>2021</v>
      </c>
      <c r="M2181" t="str">
        <f>UPPER(TEXT(_2020_2022[[#This Row],[Data da Venda]],"mmm"))</f>
        <v>JUN</v>
      </c>
    </row>
    <row r="2182" spans="1:13" x14ac:dyDescent="0.25">
      <c r="A2182" t="s">
        <v>15</v>
      </c>
      <c r="B2182">
        <v>1900</v>
      </c>
      <c r="C2182">
        <v>2</v>
      </c>
      <c r="D2182" t="s">
        <v>32</v>
      </c>
      <c r="E2182" t="s">
        <v>652</v>
      </c>
      <c r="F2182" t="s">
        <v>786</v>
      </c>
      <c r="G2182" t="s">
        <v>643</v>
      </c>
      <c r="H2182">
        <v>36</v>
      </c>
      <c r="I2182" t="s">
        <v>644</v>
      </c>
      <c r="J2182">
        <v>3800</v>
      </c>
      <c r="K2182" s="1">
        <v>44286</v>
      </c>
      <c r="L2182">
        <v>2021</v>
      </c>
      <c r="M2182" t="str">
        <f>UPPER(TEXT(_2020_2022[[#This Row],[Data da Venda]],"mmm"))</f>
        <v>MAR</v>
      </c>
    </row>
    <row r="2183" spans="1:13" x14ac:dyDescent="0.25">
      <c r="A2183" t="s">
        <v>12</v>
      </c>
      <c r="B2183">
        <v>6500</v>
      </c>
      <c r="C2183">
        <v>2</v>
      </c>
      <c r="D2183" t="s">
        <v>41</v>
      </c>
      <c r="E2183" t="s">
        <v>681</v>
      </c>
      <c r="F2183" t="s">
        <v>1314</v>
      </c>
      <c r="G2183" t="s">
        <v>650</v>
      </c>
      <c r="H2183">
        <v>75</v>
      </c>
      <c r="I2183" t="s">
        <v>647</v>
      </c>
      <c r="J2183">
        <v>13000</v>
      </c>
      <c r="K2183" s="1">
        <v>44496</v>
      </c>
      <c r="L2183">
        <v>2021</v>
      </c>
      <c r="M2183" t="str">
        <f>UPPER(TEXT(_2020_2022[[#This Row],[Data da Venda]],"mmm"))</f>
        <v>OUT</v>
      </c>
    </row>
    <row r="2184" spans="1:13" x14ac:dyDescent="0.25">
      <c r="A2184" t="s">
        <v>14</v>
      </c>
      <c r="B2184">
        <v>2000</v>
      </c>
      <c r="C2184">
        <v>5</v>
      </c>
      <c r="D2184" t="s">
        <v>34</v>
      </c>
      <c r="E2184" t="s">
        <v>679</v>
      </c>
      <c r="F2184" t="s">
        <v>1055</v>
      </c>
      <c r="G2184" t="s">
        <v>650</v>
      </c>
      <c r="H2184">
        <v>67</v>
      </c>
      <c r="I2184" t="s">
        <v>647</v>
      </c>
      <c r="J2184">
        <v>10000</v>
      </c>
      <c r="K2184" s="1">
        <v>44378</v>
      </c>
      <c r="L2184">
        <v>2021</v>
      </c>
      <c r="M2184" t="str">
        <f>UPPER(TEXT(_2020_2022[[#This Row],[Data da Venda]],"mmm"))</f>
        <v>JUL</v>
      </c>
    </row>
    <row r="2185" spans="1:13" x14ac:dyDescent="0.25">
      <c r="A2185" t="s">
        <v>1444</v>
      </c>
      <c r="B2185">
        <v>1500</v>
      </c>
      <c r="C2185">
        <v>3</v>
      </c>
      <c r="D2185" t="s">
        <v>41</v>
      </c>
      <c r="E2185" t="s">
        <v>681</v>
      </c>
      <c r="F2185" t="s">
        <v>908</v>
      </c>
      <c r="G2185" t="s">
        <v>643</v>
      </c>
      <c r="H2185">
        <v>40</v>
      </c>
      <c r="I2185" t="s">
        <v>644</v>
      </c>
      <c r="J2185">
        <v>4500</v>
      </c>
      <c r="K2185" s="1">
        <v>44393</v>
      </c>
      <c r="L2185">
        <v>2021</v>
      </c>
      <c r="M2185" t="str">
        <f>UPPER(TEXT(_2020_2022[[#This Row],[Data da Venda]],"mmm"))</f>
        <v>JUL</v>
      </c>
    </row>
    <row r="2186" spans="1:13" x14ac:dyDescent="0.25">
      <c r="A2186" t="s">
        <v>13</v>
      </c>
      <c r="B2186">
        <v>2300</v>
      </c>
      <c r="C2186">
        <v>4</v>
      </c>
      <c r="D2186" t="s">
        <v>30</v>
      </c>
      <c r="E2186" t="s">
        <v>645</v>
      </c>
      <c r="F2186" t="s">
        <v>1133</v>
      </c>
      <c r="G2186" t="s">
        <v>643</v>
      </c>
      <c r="H2186">
        <v>50</v>
      </c>
      <c r="I2186" t="s">
        <v>644</v>
      </c>
      <c r="J2186">
        <v>9200</v>
      </c>
      <c r="K2186" s="1">
        <v>44268</v>
      </c>
      <c r="L2186">
        <v>2021</v>
      </c>
      <c r="M2186" t="str">
        <f>UPPER(TEXT(_2020_2022[[#This Row],[Data da Venda]],"mmm"))</f>
        <v>MAR</v>
      </c>
    </row>
    <row r="2187" spans="1:13" x14ac:dyDescent="0.25">
      <c r="A2187" t="s">
        <v>15</v>
      </c>
      <c r="B2187">
        <v>1900</v>
      </c>
      <c r="C2187">
        <v>5</v>
      </c>
      <c r="D2187" t="s">
        <v>33</v>
      </c>
      <c r="E2187" t="s">
        <v>641</v>
      </c>
      <c r="F2187" t="s">
        <v>875</v>
      </c>
      <c r="G2187" t="s">
        <v>643</v>
      </c>
      <c r="H2187">
        <v>50</v>
      </c>
      <c r="I2187" t="s">
        <v>644</v>
      </c>
      <c r="J2187">
        <v>9500</v>
      </c>
      <c r="K2187" s="1">
        <v>44406</v>
      </c>
      <c r="L2187">
        <v>2021</v>
      </c>
      <c r="M2187" t="str">
        <f>UPPER(TEXT(_2020_2022[[#This Row],[Data da Venda]],"mmm"))</f>
        <v>JUL</v>
      </c>
    </row>
    <row r="2188" spans="1:13" x14ac:dyDescent="0.25">
      <c r="A2188" t="s">
        <v>14</v>
      </c>
      <c r="B2188">
        <v>2000</v>
      </c>
      <c r="C2188">
        <v>4</v>
      </c>
      <c r="D2188" t="s">
        <v>38</v>
      </c>
      <c r="E2188" t="s">
        <v>648</v>
      </c>
      <c r="F2188" t="s">
        <v>867</v>
      </c>
      <c r="G2188" t="s">
        <v>643</v>
      </c>
      <c r="H2188">
        <v>37</v>
      </c>
      <c r="I2188" t="s">
        <v>644</v>
      </c>
      <c r="J2188">
        <v>8000</v>
      </c>
      <c r="K2188" s="1">
        <v>44548</v>
      </c>
      <c r="L2188">
        <v>2021</v>
      </c>
      <c r="M2188" t="str">
        <f>UPPER(TEXT(_2020_2022[[#This Row],[Data da Venda]],"mmm"))</f>
        <v>DEZ</v>
      </c>
    </row>
    <row r="2189" spans="1:13" x14ac:dyDescent="0.25">
      <c r="A2189" t="s">
        <v>1442</v>
      </c>
      <c r="B2189">
        <v>1200</v>
      </c>
      <c r="C2189">
        <v>3</v>
      </c>
      <c r="D2189" t="s">
        <v>35</v>
      </c>
      <c r="E2189" t="s">
        <v>666</v>
      </c>
      <c r="F2189" t="s">
        <v>1132</v>
      </c>
      <c r="G2189" t="s">
        <v>643</v>
      </c>
      <c r="H2189">
        <v>59</v>
      </c>
      <c r="I2189" t="s">
        <v>647</v>
      </c>
      <c r="J2189">
        <v>3600</v>
      </c>
      <c r="K2189" s="1">
        <v>44408</v>
      </c>
      <c r="L2189">
        <v>2021</v>
      </c>
      <c r="M2189" t="str">
        <f>UPPER(TEXT(_2020_2022[[#This Row],[Data da Venda]],"mmm"))</f>
        <v>JUL</v>
      </c>
    </row>
    <row r="2190" spans="1:13" x14ac:dyDescent="0.25">
      <c r="A2190" t="s">
        <v>1440</v>
      </c>
      <c r="B2190">
        <v>700</v>
      </c>
      <c r="C2190">
        <v>4</v>
      </c>
      <c r="D2190" t="s">
        <v>30</v>
      </c>
      <c r="E2190" t="s">
        <v>645</v>
      </c>
      <c r="F2190" t="s">
        <v>1044</v>
      </c>
      <c r="G2190" t="s">
        <v>650</v>
      </c>
      <c r="H2190">
        <v>45</v>
      </c>
      <c r="I2190" t="s">
        <v>644</v>
      </c>
      <c r="J2190">
        <v>2800</v>
      </c>
      <c r="K2190" s="1">
        <v>44441</v>
      </c>
      <c r="L2190">
        <v>2021</v>
      </c>
      <c r="M2190" t="str">
        <f>UPPER(TEXT(_2020_2022[[#This Row],[Data da Venda]],"mmm"))</f>
        <v>SET</v>
      </c>
    </row>
    <row r="2191" spans="1:13" x14ac:dyDescent="0.25">
      <c r="A2191" t="s">
        <v>1441</v>
      </c>
      <c r="B2191">
        <v>1450</v>
      </c>
      <c r="C2191">
        <v>4</v>
      </c>
      <c r="D2191" t="s">
        <v>30</v>
      </c>
      <c r="E2191" t="s">
        <v>645</v>
      </c>
      <c r="F2191" t="s">
        <v>1350</v>
      </c>
      <c r="G2191" t="s">
        <v>643</v>
      </c>
      <c r="H2191">
        <v>59</v>
      </c>
      <c r="I2191" t="s">
        <v>647</v>
      </c>
      <c r="J2191">
        <v>5800</v>
      </c>
      <c r="K2191" s="1">
        <v>44377</v>
      </c>
      <c r="L2191">
        <v>2021</v>
      </c>
      <c r="M2191" t="str">
        <f>UPPER(TEXT(_2020_2022[[#This Row],[Data da Venda]],"mmm"))</f>
        <v>JUN</v>
      </c>
    </row>
    <row r="2192" spans="1:13" x14ac:dyDescent="0.25">
      <c r="A2192" t="s">
        <v>20</v>
      </c>
      <c r="B2192">
        <v>2600</v>
      </c>
      <c r="C2192">
        <v>4</v>
      </c>
      <c r="D2192" t="s">
        <v>40</v>
      </c>
      <c r="E2192" t="s">
        <v>657</v>
      </c>
      <c r="F2192" t="s">
        <v>1380</v>
      </c>
      <c r="G2192" t="s">
        <v>643</v>
      </c>
      <c r="H2192">
        <v>59</v>
      </c>
      <c r="I2192" t="s">
        <v>647</v>
      </c>
      <c r="J2192">
        <v>10400</v>
      </c>
      <c r="K2192" s="1">
        <v>44547</v>
      </c>
      <c r="L2192">
        <v>2021</v>
      </c>
      <c r="M2192" t="str">
        <f>UPPER(TEXT(_2020_2022[[#This Row],[Data da Venda]],"mmm"))</f>
        <v>DEZ</v>
      </c>
    </row>
    <row r="2193" spans="1:13" x14ac:dyDescent="0.25">
      <c r="A2193" t="s">
        <v>25</v>
      </c>
      <c r="B2193">
        <v>2500</v>
      </c>
      <c r="C2193">
        <v>5</v>
      </c>
      <c r="D2193" t="s">
        <v>31</v>
      </c>
      <c r="E2193" t="s">
        <v>645</v>
      </c>
      <c r="F2193" t="s">
        <v>1026</v>
      </c>
      <c r="G2193" t="s">
        <v>643</v>
      </c>
      <c r="H2193">
        <v>53</v>
      </c>
      <c r="I2193" t="s">
        <v>647</v>
      </c>
      <c r="J2193">
        <v>12500</v>
      </c>
      <c r="K2193" s="1">
        <v>44520</v>
      </c>
      <c r="L2193">
        <v>2021</v>
      </c>
      <c r="M2193" t="str">
        <f>UPPER(TEXT(_2020_2022[[#This Row],[Data da Venda]],"mmm"))</f>
        <v>NOV</v>
      </c>
    </row>
    <row r="2194" spans="1:13" x14ac:dyDescent="0.25">
      <c r="A2194" t="s">
        <v>28</v>
      </c>
      <c r="B2194">
        <v>1400</v>
      </c>
      <c r="C2194">
        <v>1</v>
      </c>
      <c r="D2194" t="s">
        <v>35</v>
      </c>
      <c r="E2194" t="s">
        <v>666</v>
      </c>
      <c r="F2194" t="s">
        <v>671</v>
      </c>
      <c r="G2194" t="s">
        <v>643</v>
      </c>
      <c r="H2194">
        <v>63</v>
      </c>
      <c r="I2194" t="s">
        <v>647</v>
      </c>
      <c r="J2194">
        <v>1400</v>
      </c>
      <c r="K2194" s="1">
        <v>44338</v>
      </c>
      <c r="L2194">
        <v>2021</v>
      </c>
      <c r="M2194" t="str">
        <f>UPPER(TEXT(_2020_2022[[#This Row],[Data da Venda]],"mmm"))</f>
        <v>MAI</v>
      </c>
    </row>
    <row r="2195" spans="1:13" x14ac:dyDescent="0.25">
      <c r="A2195" t="s">
        <v>1445</v>
      </c>
      <c r="B2195">
        <v>1500</v>
      </c>
      <c r="C2195">
        <v>2</v>
      </c>
      <c r="D2195" t="s">
        <v>39</v>
      </c>
      <c r="E2195" t="s">
        <v>641</v>
      </c>
      <c r="F2195" t="s">
        <v>818</v>
      </c>
      <c r="G2195" t="s">
        <v>643</v>
      </c>
      <c r="H2195">
        <v>71</v>
      </c>
      <c r="I2195" t="s">
        <v>647</v>
      </c>
      <c r="J2195">
        <v>3000</v>
      </c>
      <c r="K2195" s="1">
        <v>44208</v>
      </c>
      <c r="L2195">
        <v>2021</v>
      </c>
      <c r="M2195" t="str">
        <f>UPPER(TEXT(_2020_2022[[#This Row],[Data da Venda]],"mmm"))</f>
        <v>JAN</v>
      </c>
    </row>
    <row r="2196" spans="1:13" x14ac:dyDescent="0.25">
      <c r="A2196" t="s">
        <v>1444</v>
      </c>
      <c r="B2196">
        <v>1500</v>
      </c>
      <c r="C2196">
        <v>4</v>
      </c>
      <c r="D2196" t="s">
        <v>35</v>
      </c>
      <c r="E2196" t="s">
        <v>666</v>
      </c>
      <c r="F2196" t="s">
        <v>834</v>
      </c>
      <c r="G2196" t="s">
        <v>643</v>
      </c>
      <c r="H2196">
        <v>55</v>
      </c>
      <c r="I2196" t="s">
        <v>647</v>
      </c>
      <c r="J2196">
        <v>6000</v>
      </c>
      <c r="K2196" s="1">
        <v>44219</v>
      </c>
      <c r="L2196">
        <v>2021</v>
      </c>
      <c r="M2196" t="str">
        <f>UPPER(TEXT(_2020_2022[[#This Row],[Data da Venda]],"mmm"))</f>
        <v>JAN</v>
      </c>
    </row>
    <row r="2197" spans="1:13" x14ac:dyDescent="0.25">
      <c r="A2197" t="s">
        <v>7</v>
      </c>
      <c r="B2197">
        <v>750</v>
      </c>
      <c r="C2197">
        <v>5</v>
      </c>
      <c r="D2197" t="s">
        <v>40</v>
      </c>
      <c r="E2197" t="s">
        <v>657</v>
      </c>
      <c r="F2197" t="s">
        <v>773</v>
      </c>
      <c r="G2197" t="s">
        <v>643</v>
      </c>
      <c r="H2197">
        <v>27</v>
      </c>
      <c r="I2197" t="s">
        <v>651</v>
      </c>
      <c r="J2197">
        <v>3750</v>
      </c>
      <c r="K2197" s="1">
        <v>44495</v>
      </c>
      <c r="L2197">
        <v>2021</v>
      </c>
      <c r="M2197" t="str">
        <f>UPPER(TEXT(_2020_2022[[#This Row],[Data da Venda]],"mmm"))</f>
        <v>OUT</v>
      </c>
    </row>
    <row r="2198" spans="1:13" x14ac:dyDescent="0.25">
      <c r="A2198" t="s">
        <v>5</v>
      </c>
      <c r="B2198">
        <v>1750</v>
      </c>
      <c r="C2198">
        <v>2</v>
      </c>
      <c r="D2198" t="s">
        <v>31</v>
      </c>
      <c r="E2198" t="s">
        <v>645</v>
      </c>
      <c r="F2198" t="s">
        <v>1220</v>
      </c>
      <c r="G2198" t="s">
        <v>650</v>
      </c>
      <c r="H2198">
        <v>30</v>
      </c>
      <c r="I2198" t="s">
        <v>644</v>
      </c>
      <c r="J2198">
        <v>3500</v>
      </c>
      <c r="K2198" s="1">
        <v>44410</v>
      </c>
      <c r="L2198">
        <v>2021</v>
      </c>
      <c r="M2198" t="str">
        <f>UPPER(TEXT(_2020_2022[[#This Row],[Data da Venda]],"mmm"))</f>
        <v>AGO</v>
      </c>
    </row>
    <row r="2199" spans="1:13" x14ac:dyDescent="0.25">
      <c r="A2199" t="s">
        <v>24</v>
      </c>
      <c r="B2199">
        <v>2000</v>
      </c>
      <c r="C2199">
        <v>3</v>
      </c>
      <c r="D2199" t="s">
        <v>38</v>
      </c>
      <c r="E2199" t="s">
        <v>648</v>
      </c>
      <c r="F2199" t="s">
        <v>1363</v>
      </c>
      <c r="G2199" t="s">
        <v>643</v>
      </c>
      <c r="H2199">
        <v>70</v>
      </c>
      <c r="I2199" t="s">
        <v>647</v>
      </c>
      <c r="J2199">
        <v>6000</v>
      </c>
      <c r="K2199" s="1">
        <v>44240</v>
      </c>
      <c r="L2199">
        <v>2021</v>
      </c>
      <c r="M2199" t="str">
        <f>UPPER(TEXT(_2020_2022[[#This Row],[Data da Venda]],"mmm"))</f>
        <v>FEV</v>
      </c>
    </row>
    <row r="2200" spans="1:13" x14ac:dyDescent="0.25">
      <c r="A2200" t="s">
        <v>25</v>
      </c>
      <c r="B2200">
        <v>2500</v>
      </c>
      <c r="C2200">
        <v>1</v>
      </c>
      <c r="D2200" t="s">
        <v>37</v>
      </c>
      <c r="E2200" t="s">
        <v>645</v>
      </c>
      <c r="F2200" t="s">
        <v>971</v>
      </c>
      <c r="G2200" t="s">
        <v>643</v>
      </c>
      <c r="H2200">
        <v>43</v>
      </c>
      <c r="I2200" t="s">
        <v>644</v>
      </c>
      <c r="J2200">
        <v>2500</v>
      </c>
      <c r="K2200" s="1">
        <v>44229</v>
      </c>
      <c r="L2200">
        <v>2021</v>
      </c>
      <c r="M2200" t="str">
        <f>UPPER(TEXT(_2020_2022[[#This Row],[Data da Venda]],"mmm"))</f>
        <v>FEV</v>
      </c>
    </row>
    <row r="2201" spans="1:13" x14ac:dyDescent="0.25">
      <c r="A2201" t="s">
        <v>14</v>
      </c>
      <c r="B2201">
        <v>2000</v>
      </c>
      <c r="C2201">
        <v>2</v>
      </c>
      <c r="D2201" t="s">
        <v>35</v>
      </c>
      <c r="E2201" t="s">
        <v>666</v>
      </c>
      <c r="F2201" t="s">
        <v>1016</v>
      </c>
      <c r="G2201" t="s">
        <v>650</v>
      </c>
      <c r="H2201">
        <v>46</v>
      </c>
      <c r="I2201" t="s">
        <v>644</v>
      </c>
      <c r="J2201">
        <v>4000</v>
      </c>
      <c r="K2201" s="1">
        <v>44412</v>
      </c>
      <c r="L2201">
        <v>2021</v>
      </c>
      <c r="M2201" t="str">
        <f>UPPER(TEXT(_2020_2022[[#This Row],[Data da Venda]],"mmm"))</f>
        <v>AGO</v>
      </c>
    </row>
    <row r="2202" spans="1:13" x14ac:dyDescent="0.25">
      <c r="A2202" t="s">
        <v>16</v>
      </c>
      <c r="B2202">
        <v>1400</v>
      </c>
      <c r="C2202">
        <v>1</v>
      </c>
      <c r="D2202" t="s">
        <v>31</v>
      </c>
      <c r="E2202" t="s">
        <v>645</v>
      </c>
      <c r="F2202" t="s">
        <v>1069</v>
      </c>
      <c r="G2202" t="s">
        <v>643</v>
      </c>
      <c r="H2202">
        <v>39</v>
      </c>
      <c r="I2202" t="s">
        <v>644</v>
      </c>
      <c r="J2202">
        <v>1400</v>
      </c>
      <c r="K2202" s="1">
        <v>44267</v>
      </c>
      <c r="L2202">
        <v>2021</v>
      </c>
      <c r="M2202" t="str">
        <f>UPPER(TEXT(_2020_2022[[#This Row],[Data da Venda]],"mmm"))</f>
        <v>MAR</v>
      </c>
    </row>
    <row r="2203" spans="1:13" x14ac:dyDescent="0.25">
      <c r="A2203" t="s">
        <v>13</v>
      </c>
      <c r="B2203">
        <v>2300</v>
      </c>
      <c r="C2203">
        <v>3</v>
      </c>
      <c r="D2203" t="s">
        <v>38</v>
      </c>
      <c r="E2203" t="s">
        <v>648</v>
      </c>
      <c r="F2203" t="s">
        <v>911</v>
      </c>
      <c r="G2203" t="s">
        <v>650</v>
      </c>
      <c r="H2203">
        <v>42</v>
      </c>
      <c r="I2203" t="s">
        <v>644</v>
      </c>
      <c r="J2203">
        <v>6900</v>
      </c>
      <c r="K2203" s="1">
        <v>44450</v>
      </c>
      <c r="L2203">
        <v>2021</v>
      </c>
      <c r="M2203" t="str">
        <f>UPPER(TEXT(_2020_2022[[#This Row],[Data da Venda]],"mmm"))</f>
        <v>SET</v>
      </c>
    </row>
    <row r="2204" spans="1:13" x14ac:dyDescent="0.25">
      <c r="A2204" t="s">
        <v>9</v>
      </c>
      <c r="B2204">
        <v>1500</v>
      </c>
      <c r="C2204">
        <v>4</v>
      </c>
      <c r="D2204" t="s">
        <v>39</v>
      </c>
      <c r="E2204" t="s">
        <v>641</v>
      </c>
      <c r="F2204" t="s">
        <v>1275</v>
      </c>
      <c r="G2204" t="s">
        <v>643</v>
      </c>
      <c r="H2204">
        <v>26</v>
      </c>
      <c r="I2204" t="s">
        <v>651</v>
      </c>
      <c r="J2204">
        <v>6000</v>
      </c>
      <c r="K2204" s="1">
        <v>44424</v>
      </c>
      <c r="L2204">
        <v>2021</v>
      </c>
      <c r="M2204" t="str">
        <f>UPPER(TEXT(_2020_2022[[#This Row],[Data da Venda]],"mmm"))</f>
        <v>AGO</v>
      </c>
    </row>
    <row r="2205" spans="1:13" x14ac:dyDescent="0.25">
      <c r="A2205" t="s">
        <v>13</v>
      </c>
      <c r="B2205">
        <v>2300</v>
      </c>
      <c r="C2205">
        <v>4</v>
      </c>
      <c r="D2205" t="s">
        <v>34</v>
      </c>
      <c r="E2205" t="s">
        <v>679</v>
      </c>
      <c r="F2205" t="s">
        <v>995</v>
      </c>
      <c r="G2205" t="s">
        <v>643</v>
      </c>
      <c r="H2205">
        <v>35</v>
      </c>
      <c r="I2205" t="s">
        <v>644</v>
      </c>
      <c r="J2205">
        <v>9200</v>
      </c>
      <c r="K2205" s="1">
        <v>44388</v>
      </c>
      <c r="L2205">
        <v>2021</v>
      </c>
      <c r="M2205" t="str">
        <f>UPPER(TEXT(_2020_2022[[#This Row],[Data da Venda]],"mmm"))</f>
        <v>JUL</v>
      </c>
    </row>
    <row r="2206" spans="1:13" x14ac:dyDescent="0.25">
      <c r="A2206" t="s">
        <v>1440</v>
      </c>
      <c r="B2206">
        <v>700</v>
      </c>
      <c r="C2206">
        <v>1</v>
      </c>
      <c r="D2206" t="s">
        <v>40</v>
      </c>
      <c r="E2206" t="s">
        <v>657</v>
      </c>
      <c r="F2206" t="s">
        <v>1150</v>
      </c>
      <c r="G2206" t="s">
        <v>643</v>
      </c>
      <c r="H2206">
        <v>25</v>
      </c>
      <c r="I2206" t="s">
        <v>651</v>
      </c>
      <c r="J2206">
        <v>700</v>
      </c>
      <c r="K2206" s="1">
        <v>44396</v>
      </c>
      <c r="L2206">
        <v>2021</v>
      </c>
      <c r="M2206" t="str">
        <f>UPPER(TEXT(_2020_2022[[#This Row],[Data da Venda]],"mmm"))</f>
        <v>JUL</v>
      </c>
    </row>
    <row r="2207" spans="1:13" x14ac:dyDescent="0.25">
      <c r="A2207" t="s">
        <v>28</v>
      </c>
      <c r="B2207">
        <v>1400</v>
      </c>
      <c r="C2207">
        <v>5</v>
      </c>
      <c r="D2207" t="s">
        <v>29</v>
      </c>
      <c r="E2207" t="s">
        <v>641</v>
      </c>
      <c r="F2207" t="s">
        <v>925</v>
      </c>
      <c r="G2207" t="s">
        <v>643</v>
      </c>
      <c r="H2207">
        <v>72</v>
      </c>
      <c r="I2207" t="s">
        <v>647</v>
      </c>
      <c r="J2207">
        <v>7000</v>
      </c>
      <c r="K2207" s="1">
        <v>44323</v>
      </c>
      <c r="L2207">
        <v>2021</v>
      </c>
      <c r="M2207" t="str">
        <f>UPPER(TEXT(_2020_2022[[#This Row],[Data da Venda]],"mmm"))</f>
        <v>MAI</v>
      </c>
    </row>
    <row r="2208" spans="1:13" x14ac:dyDescent="0.25">
      <c r="A2208" t="s">
        <v>7</v>
      </c>
      <c r="B2208">
        <v>750</v>
      </c>
      <c r="C2208">
        <v>5</v>
      </c>
      <c r="D2208" t="s">
        <v>41</v>
      </c>
      <c r="E2208" t="s">
        <v>681</v>
      </c>
      <c r="F2208" t="s">
        <v>1381</v>
      </c>
      <c r="G2208" t="s">
        <v>643</v>
      </c>
      <c r="H2208">
        <v>58</v>
      </c>
      <c r="I2208" t="s">
        <v>647</v>
      </c>
      <c r="J2208">
        <v>3750</v>
      </c>
      <c r="K2208" s="1">
        <v>44499</v>
      </c>
      <c r="L2208">
        <v>2021</v>
      </c>
      <c r="M2208" t="str">
        <f>UPPER(TEXT(_2020_2022[[#This Row],[Data da Venda]],"mmm"))</f>
        <v>OUT</v>
      </c>
    </row>
    <row r="2209" spans="1:13" x14ac:dyDescent="0.25">
      <c r="A2209" t="s">
        <v>1441</v>
      </c>
      <c r="B2209">
        <v>1450</v>
      </c>
      <c r="C2209">
        <v>2</v>
      </c>
      <c r="D2209" t="s">
        <v>37</v>
      </c>
      <c r="E2209" t="s">
        <v>645</v>
      </c>
      <c r="F2209" t="s">
        <v>997</v>
      </c>
      <c r="G2209" t="s">
        <v>643</v>
      </c>
      <c r="H2209">
        <v>36</v>
      </c>
      <c r="I2209" t="s">
        <v>644</v>
      </c>
      <c r="J2209">
        <v>2900</v>
      </c>
      <c r="K2209" s="1">
        <v>44483</v>
      </c>
      <c r="L2209">
        <v>2021</v>
      </c>
      <c r="M2209" t="str">
        <f>UPPER(TEXT(_2020_2022[[#This Row],[Data da Venda]],"mmm"))</f>
        <v>OUT</v>
      </c>
    </row>
    <row r="2210" spans="1:13" x14ac:dyDescent="0.25">
      <c r="A2210" t="s">
        <v>24</v>
      </c>
      <c r="B2210">
        <v>2000</v>
      </c>
      <c r="C2210">
        <v>3</v>
      </c>
      <c r="D2210" t="s">
        <v>38</v>
      </c>
      <c r="E2210" t="s">
        <v>648</v>
      </c>
      <c r="F2210" t="s">
        <v>883</v>
      </c>
      <c r="G2210" t="s">
        <v>643</v>
      </c>
      <c r="H2210">
        <v>31</v>
      </c>
      <c r="I2210" t="s">
        <v>644</v>
      </c>
      <c r="J2210">
        <v>6000</v>
      </c>
      <c r="K2210" s="1">
        <v>44344</v>
      </c>
      <c r="L2210">
        <v>2021</v>
      </c>
      <c r="M2210" t="str">
        <f>UPPER(TEXT(_2020_2022[[#This Row],[Data da Venda]],"mmm"))</f>
        <v>MAI</v>
      </c>
    </row>
    <row r="2211" spans="1:13" x14ac:dyDescent="0.25">
      <c r="A2211" t="s">
        <v>21</v>
      </c>
      <c r="B2211">
        <v>2400</v>
      </c>
      <c r="C2211">
        <v>5</v>
      </c>
      <c r="D2211" t="s">
        <v>35</v>
      </c>
      <c r="E2211" t="s">
        <v>666</v>
      </c>
      <c r="F2211" t="s">
        <v>707</v>
      </c>
      <c r="G2211" t="s">
        <v>643</v>
      </c>
      <c r="H2211">
        <v>60</v>
      </c>
      <c r="I2211" t="s">
        <v>647</v>
      </c>
      <c r="J2211">
        <v>12000</v>
      </c>
      <c r="K2211" s="1">
        <v>44553</v>
      </c>
      <c r="L2211">
        <v>2021</v>
      </c>
      <c r="M2211" t="str">
        <f>UPPER(TEXT(_2020_2022[[#This Row],[Data da Venda]],"mmm"))</f>
        <v>DEZ</v>
      </c>
    </row>
    <row r="2212" spans="1:13" x14ac:dyDescent="0.25">
      <c r="A2212" t="s">
        <v>7</v>
      </c>
      <c r="B2212">
        <v>750</v>
      </c>
      <c r="C2212">
        <v>5</v>
      </c>
      <c r="D2212" t="s">
        <v>40</v>
      </c>
      <c r="E2212" t="s">
        <v>657</v>
      </c>
      <c r="F2212" t="s">
        <v>674</v>
      </c>
      <c r="G2212" t="s">
        <v>643</v>
      </c>
      <c r="H2212">
        <v>60</v>
      </c>
      <c r="I2212" t="s">
        <v>647</v>
      </c>
      <c r="J2212">
        <v>3750</v>
      </c>
      <c r="K2212" s="1">
        <v>44389</v>
      </c>
      <c r="L2212">
        <v>2021</v>
      </c>
      <c r="M2212" t="str">
        <f>UPPER(TEXT(_2020_2022[[#This Row],[Data da Venda]],"mmm"))</f>
        <v>JUL</v>
      </c>
    </row>
    <row r="2213" spans="1:13" x14ac:dyDescent="0.25">
      <c r="A2213" t="s">
        <v>12</v>
      </c>
      <c r="B2213">
        <v>6500</v>
      </c>
      <c r="C2213">
        <v>5</v>
      </c>
      <c r="D2213" t="s">
        <v>32</v>
      </c>
      <c r="E2213" t="s">
        <v>652</v>
      </c>
      <c r="F2213" t="s">
        <v>1359</v>
      </c>
      <c r="G2213" t="s">
        <v>650</v>
      </c>
      <c r="H2213">
        <v>54</v>
      </c>
      <c r="I2213" t="s">
        <v>647</v>
      </c>
      <c r="J2213">
        <v>32500</v>
      </c>
      <c r="K2213" s="1">
        <v>44420</v>
      </c>
      <c r="L2213">
        <v>2021</v>
      </c>
      <c r="M2213" t="str">
        <f>UPPER(TEXT(_2020_2022[[#This Row],[Data da Venda]],"mmm"))</f>
        <v>AGO</v>
      </c>
    </row>
    <row r="2214" spans="1:13" x14ac:dyDescent="0.25">
      <c r="A2214" t="s">
        <v>21</v>
      </c>
      <c r="B2214">
        <v>2400</v>
      </c>
      <c r="C2214">
        <v>3</v>
      </c>
      <c r="D2214" t="s">
        <v>41</v>
      </c>
      <c r="E2214" t="s">
        <v>681</v>
      </c>
      <c r="F2214" t="s">
        <v>1303</v>
      </c>
      <c r="G2214" t="s">
        <v>650</v>
      </c>
      <c r="H2214">
        <v>70</v>
      </c>
      <c r="I2214" t="s">
        <v>647</v>
      </c>
      <c r="J2214">
        <v>7200</v>
      </c>
      <c r="K2214" s="1">
        <v>44420</v>
      </c>
      <c r="L2214">
        <v>2021</v>
      </c>
      <c r="M2214" t="str">
        <f>UPPER(TEXT(_2020_2022[[#This Row],[Data da Venda]],"mmm"))</f>
        <v>AGO</v>
      </c>
    </row>
    <row r="2215" spans="1:13" x14ac:dyDescent="0.25">
      <c r="A2215" t="s">
        <v>22</v>
      </c>
      <c r="B2215">
        <v>5200</v>
      </c>
      <c r="C2215">
        <v>3</v>
      </c>
      <c r="D2215" t="s">
        <v>29</v>
      </c>
      <c r="E2215" t="s">
        <v>641</v>
      </c>
      <c r="F2215" t="s">
        <v>1120</v>
      </c>
      <c r="G2215" t="s">
        <v>650</v>
      </c>
      <c r="H2215">
        <v>56</v>
      </c>
      <c r="I2215" t="s">
        <v>647</v>
      </c>
      <c r="J2215">
        <v>15600</v>
      </c>
      <c r="K2215" s="1">
        <v>44224</v>
      </c>
      <c r="L2215">
        <v>2021</v>
      </c>
      <c r="M2215" t="str">
        <f>UPPER(TEXT(_2020_2022[[#This Row],[Data da Venda]],"mmm"))</f>
        <v>JAN</v>
      </c>
    </row>
    <row r="2216" spans="1:13" x14ac:dyDescent="0.25">
      <c r="A2216" t="s">
        <v>21</v>
      </c>
      <c r="B2216">
        <v>2400</v>
      </c>
      <c r="C2216">
        <v>3</v>
      </c>
      <c r="D2216" t="s">
        <v>33</v>
      </c>
      <c r="E2216" t="s">
        <v>641</v>
      </c>
      <c r="F2216" t="s">
        <v>788</v>
      </c>
      <c r="G2216" t="s">
        <v>643</v>
      </c>
      <c r="H2216">
        <v>49</v>
      </c>
      <c r="I2216" t="s">
        <v>644</v>
      </c>
      <c r="J2216">
        <v>7200</v>
      </c>
      <c r="K2216" s="1">
        <v>44452</v>
      </c>
      <c r="L2216">
        <v>2021</v>
      </c>
      <c r="M2216" t="str">
        <f>UPPER(TEXT(_2020_2022[[#This Row],[Data da Venda]],"mmm"))</f>
        <v>SET</v>
      </c>
    </row>
    <row r="2217" spans="1:13" x14ac:dyDescent="0.25">
      <c r="A2217" t="s">
        <v>9</v>
      </c>
      <c r="B2217">
        <v>1500</v>
      </c>
      <c r="C2217">
        <v>4</v>
      </c>
      <c r="D2217" t="s">
        <v>30</v>
      </c>
      <c r="E2217" t="s">
        <v>645</v>
      </c>
      <c r="F2217" t="s">
        <v>830</v>
      </c>
      <c r="G2217" t="s">
        <v>643</v>
      </c>
      <c r="H2217">
        <v>28</v>
      </c>
      <c r="I2217" t="s">
        <v>651</v>
      </c>
      <c r="J2217">
        <v>6000</v>
      </c>
      <c r="K2217" s="1">
        <v>44517</v>
      </c>
      <c r="L2217">
        <v>2021</v>
      </c>
      <c r="M2217" t="str">
        <f>UPPER(TEXT(_2020_2022[[#This Row],[Data da Venda]],"mmm"))</f>
        <v>NOV</v>
      </c>
    </row>
    <row r="2218" spans="1:13" x14ac:dyDescent="0.25">
      <c r="A2218" t="s">
        <v>12</v>
      </c>
      <c r="B2218">
        <v>6500</v>
      </c>
      <c r="C2218">
        <v>4</v>
      </c>
      <c r="D2218" t="s">
        <v>37</v>
      </c>
      <c r="E2218" t="s">
        <v>645</v>
      </c>
      <c r="F2218" t="s">
        <v>1382</v>
      </c>
      <c r="G2218" t="s">
        <v>650</v>
      </c>
      <c r="H2218">
        <v>64</v>
      </c>
      <c r="I2218" t="s">
        <v>647</v>
      </c>
      <c r="J2218">
        <v>26000</v>
      </c>
      <c r="K2218" s="1">
        <v>44428</v>
      </c>
      <c r="L2218">
        <v>2021</v>
      </c>
      <c r="M2218" t="str">
        <f>UPPER(TEXT(_2020_2022[[#This Row],[Data da Venda]],"mmm"))</f>
        <v>AGO</v>
      </c>
    </row>
    <row r="2219" spans="1:13" x14ac:dyDescent="0.25">
      <c r="A2219" t="s">
        <v>12</v>
      </c>
      <c r="B2219">
        <v>6500</v>
      </c>
      <c r="C2219">
        <v>2</v>
      </c>
      <c r="D2219" t="s">
        <v>37</v>
      </c>
      <c r="E2219" t="s">
        <v>645</v>
      </c>
      <c r="F2219" t="s">
        <v>1353</v>
      </c>
      <c r="G2219" t="s">
        <v>650</v>
      </c>
      <c r="H2219">
        <v>63</v>
      </c>
      <c r="I2219" t="s">
        <v>647</v>
      </c>
      <c r="J2219">
        <v>13000</v>
      </c>
      <c r="K2219" s="1">
        <v>44221</v>
      </c>
      <c r="L2219">
        <v>2021</v>
      </c>
      <c r="M2219" t="str">
        <f>UPPER(TEXT(_2020_2022[[#This Row],[Data da Venda]],"mmm"))</f>
        <v>JAN</v>
      </c>
    </row>
    <row r="2220" spans="1:13" x14ac:dyDescent="0.25">
      <c r="A2220" t="s">
        <v>11</v>
      </c>
      <c r="B2220">
        <v>4500</v>
      </c>
      <c r="C2220">
        <v>4</v>
      </c>
      <c r="D2220" t="s">
        <v>31</v>
      </c>
      <c r="E2220" t="s">
        <v>645</v>
      </c>
      <c r="F2220" t="s">
        <v>862</v>
      </c>
      <c r="G2220" t="s">
        <v>650</v>
      </c>
      <c r="H2220">
        <v>71</v>
      </c>
      <c r="I2220" t="s">
        <v>647</v>
      </c>
      <c r="J2220">
        <v>18000</v>
      </c>
      <c r="K2220" s="1">
        <v>44502</v>
      </c>
      <c r="L2220">
        <v>2021</v>
      </c>
      <c r="M2220" t="str">
        <f>UPPER(TEXT(_2020_2022[[#This Row],[Data da Venda]],"mmm"))</f>
        <v>NOV</v>
      </c>
    </row>
    <row r="2221" spans="1:13" x14ac:dyDescent="0.25">
      <c r="A2221" t="s">
        <v>16</v>
      </c>
      <c r="B2221">
        <v>1400</v>
      </c>
      <c r="C2221">
        <v>1</v>
      </c>
      <c r="D2221" t="s">
        <v>39</v>
      </c>
      <c r="E2221" t="s">
        <v>641</v>
      </c>
      <c r="F2221" t="s">
        <v>1202</v>
      </c>
      <c r="G2221" t="s">
        <v>650</v>
      </c>
      <c r="H2221">
        <v>37</v>
      </c>
      <c r="I2221" t="s">
        <v>644</v>
      </c>
      <c r="J2221">
        <v>1400</v>
      </c>
      <c r="K2221" s="1">
        <v>44561</v>
      </c>
      <c r="L2221">
        <v>2021</v>
      </c>
      <c r="M2221" t="str">
        <f>UPPER(TEXT(_2020_2022[[#This Row],[Data da Venda]],"mmm"))</f>
        <v>DEZ</v>
      </c>
    </row>
    <row r="2222" spans="1:13" x14ac:dyDescent="0.25">
      <c r="A2222" t="s">
        <v>5</v>
      </c>
      <c r="B2222">
        <v>1750</v>
      </c>
      <c r="C2222">
        <v>5</v>
      </c>
      <c r="D2222" t="s">
        <v>29</v>
      </c>
      <c r="E2222" t="s">
        <v>641</v>
      </c>
      <c r="F2222" t="s">
        <v>1329</v>
      </c>
      <c r="G2222" t="s">
        <v>643</v>
      </c>
      <c r="H2222">
        <v>30</v>
      </c>
      <c r="I2222" t="s">
        <v>644</v>
      </c>
      <c r="J2222">
        <v>8750</v>
      </c>
      <c r="K2222" s="1">
        <v>44399</v>
      </c>
      <c r="L2222">
        <v>2021</v>
      </c>
      <c r="M2222" t="str">
        <f>UPPER(TEXT(_2020_2022[[#This Row],[Data da Venda]],"mmm"))</f>
        <v>JUL</v>
      </c>
    </row>
    <row r="2223" spans="1:13" x14ac:dyDescent="0.25">
      <c r="A2223" t="s">
        <v>12</v>
      </c>
      <c r="B2223">
        <v>6500</v>
      </c>
      <c r="C2223">
        <v>5</v>
      </c>
      <c r="D2223" t="s">
        <v>38</v>
      </c>
      <c r="E2223" t="s">
        <v>648</v>
      </c>
      <c r="F2223" t="s">
        <v>1363</v>
      </c>
      <c r="G2223" t="s">
        <v>643</v>
      </c>
      <c r="H2223">
        <v>70</v>
      </c>
      <c r="I2223" t="s">
        <v>647</v>
      </c>
      <c r="J2223">
        <v>32500</v>
      </c>
      <c r="K2223" s="1">
        <v>44305</v>
      </c>
      <c r="L2223">
        <v>2021</v>
      </c>
      <c r="M2223" t="str">
        <f>UPPER(TEXT(_2020_2022[[#This Row],[Data da Venda]],"mmm"))</f>
        <v>ABR</v>
      </c>
    </row>
    <row r="2224" spans="1:13" x14ac:dyDescent="0.25">
      <c r="A2224" t="s">
        <v>13</v>
      </c>
      <c r="B2224">
        <v>2300</v>
      </c>
      <c r="C2224">
        <v>3</v>
      </c>
      <c r="D2224" t="s">
        <v>29</v>
      </c>
      <c r="E2224" t="s">
        <v>641</v>
      </c>
      <c r="F2224" t="s">
        <v>711</v>
      </c>
      <c r="G2224" t="s">
        <v>650</v>
      </c>
      <c r="H2224">
        <v>55</v>
      </c>
      <c r="I2224" t="s">
        <v>647</v>
      </c>
      <c r="J2224">
        <v>6900</v>
      </c>
      <c r="K2224" s="1">
        <v>44318</v>
      </c>
      <c r="L2224">
        <v>2021</v>
      </c>
      <c r="M2224" t="str">
        <f>UPPER(TEXT(_2020_2022[[#This Row],[Data da Venda]],"mmm"))</f>
        <v>MAI</v>
      </c>
    </row>
    <row r="2225" spans="1:13" x14ac:dyDescent="0.25">
      <c r="A2225" t="s">
        <v>11</v>
      </c>
      <c r="B2225">
        <v>4500</v>
      </c>
      <c r="C2225">
        <v>2</v>
      </c>
      <c r="D2225" t="s">
        <v>31</v>
      </c>
      <c r="E2225" t="s">
        <v>645</v>
      </c>
      <c r="F2225" t="s">
        <v>1077</v>
      </c>
      <c r="G2225" t="s">
        <v>643</v>
      </c>
      <c r="H2225">
        <v>31</v>
      </c>
      <c r="I2225" t="s">
        <v>644</v>
      </c>
      <c r="J2225">
        <v>9000</v>
      </c>
      <c r="K2225" s="1">
        <v>44481</v>
      </c>
      <c r="L2225">
        <v>2021</v>
      </c>
      <c r="M2225" t="str">
        <f>UPPER(TEXT(_2020_2022[[#This Row],[Data da Venda]],"mmm"))</f>
        <v>OUT</v>
      </c>
    </row>
    <row r="2226" spans="1:13" x14ac:dyDescent="0.25">
      <c r="A2226" t="s">
        <v>14</v>
      </c>
      <c r="B2226">
        <v>2000</v>
      </c>
      <c r="C2226">
        <v>2</v>
      </c>
      <c r="D2226" t="s">
        <v>40</v>
      </c>
      <c r="E2226" t="s">
        <v>657</v>
      </c>
      <c r="F2226" t="s">
        <v>1383</v>
      </c>
      <c r="G2226" t="s">
        <v>650</v>
      </c>
      <c r="H2226">
        <v>55</v>
      </c>
      <c r="I2226" t="s">
        <v>647</v>
      </c>
      <c r="J2226">
        <v>4000</v>
      </c>
      <c r="K2226" s="1">
        <v>44447</v>
      </c>
      <c r="L2226">
        <v>2021</v>
      </c>
      <c r="M2226" t="str">
        <f>UPPER(TEXT(_2020_2022[[#This Row],[Data da Venda]],"mmm"))</f>
        <v>SET</v>
      </c>
    </row>
    <row r="2227" spans="1:13" x14ac:dyDescent="0.25">
      <c r="A2227" t="s">
        <v>8</v>
      </c>
      <c r="B2227">
        <v>5500</v>
      </c>
      <c r="C2227">
        <v>4</v>
      </c>
      <c r="D2227" t="s">
        <v>37</v>
      </c>
      <c r="E2227" t="s">
        <v>645</v>
      </c>
      <c r="F2227" t="s">
        <v>1357</v>
      </c>
      <c r="G2227" t="s">
        <v>650</v>
      </c>
      <c r="H2227">
        <v>71</v>
      </c>
      <c r="I2227" t="s">
        <v>647</v>
      </c>
      <c r="J2227">
        <v>22000</v>
      </c>
      <c r="K2227" s="1">
        <v>44516</v>
      </c>
      <c r="L2227">
        <v>2021</v>
      </c>
      <c r="M2227" t="str">
        <f>UPPER(TEXT(_2020_2022[[#This Row],[Data da Venda]],"mmm"))</f>
        <v>NOV</v>
      </c>
    </row>
    <row r="2228" spans="1:13" x14ac:dyDescent="0.25">
      <c r="A2228" t="s">
        <v>1445</v>
      </c>
      <c r="B2228">
        <v>1500</v>
      </c>
      <c r="C2228">
        <v>3</v>
      </c>
      <c r="D2228" t="s">
        <v>32</v>
      </c>
      <c r="E2228" t="s">
        <v>652</v>
      </c>
      <c r="F2228" t="s">
        <v>1115</v>
      </c>
      <c r="G2228" t="s">
        <v>650</v>
      </c>
      <c r="H2228">
        <v>35</v>
      </c>
      <c r="I2228" t="s">
        <v>644</v>
      </c>
      <c r="J2228">
        <v>4500</v>
      </c>
      <c r="K2228" s="1">
        <v>44409</v>
      </c>
      <c r="L2228">
        <v>2021</v>
      </c>
      <c r="M2228" t="str">
        <f>UPPER(TEXT(_2020_2022[[#This Row],[Data da Venda]],"mmm"))</f>
        <v>AGO</v>
      </c>
    </row>
    <row r="2229" spans="1:13" x14ac:dyDescent="0.25">
      <c r="A2229" t="s">
        <v>12</v>
      </c>
      <c r="B2229">
        <v>6500</v>
      </c>
      <c r="C2229">
        <v>4</v>
      </c>
      <c r="D2229" t="s">
        <v>29</v>
      </c>
      <c r="E2229" t="s">
        <v>641</v>
      </c>
      <c r="F2229" t="s">
        <v>982</v>
      </c>
      <c r="G2229" t="s">
        <v>643</v>
      </c>
      <c r="H2229">
        <v>29</v>
      </c>
      <c r="I2229" t="s">
        <v>651</v>
      </c>
      <c r="J2229">
        <v>26000</v>
      </c>
      <c r="K2229" s="1">
        <v>44554</v>
      </c>
      <c r="L2229">
        <v>2021</v>
      </c>
      <c r="M2229" t="str">
        <f>UPPER(TEXT(_2020_2022[[#This Row],[Data da Venda]],"mmm"))</f>
        <v>DEZ</v>
      </c>
    </row>
    <row r="2230" spans="1:13" x14ac:dyDescent="0.25">
      <c r="A2230" t="s">
        <v>7</v>
      </c>
      <c r="B2230">
        <v>750</v>
      </c>
      <c r="C2230">
        <v>5</v>
      </c>
      <c r="D2230" t="s">
        <v>29</v>
      </c>
      <c r="E2230" t="s">
        <v>641</v>
      </c>
      <c r="F2230" t="s">
        <v>827</v>
      </c>
      <c r="G2230" t="s">
        <v>650</v>
      </c>
      <c r="H2230">
        <v>54</v>
      </c>
      <c r="I2230" t="s">
        <v>647</v>
      </c>
      <c r="J2230">
        <v>3750</v>
      </c>
      <c r="K2230" s="1">
        <v>44505</v>
      </c>
      <c r="L2230">
        <v>2021</v>
      </c>
      <c r="M2230" t="str">
        <f>UPPER(TEXT(_2020_2022[[#This Row],[Data da Venda]],"mmm"))</f>
        <v>NOV</v>
      </c>
    </row>
    <row r="2231" spans="1:13" x14ac:dyDescent="0.25">
      <c r="A2231" t="s">
        <v>21</v>
      </c>
      <c r="B2231">
        <v>2400</v>
      </c>
      <c r="C2231">
        <v>3</v>
      </c>
      <c r="D2231" t="s">
        <v>39</v>
      </c>
      <c r="E2231" t="s">
        <v>641</v>
      </c>
      <c r="F2231" t="s">
        <v>1275</v>
      </c>
      <c r="G2231" t="s">
        <v>643</v>
      </c>
      <c r="H2231">
        <v>26</v>
      </c>
      <c r="I2231" t="s">
        <v>651</v>
      </c>
      <c r="J2231">
        <v>7200</v>
      </c>
      <c r="K2231" s="1">
        <v>44538</v>
      </c>
      <c r="L2231">
        <v>2021</v>
      </c>
      <c r="M2231" t="str">
        <f>UPPER(TEXT(_2020_2022[[#This Row],[Data da Venda]],"mmm"))</f>
        <v>DEZ</v>
      </c>
    </row>
    <row r="2232" spans="1:13" x14ac:dyDescent="0.25">
      <c r="A2232" t="s">
        <v>14</v>
      </c>
      <c r="B2232">
        <v>2000</v>
      </c>
      <c r="C2232">
        <v>4</v>
      </c>
      <c r="D2232" t="s">
        <v>31</v>
      </c>
      <c r="E2232" t="s">
        <v>645</v>
      </c>
      <c r="F2232" t="s">
        <v>1075</v>
      </c>
      <c r="G2232" t="s">
        <v>643</v>
      </c>
      <c r="H2232">
        <v>73</v>
      </c>
      <c r="I2232" t="s">
        <v>647</v>
      </c>
      <c r="J2232">
        <v>8000</v>
      </c>
      <c r="K2232" s="1">
        <v>44526</v>
      </c>
      <c r="L2232">
        <v>2021</v>
      </c>
      <c r="M2232" t="str">
        <f>UPPER(TEXT(_2020_2022[[#This Row],[Data da Venda]],"mmm"))</f>
        <v>NOV</v>
      </c>
    </row>
    <row r="2233" spans="1:13" x14ac:dyDescent="0.25">
      <c r="A2233" t="s">
        <v>7</v>
      </c>
      <c r="B2233">
        <v>750</v>
      </c>
      <c r="C2233">
        <v>3</v>
      </c>
      <c r="D2233" t="s">
        <v>37</v>
      </c>
      <c r="E2233" t="s">
        <v>645</v>
      </c>
      <c r="F2233" t="s">
        <v>968</v>
      </c>
      <c r="G2233" t="s">
        <v>650</v>
      </c>
      <c r="H2233">
        <v>25</v>
      </c>
      <c r="I2233" t="s">
        <v>651</v>
      </c>
      <c r="J2233">
        <v>2250</v>
      </c>
      <c r="K2233" s="1">
        <v>44273</v>
      </c>
      <c r="L2233">
        <v>2021</v>
      </c>
      <c r="M2233" t="str">
        <f>UPPER(TEXT(_2020_2022[[#This Row],[Data da Venda]],"mmm"))</f>
        <v>MAR</v>
      </c>
    </row>
    <row r="2234" spans="1:13" x14ac:dyDescent="0.25">
      <c r="A2234" t="s">
        <v>24</v>
      </c>
      <c r="B2234">
        <v>2000</v>
      </c>
      <c r="C2234">
        <v>2</v>
      </c>
      <c r="D2234" t="s">
        <v>35</v>
      </c>
      <c r="E2234" t="s">
        <v>666</v>
      </c>
      <c r="F2234" t="s">
        <v>731</v>
      </c>
      <c r="G2234" t="s">
        <v>643</v>
      </c>
      <c r="H2234">
        <v>62</v>
      </c>
      <c r="I2234" t="s">
        <v>647</v>
      </c>
      <c r="J2234">
        <v>4000</v>
      </c>
      <c r="K2234" s="1">
        <v>44411</v>
      </c>
      <c r="L2234">
        <v>2021</v>
      </c>
      <c r="M2234" t="str">
        <f>UPPER(TEXT(_2020_2022[[#This Row],[Data da Venda]],"mmm"))</f>
        <v>AGO</v>
      </c>
    </row>
    <row r="2235" spans="1:13" x14ac:dyDescent="0.25">
      <c r="A2235" t="s">
        <v>28</v>
      </c>
      <c r="B2235">
        <v>1400</v>
      </c>
      <c r="C2235">
        <v>1</v>
      </c>
      <c r="D2235" t="s">
        <v>38</v>
      </c>
      <c r="E2235" t="s">
        <v>648</v>
      </c>
      <c r="F2235" t="s">
        <v>867</v>
      </c>
      <c r="G2235" t="s">
        <v>643</v>
      </c>
      <c r="H2235">
        <v>37</v>
      </c>
      <c r="I2235" t="s">
        <v>644</v>
      </c>
      <c r="J2235">
        <v>1400</v>
      </c>
      <c r="K2235" s="1">
        <v>44547</v>
      </c>
      <c r="L2235">
        <v>2021</v>
      </c>
      <c r="M2235" t="str">
        <f>UPPER(TEXT(_2020_2022[[#This Row],[Data da Venda]],"mmm"))</f>
        <v>DEZ</v>
      </c>
    </row>
    <row r="2236" spans="1:13" x14ac:dyDescent="0.25">
      <c r="A2236" t="s">
        <v>26</v>
      </c>
      <c r="B2236">
        <v>1100</v>
      </c>
      <c r="C2236">
        <v>2</v>
      </c>
      <c r="D2236" t="s">
        <v>41</v>
      </c>
      <c r="E2236" t="s">
        <v>681</v>
      </c>
      <c r="F2236" t="s">
        <v>1384</v>
      </c>
      <c r="G2236" t="s">
        <v>643</v>
      </c>
      <c r="H2236">
        <v>72</v>
      </c>
      <c r="I2236" t="s">
        <v>647</v>
      </c>
      <c r="J2236">
        <v>2200</v>
      </c>
      <c r="K2236" s="1">
        <v>44466</v>
      </c>
      <c r="L2236">
        <v>2021</v>
      </c>
      <c r="M2236" t="str">
        <f>UPPER(TEXT(_2020_2022[[#This Row],[Data da Venda]],"mmm"))</f>
        <v>SET</v>
      </c>
    </row>
    <row r="2237" spans="1:13" x14ac:dyDescent="0.25">
      <c r="A2237" t="s">
        <v>1440</v>
      </c>
      <c r="B2237">
        <v>700</v>
      </c>
      <c r="C2237">
        <v>3</v>
      </c>
      <c r="D2237" t="s">
        <v>40</v>
      </c>
      <c r="E2237" t="s">
        <v>657</v>
      </c>
      <c r="F2237" t="s">
        <v>1010</v>
      </c>
      <c r="G2237" t="s">
        <v>643</v>
      </c>
      <c r="H2237">
        <v>45</v>
      </c>
      <c r="I2237" t="s">
        <v>644</v>
      </c>
      <c r="J2237">
        <v>2100</v>
      </c>
      <c r="K2237" s="1">
        <v>44280</v>
      </c>
      <c r="L2237">
        <v>2021</v>
      </c>
      <c r="M2237" t="str">
        <f>UPPER(TEXT(_2020_2022[[#This Row],[Data da Venda]],"mmm"))</f>
        <v>MAR</v>
      </c>
    </row>
    <row r="2238" spans="1:13" x14ac:dyDescent="0.25">
      <c r="A2238" t="s">
        <v>18</v>
      </c>
      <c r="B2238">
        <v>3000</v>
      </c>
      <c r="C2238">
        <v>2</v>
      </c>
      <c r="D2238" t="s">
        <v>40</v>
      </c>
      <c r="E2238" t="s">
        <v>657</v>
      </c>
      <c r="F2238" t="s">
        <v>1385</v>
      </c>
      <c r="G2238" t="s">
        <v>643</v>
      </c>
      <c r="H2238">
        <v>71</v>
      </c>
      <c r="I2238" t="s">
        <v>647</v>
      </c>
      <c r="J2238">
        <v>6000</v>
      </c>
      <c r="K2238" s="1">
        <v>44285</v>
      </c>
      <c r="L2238">
        <v>2021</v>
      </c>
      <c r="M2238" t="str">
        <f>UPPER(TEXT(_2020_2022[[#This Row],[Data da Venda]],"mmm"))</f>
        <v>MAR</v>
      </c>
    </row>
    <row r="2239" spans="1:13" x14ac:dyDescent="0.25">
      <c r="A2239" t="s">
        <v>8</v>
      </c>
      <c r="B2239">
        <v>5500</v>
      </c>
      <c r="C2239">
        <v>1</v>
      </c>
      <c r="D2239" t="s">
        <v>29</v>
      </c>
      <c r="E2239" t="s">
        <v>641</v>
      </c>
      <c r="F2239" t="s">
        <v>1102</v>
      </c>
      <c r="G2239" t="s">
        <v>643</v>
      </c>
      <c r="H2239">
        <v>44</v>
      </c>
      <c r="I2239" t="s">
        <v>644</v>
      </c>
      <c r="J2239">
        <v>5500</v>
      </c>
      <c r="K2239" s="1">
        <v>44445</v>
      </c>
      <c r="L2239">
        <v>2021</v>
      </c>
      <c r="M2239" t="str">
        <f>UPPER(TEXT(_2020_2022[[#This Row],[Data da Venda]],"mmm"))</f>
        <v>SET</v>
      </c>
    </row>
    <row r="2240" spans="1:13" x14ac:dyDescent="0.25">
      <c r="A2240" t="s">
        <v>1440</v>
      </c>
      <c r="B2240">
        <v>700</v>
      </c>
      <c r="C2240">
        <v>4</v>
      </c>
      <c r="D2240" t="s">
        <v>32</v>
      </c>
      <c r="E2240" t="s">
        <v>652</v>
      </c>
      <c r="F2240" t="s">
        <v>786</v>
      </c>
      <c r="G2240" t="s">
        <v>643</v>
      </c>
      <c r="H2240">
        <v>36</v>
      </c>
      <c r="I2240" t="s">
        <v>644</v>
      </c>
      <c r="J2240">
        <v>2800</v>
      </c>
      <c r="K2240" s="1">
        <v>44311</v>
      </c>
      <c r="L2240">
        <v>2021</v>
      </c>
      <c r="M2240" t="str">
        <f>UPPER(TEXT(_2020_2022[[#This Row],[Data da Venda]],"mmm"))</f>
        <v>ABR</v>
      </c>
    </row>
    <row r="2241" spans="1:13" x14ac:dyDescent="0.25">
      <c r="A2241" t="s">
        <v>20</v>
      </c>
      <c r="B2241">
        <v>2600</v>
      </c>
      <c r="C2241">
        <v>2</v>
      </c>
      <c r="D2241" t="s">
        <v>29</v>
      </c>
      <c r="E2241" t="s">
        <v>641</v>
      </c>
      <c r="F2241" t="s">
        <v>1065</v>
      </c>
      <c r="G2241" t="s">
        <v>650</v>
      </c>
      <c r="H2241">
        <v>71</v>
      </c>
      <c r="I2241" t="s">
        <v>647</v>
      </c>
      <c r="J2241">
        <v>5200</v>
      </c>
      <c r="K2241" s="1">
        <v>44483</v>
      </c>
      <c r="L2241">
        <v>2021</v>
      </c>
      <c r="M2241" t="str">
        <f>UPPER(TEXT(_2020_2022[[#This Row],[Data da Venda]],"mmm"))</f>
        <v>OUT</v>
      </c>
    </row>
    <row r="2242" spans="1:13" x14ac:dyDescent="0.25">
      <c r="A2242" t="s">
        <v>25</v>
      </c>
      <c r="B2242">
        <v>2500</v>
      </c>
      <c r="C2242">
        <v>3</v>
      </c>
      <c r="D2242" t="s">
        <v>33</v>
      </c>
      <c r="E2242" t="s">
        <v>641</v>
      </c>
      <c r="F2242" t="s">
        <v>970</v>
      </c>
      <c r="G2242" t="s">
        <v>643</v>
      </c>
      <c r="H2242">
        <v>75</v>
      </c>
      <c r="I2242" t="s">
        <v>647</v>
      </c>
      <c r="J2242">
        <v>7500</v>
      </c>
      <c r="K2242" s="1">
        <v>44484</v>
      </c>
      <c r="L2242">
        <v>2021</v>
      </c>
      <c r="M2242" t="str">
        <f>UPPER(TEXT(_2020_2022[[#This Row],[Data da Venda]],"mmm"))</f>
        <v>OUT</v>
      </c>
    </row>
    <row r="2243" spans="1:13" x14ac:dyDescent="0.25">
      <c r="A2243" t="s">
        <v>18</v>
      </c>
      <c r="B2243">
        <v>3000</v>
      </c>
      <c r="C2243">
        <v>3</v>
      </c>
      <c r="D2243" t="s">
        <v>32</v>
      </c>
      <c r="E2243" t="s">
        <v>652</v>
      </c>
      <c r="F2243" t="s">
        <v>745</v>
      </c>
      <c r="G2243" t="s">
        <v>650</v>
      </c>
      <c r="H2243">
        <v>64</v>
      </c>
      <c r="I2243" t="s">
        <v>647</v>
      </c>
      <c r="J2243">
        <v>9000</v>
      </c>
      <c r="K2243" s="1">
        <v>44226</v>
      </c>
      <c r="L2243">
        <v>2021</v>
      </c>
      <c r="M2243" t="str">
        <f>UPPER(TEXT(_2020_2022[[#This Row],[Data da Venda]],"mmm"))</f>
        <v>JAN</v>
      </c>
    </row>
    <row r="2244" spans="1:13" x14ac:dyDescent="0.25">
      <c r="A2244" t="s">
        <v>8</v>
      </c>
      <c r="B2244">
        <v>5500</v>
      </c>
      <c r="C2244">
        <v>3</v>
      </c>
      <c r="D2244" t="s">
        <v>32</v>
      </c>
      <c r="E2244" t="s">
        <v>652</v>
      </c>
      <c r="F2244" t="s">
        <v>804</v>
      </c>
      <c r="G2244" t="s">
        <v>643</v>
      </c>
      <c r="H2244">
        <v>75</v>
      </c>
      <c r="I2244" t="s">
        <v>647</v>
      </c>
      <c r="J2244">
        <v>16500</v>
      </c>
      <c r="K2244" s="1">
        <v>44250</v>
      </c>
      <c r="L2244">
        <v>2021</v>
      </c>
      <c r="M2244" t="str">
        <f>UPPER(TEXT(_2020_2022[[#This Row],[Data da Venda]],"mmm"))</f>
        <v>FEV</v>
      </c>
    </row>
    <row r="2245" spans="1:13" x14ac:dyDescent="0.25">
      <c r="A2245" t="s">
        <v>14</v>
      </c>
      <c r="B2245">
        <v>2000</v>
      </c>
      <c r="C2245">
        <v>3</v>
      </c>
      <c r="D2245" t="s">
        <v>33</v>
      </c>
      <c r="E2245" t="s">
        <v>641</v>
      </c>
      <c r="F2245" t="s">
        <v>727</v>
      </c>
      <c r="G2245" t="s">
        <v>643</v>
      </c>
      <c r="H2245">
        <v>39</v>
      </c>
      <c r="I2245" t="s">
        <v>644</v>
      </c>
      <c r="J2245">
        <v>6000</v>
      </c>
      <c r="K2245" s="1">
        <v>44355</v>
      </c>
      <c r="L2245">
        <v>2021</v>
      </c>
      <c r="M2245" t="str">
        <f>UPPER(TEXT(_2020_2022[[#This Row],[Data da Venda]],"mmm"))</f>
        <v>JUN</v>
      </c>
    </row>
    <row r="2246" spans="1:13" x14ac:dyDescent="0.25">
      <c r="A2246" t="s">
        <v>14</v>
      </c>
      <c r="B2246">
        <v>2000</v>
      </c>
      <c r="C2246">
        <v>2</v>
      </c>
      <c r="D2246" t="s">
        <v>33</v>
      </c>
      <c r="E2246" t="s">
        <v>641</v>
      </c>
      <c r="F2246" t="s">
        <v>1009</v>
      </c>
      <c r="G2246" t="s">
        <v>650</v>
      </c>
      <c r="H2246">
        <v>40</v>
      </c>
      <c r="I2246" t="s">
        <v>644</v>
      </c>
      <c r="J2246">
        <v>4000</v>
      </c>
      <c r="K2246" s="1">
        <v>44527</v>
      </c>
      <c r="L2246">
        <v>2021</v>
      </c>
      <c r="M2246" t="str">
        <f>UPPER(TEXT(_2020_2022[[#This Row],[Data da Venda]],"mmm"))</f>
        <v>NOV</v>
      </c>
    </row>
    <row r="2247" spans="1:13" x14ac:dyDescent="0.25">
      <c r="A2247" t="s">
        <v>24</v>
      </c>
      <c r="B2247">
        <v>2000</v>
      </c>
      <c r="C2247">
        <v>3</v>
      </c>
      <c r="D2247" t="s">
        <v>41</v>
      </c>
      <c r="E2247" t="s">
        <v>681</v>
      </c>
      <c r="F2247" t="s">
        <v>1207</v>
      </c>
      <c r="G2247" t="s">
        <v>643</v>
      </c>
      <c r="H2247">
        <v>52</v>
      </c>
      <c r="I2247" t="s">
        <v>647</v>
      </c>
      <c r="J2247">
        <v>6000</v>
      </c>
      <c r="K2247" s="1">
        <v>44381</v>
      </c>
      <c r="L2247">
        <v>2021</v>
      </c>
      <c r="M2247" t="str">
        <f>UPPER(TEXT(_2020_2022[[#This Row],[Data da Venda]],"mmm"))</f>
        <v>JUL</v>
      </c>
    </row>
    <row r="2248" spans="1:13" x14ac:dyDescent="0.25">
      <c r="A2248" t="s">
        <v>16</v>
      </c>
      <c r="B2248">
        <v>1400</v>
      </c>
      <c r="C2248">
        <v>1</v>
      </c>
      <c r="D2248" t="s">
        <v>35</v>
      </c>
      <c r="E2248" t="s">
        <v>666</v>
      </c>
      <c r="F2248" t="s">
        <v>721</v>
      </c>
      <c r="G2248" t="s">
        <v>650</v>
      </c>
      <c r="H2248">
        <v>38</v>
      </c>
      <c r="I2248" t="s">
        <v>644</v>
      </c>
      <c r="J2248">
        <v>1400</v>
      </c>
      <c r="K2248" s="1">
        <v>44240</v>
      </c>
      <c r="L2248">
        <v>2021</v>
      </c>
      <c r="M2248" t="str">
        <f>UPPER(TEXT(_2020_2022[[#This Row],[Data da Venda]],"mmm"))</f>
        <v>FEV</v>
      </c>
    </row>
    <row r="2249" spans="1:13" x14ac:dyDescent="0.25">
      <c r="A2249" t="s">
        <v>1443</v>
      </c>
      <c r="B2249">
        <v>1550</v>
      </c>
      <c r="C2249">
        <v>1</v>
      </c>
      <c r="D2249" t="s">
        <v>31</v>
      </c>
      <c r="E2249" t="s">
        <v>645</v>
      </c>
      <c r="F2249" t="s">
        <v>695</v>
      </c>
      <c r="G2249" t="s">
        <v>650</v>
      </c>
      <c r="H2249">
        <v>73</v>
      </c>
      <c r="I2249" t="s">
        <v>647</v>
      </c>
      <c r="J2249">
        <v>1550</v>
      </c>
      <c r="K2249" s="1">
        <v>44552</v>
      </c>
      <c r="L2249">
        <v>2021</v>
      </c>
      <c r="M2249" t="str">
        <f>UPPER(TEXT(_2020_2022[[#This Row],[Data da Venda]],"mmm"))</f>
        <v>DEZ</v>
      </c>
    </row>
    <row r="2250" spans="1:13" x14ac:dyDescent="0.25">
      <c r="A2250" t="s">
        <v>15</v>
      </c>
      <c r="B2250">
        <v>1900</v>
      </c>
      <c r="C2250">
        <v>1</v>
      </c>
      <c r="D2250" t="s">
        <v>37</v>
      </c>
      <c r="E2250" t="s">
        <v>645</v>
      </c>
      <c r="F2250" t="s">
        <v>702</v>
      </c>
      <c r="G2250" t="s">
        <v>643</v>
      </c>
      <c r="H2250">
        <v>56</v>
      </c>
      <c r="I2250" t="s">
        <v>647</v>
      </c>
      <c r="J2250">
        <v>1900</v>
      </c>
      <c r="K2250" s="1">
        <v>44412</v>
      </c>
      <c r="L2250">
        <v>2021</v>
      </c>
      <c r="M2250" t="str">
        <f>UPPER(TEXT(_2020_2022[[#This Row],[Data da Venda]],"mmm"))</f>
        <v>AGO</v>
      </c>
    </row>
    <row r="2251" spans="1:13" x14ac:dyDescent="0.25">
      <c r="A2251" t="s">
        <v>18</v>
      </c>
      <c r="B2251">
        <v>3000</v>
      </c>
      <c r="C2251">
        <v>1</v>
      </c>
      <c r="D2251" t="s">
        <v>36</v>
      </c>
      <c r="E2251" t="s">
        <v>677</v>
      </c>
      <c r="F2251" t="s">
        <v>1036</v>
      </c>
      <c r="G2251" t="s">
        <v>650</v>
      </c>
      <c r="H2251">
        <v>49</v>
      </c>
      <c r="I2251" t="s">
        <v>644</v>
      </c>
      <c r="J2251">
        <v>3000</v>
      </c>
      <c r="K2251" s="1">
        <v>44197</v>
      </c>
      <c r="L2251">
        <v>2021</v>
      </c>
      <c r="M2251" t="str">
        <f>UPPER(TEXT(_2020_2022[[#This Row],[Data da Venda]],"mmm"))</f>
        <v>JAN</v>
      </c>
    </row>
    <row r="2252" spans="1:13" x14ac:dyDescent="0.25">
      <c r="A2252" t="s">
        <v>1442</v>
      </c>
      <c r="B2252">
        <v>1200</v>
      </c>
      <c r="C2252">
        <v>5</v>
      </c>
      <c r="D2252" t="s">
        <v>40</v>
      </c>
      <c r="E2252" t="s">
        <v>657</v>
      </c>
      <c r="F2252" t="s">
        <v>876</v>
      </c>
      <c r="G2252" t="s">
        <v>650</v>
      </c>
      <c r="H2252">
        <v>28</v>
      </c>
      <c r="I2252" t="s">
        <v>651</v>
      </c>
      <c r="J2252">
        <v>6000</v>
      </c>
      <c r="K2252" s="1">
        <v>44211</v>
      </c>
      <c r="L2252">
        <v>2021</v>
      </c>
      <c r="M2252" t="str">
        <f>UPPER(TEXT(_2020_2022[[#This Row],[Data da Venda]],"mmm"))</f>
        <v>JAN</v>
      </c>
    </row>
    <row r="2253" spans="1:13" x14ac:dyDescent="0.25">
      <c r="A2253" t="s">
        <v>12</v>
      </c>
      <c r="B2253">
        <v>6500</v>
      </c>
      <c r="C2253">
        <v>3</v>
      </c>
      <c r="D2253" t="s">
        <v>29</v>
      </c>
      <c r="E2253" t="s">
        <v>641</v>
      </c>
      <c r="F2253" t="s">
        <v>1148</v>
      </c>
      <c r="G2253" t="s">
        <v>643</v>
      </c>
      <c r="H2253">
        <v>49</v>
      </c>
      <c r="I2253" t="s">
        <v>644</v>
      </c>
      <c r="J2253">
        <v>19500</v>
      </c>
      <c r="K2253" s="1">
        <v>44227</v>
      </c>
      <c r="L2253">
        <v>2021</v>
      </c>
      <c r="M2253" t="str">
        <f>UPPER(TEXT(_2020_2022[[#This Row],[Data da Venda]],"mmm"))</f>
        <v>JAN</v>
      </c>
    </row>
    <row r="2254" spans="1:13" x14ac:dyDescent="0.25">
      <c r="A2254" t="s">
        <v>28</v>
      </c>
      <c r="B2254">
        <v>1400</v>
      </c>
      <c r="C2254">
        <v>1</v>
      </c>
      <c r="D2254" t="s">
        <v>39</v>
      </c>
      <c r="E2254" t="s">
        <v>641</v>
      </c>
      <c r="F2254" t="s">
        <v>1225</v>
      </c>
      <c r="G2254" t="s">
        <v>650</v>
      </c>
      <c r="H2254">
        <v>45</v>
      </c>
      <c r="I2254" t="s">
        <v>644</v>
      </c>
      <c r="J2254">
        <v>1400</v>
      </c>
      <c r="K2254" s="1">
        <v>44312</v>
      </c>
      <c r="L2254">
        <v>2021</v>
      </c>
      <c r="M2254" t="str">
        <f>UPPER(TEXT(_2020_2022[[#This Row],[Data da Venda]],"mmm"))</f>
        <v>ABR</v>
      </c>
    </row>
    <row r="2255" spans="1:13" x14ac:dyDescent="0.25">
      <c r="A2255" t="s">
        <v>1441</v>
      </c>
      <c r="B2255">
        <v>1450</v>
      </c>
      <c r="C2255">
        <v>3</v>
      </c>
      <c r="D2255" t="s">
        <v>36</v>
      </c>
      <c r="E2255" t="s">
        <v>677</v>
      </c>
      <c r="F2255" t="s">
        <v>937</v>
      </c>
      <c r="G2255" t="s">
        <v>650</v>
      </c>
      <c r="H2255">
        <v>39</v>
      </c>
      <c r="I2255" t="s">
        <v>644</v>
      </c>
      <c r="J2255">
        <v>4350</v>
      </c>
      <c r="K2255" s="1">
        <v>44339</v>
      </c>
      <c r="L2255">
        <v>2021</v>
      </c>
      <c r="M2255" t="str">
        <f>UPPER(TEXT(_2020_2022[[#This Row],[Data da Venda]],"mmm"))</f>
        <v>MAI</v>
      </c>
    </row>
    <row r="2256" spans="1:13" x14ac:dyDescent="0.25">
      <c r="A2256" t="s">
        <v>11</v>
      </c>
      <c r="B2256">
        <v>4500</v>
      </c>
      <c r="C2256">
        <v>4</v>
      </c>
      <c r="D2256" t="s">
        <v>41</v>
      </c>
      <c r="E2256" t="s">
        <v>681</v>
      </c>
      <c r="F2256" t="s">
        <v>1167</v>
      </c>
      <c r="G2256" t="s">
        <v>643</v>
      </c>
      <c r="H2256">
        <v>34</v>
      </c>
      <c r="I2256" t="s">
        <v>644</v>
      </c>
      <c r="J2256">
        <v>18000</v>
      </c>
      <c r="K2256" s="1">
        <v>44486</v>
      </c>
      <c r="L2256">
        <v>2021</v>
      </c>
      <c r="M2256" t="str">
        <f>UPPER(TEXT(_2020_2022[[#This Row],[Data da Venda]],"mmm"))</f>
        <v>OUT</v>
      </c>
    </row>
    <row r="2257" spans="1:13" x14ac:dyDescent="0.25">
      <c r="A2257" t="s">
        <v>1443</v>
      </c>
      <c r="B2257">
        <v>1550</v>
      </c>
      <c r="C2257">
        <v>4</v>
      </c>
      <c r="D2257" t="s">
        <v>40</v>
      </c>
      <c r="E2257" t="s">
        <v>657</v>
      </c>
      <c r="F2257" t="s">
        <v>1203</v>
      </c>
      <c r="G2257" t="s">
        <v>643</v>
      </c>
      <c r="H2257">
        <v>37</v>
      </c>
      <c r="I2257" t="s">
        <v>644</v>
      </c>
      <c r="J2257">
        <v>6200</v>
      </c>
      <c r="K2257" s="1">
        <v>44215</v>
      </c>
      <c r="L2257">
        <v>2021</v>
      </c>
      <c r="M2257" t="str">
        <f>UPPER(TEXT(_2020_2022[[#This Row],[Data da Venda]],"mmm"))</f>
        <v>JAN</v>
      </c>
    </row>
    <row r="2258" spans="1:13" x14ac:dyDescent="0.25">
      <c r="A2258" t="s">
        <v>1441</v>
      </c>
      <c r="B2258">
        <v>1450</v>
      </c>
      <c r="C2258">
        <v>3</v>
      </c>
      <c r="D2258" t="s">
        <v>36</v>
      </c>
      <c r="E2258" t="s">
        <v>677</v>
      </c>
      <c r="F2258" t="s">
        <v>998</v>
      </c>
      <c r="G2258" t="s">
        <v>650</v>
      </c>
      <c r="H2258">
        <v>68</v>
      </c>
      <c r="I2258" t="s">
        <v>647</v>
      </c>
      <c r="J2258">
        <v>4350</v>
      </c>
      <c r="K2258" s="1">
        <v>44376</v>
      </c>
      <c r="L2258">
        <v>2021</v>
      </c>
      <c r="M2258" t="str">
        <f>UPPER(TEXT(_2020_2022[[#This Row],[Data da Venda]],"mmm"))</f>
        <v>JUN</v>
      </c>
    </row>
    <row r="2259" spans="1:13" x14ac:dyDescent="0.25">
      <c r="A2259" t="s">
        <v>24</v>
      </c>
      <c r="B2259">
        <v>2000</v>
      </c>
      <c r="C2259">
        <v>5</v>
      </c>
      <c r="D2259" t="s">
        <v>29</v>
      </c>
      <c r="E2259" t="s">
        <v>641</v>
      </c>
      <c r="F2259" t="s">
        <v>1093</v>
      </c>
      <c r="G2259" t="s">
        <v>650</v>
      </c>
      <c r="H2259">
        <v>50</v>
      </c>
      <c r="I2259" t="s">
        <v>644</v>
      </c>
      <c r="J2259">
        <v>10000</v>
      </c>
      <c r="K2259" s="1">
        <v>44468</v>
      </c>
      <c r="L2259">
        <v>2021</v>
      </c>
      <c r="M2259" t="str">
        <f>UPPER(TEXT(_2020_2022[[#This Row],[Data da Venda]],"mmm"))</f>
        <v>SET</v>
      </c>
    </row>
    <row r="2260" spans="1:13" x14ac:dyDescent="0.25">
      <c r="A2260" t="s">
        <v>1440</v>
      </c>
      <c r="B2260">
        <v>700</v>
      </c>
      <c r="C2260">
        <v>5</v>
      </c>
      <c r="D2260" t="s">
        <v>37</v>
      </c>
      <c r="E2260" t="s">
        <v>645</v>
      </c>
      <c r="F2260" t="s">
        <v>694</v>
      </c>
      <c r="G2260" t="s">
        <v>643</v>
      </c>
      <c r="H2260">
        <v>44</v>
      </c>
      <c r="I2260" t="s">
        <v>644</v>
      </c>
      <c r="J2260">
        <v>3500</v>
      </c>
      <c r="K2260" s="1">
        <v>44375</v>
      </c>
      <c r="L2260">
        <v>2021</v>
      </c>
      <c r="M2260" t="str">
        <f>UPPER(TEXT(_2020_2022[[#This Row],[Data da Venda]],"mmm"))</f>
        <v>JUN</v>
      </c>
    </row>
    <row r="2261" spans="1:13" x14ac:dyDescent="0.25">
      <c r="A2261" t="s">
        <v>8</v>
      </c>
      <c r="B2261">
        <v>5500</v>
      </c>
      <c r="C2261">
        <v>4</v>
      </c>
      <c r="D2261" t="s">
        <v>29</v>
      </c>
      <c r="E2261" t="s">
        <v>641</v>
      </c>
      <c r="F2261" t="s">
        <v>812</v>
      </c>
      <c r="G2261" t="s">
        <v>643</v>
      </c>
      <c r="H2261">
        <v>55</v>
      </c>
      <c r="I2261" t="s">
        <v>647</v>
      </c>
      <c r="J2261">
        <v>22000</v>
      </c>
      <c r="K2261" s="1">
        <v>44515</v>
      </c>
      <c r="L2261">
        <v>2021</v>
      </c>
      <c r="M2261" t="str">
        <f>UPPER(TEXT(_2020_2022[[#This Row],[Data da Venda]],"mmm"))</f>
        <v>NOV</v>
      </c>
    </row>
    <row r="2262" spans="1:13" x14ac:dyDescent="0.25">
      <c r="A2262" t="s">
        <v>13</v>
      </c>
      <c r="B2262">
        <v>2300</v>
      </c>
      <c r="C2262">
        <v>2</v>
      </c>
      <c r="D2262" t="s">
        <v>34</v>
      </c>
      <c r="E2262" t="s">
        <v>679</v>
      </c>
      <c r="F2262" t="s">
        <v>824</v>
      </c>
      <c r="G2262" t="s">
        <v>643</v>
      </c>
      <c r="H2262">
        <v>32</v>
      </c>
      <c r="I2262" t="s">
        <v>644</v>
      </c>
      <c r="J2262">
        <v>4600</v>
      </c>
      <c r="K2262" s="1">
        <v>44314</v>
      </c>
      <c r="L2262">
        <v>2021</v>
      </c>
      <c r="M2262" t="str">
        <f>UPPER(TEXT(_2020_2022[[#This Row],[Data da Venda]],"mmm"))</f>
        <v>ABR</v>
      </c>
    </row>
    <row r="2263" spans="1:13" x14ac:dyDescent="0.25">
      <c r="A2263" t="s">
        <v>1445</v>
      </c>
      <c r="B2263">
        <v>1500</v>
      </c>
      <c r="C2263">
        <v>4</v>
      </c>
      <c r="D2263" t="s">
        <v>29</v>
      </c>
      <c r="E2263" t="s">
        <v>641</v>
      </c>
      <c r="F2263" t="s">
        <v>950</v>
      </c>
      <c r="G2263" t="s">
        <v>650</v>
      </c>
      <c r="H2263">
        <v>48</v>
      </c>
      <c r="I2263" t="s">
        <v>644</v>
      </c>
      <c r="J2263">
        <v>6000</v>
      </c>
      <c r="K2263" s="1">
        <v>44472</v>
      </c>
      <c r="L2263">
        <v>2021</v>
      </c>
      <c r="M2263" t="str">
        <f>UPPER(TEXT(_2020_2022[[#This Row],[Data da Venda]],"mmm"))</f>
        <v>OUT</v>
      </c>
    </row>
    <row r="2264" spans="1:13" x14ac:dyDescent="0.25">
      <c r="A2264" t="s">
        <v>1444</v>
      </c>
      <c r="B2264">
        <v>1500</v>
      </c>
      <c r="C2264">
        <v>2</v>
      </c>
      <c r="D2264" t="s">
        <v>40</v>
      </c>
      <c r="E2264" t="s">
        <v>657</v>
      </c>
      <c r="F2264" t="s">
        <v>1386</v>
      </c>
      <c r="G2264" t="s">
        <v>650</v>
      </c>
      <c r="H2264">
        <v>57</v>
      </c>
      <c r="I2264" t="s">
        <v>647</v>
      </c>
      <c r="J2264">
        <v>3000</v>
      </c>
      <c r="K2264" s="1">
        <v>44479</v>
      </c>
      <c r="L2264">
        <v>2021</v>
      </c>
      <c r="M2264" t="str">
        <f>UPPER(TEXT(_2020_2022[[#This Row],[Data da Venda]],"mmm"))</f>
        <v>OUT</v>
      </c>
    </row>
    <row r="2265" spans="1:13" x14ac:dyDescent="0.25">
      <c r="A2265" t="s">
        <v>28</v>
      </c>
      <c r="B2265">
        <v>1400</v>
      </c>
      <c r="C2265">
        <v>2</v>
      </c>
      <c r="D2265" t="s">
        <v>33</v>
      </c>
      <c r="E2265" t="s">
        <v>641</v>
      </c>
      <c r="F2265" t="s">
        <v>866</v>
      </c>
      <c r="G2265" t="s">
        <v>643</v>
      </c>
      <c r="H2265">
        <v>36</v>
      </c>
      <c r="I2265" t="s">
        <v>644</v>
      </c>
      <c r="J2265">
        <v>2800</v>
      </c>
      <c r="K2265" s="1">
        <v>44438</v>
      </c>
      <c r="L2265">
        <v>2021</v>
      </c>
      <c r="M2265" t="str">
        <f>UPPER(TEXT(_2020_2022[[#This Row],[Data da Venda]],"mmm"))</f>
        <v>AGO</v>
      </c>
    </row>
    <row r="2266" spans="1:13" x14ac:dyDescent="0.25">
      <c r="A2266" t="s">
        <v>7</v>
      </c>
      <c r="B2266">
        <v>750</v>
      </c>
      <c r="C2266">
        <v>2</v>
      </c>
      <c r="D2266" t="s">
        <v>34</v>
      </c>
      <c r="E2266" t="s">
        <v>679</v>
      </c>
      <c r="F2266" t="s">
        <v>742</v>
      </c>
      <c r="G2266" t="s">
        <v>643</v>
      </c>
      <c r="H2266">
        <v>26</v>
      </c>
      <c r="I2266" t="s">
        <v>651</v>
      </c>
      <c r="J2266">
        <v>1500</v>
      </c>
      <c r="K2266" s="1">
        <v>44523</v>
      </c>
      <c r="L2266">
        <v>2021</v>
      </c>
      <c r="M2266" t="str">
        <f>UPPER(TEXT(_2020_2022[[#This Row],[Data da Venda]],"mmm"))</f>
        <v>NOV</v>
      </c>
    </row>
    <row r="2267" spans="1:13" x14ac:dyDescent="0.25">
      <c r="A2267" t="s">
        <v>18</v>
      </c>
      <c r="B2267">
        <v>3000</v>
      </c>
      <c r="C2267">
        <v>2</v>
      </c>
      <c r="D2267" t="s">
        <v>33</v>
      </c>
      <c r="E2267" t="s">
        <v>641</v>
      </c>
      <c r="F2267" t="s">
        <v>701</v>
      </c>
      <c r="G2267" t="s">
        <v>643</v>
      </c>
      <c r="H2267">
        <v>50</v>
      </c>
      <c r="I2267" t="s">
        <v>644</v>
      </c>
      <c r="J2267">
        <v>6000</v>
      </c>
      <c r="K2267" s="1">
        <v>44497</v>
      </c>
      <c r="L2267">
        <v>2021</v>
      </c>
      <c r="M2267" t="str">
        <f>UPPER(TEXT(_2020_2022[[#This Row],[Data da Venda]],"mmm"))</f>
        <v>OUT</v>
      </c>
    </row>
    <row r="2268" spans="1:13" x14ac:dyDescent="0.25">
      <c r="A2268" t="s">
        <v>9</v>
      </c>
      <c r="B2268">
        <v>1500</v>
      </c>
      <c r="C2268">
        <v>2</v>
      </c>
      <c r="D2268" t="s">
        <v>31</v>
      </c>
      <c r="E2268" t="s">
        <v>645</v>
      </c>
      <c r="F2268" t="s">
        <v>980</v>
      </c>
      <c r="G2268" t="s">
        <v>643</v>
      </c>
      <c r="H2268">
        <v>47</v>
      </c>
      <c r="I2268" t="s">
        <v>644</v>
      </c>
      <c r="J2268">
        <v>3000</v>
      </c>
      <c r="K2268" s="1">
        <v>44326</v>
      </c>
      <c r="L2268">
        <v>2021</v>
      </c>
      <c r="M2268" t="str">
        <f>UPPER(TEXT(_2020_2022[[#This Row],[Data da Venda]],"mmm"))</f>
        <v>MAI</v>
      </c>
    </row>
    <row r="2269" spans="1:13" x14ac:dyDescent="0.25">
      <c r="A2269" t="s">
        <v>18</v>
      </c>
      <c r="B2269">
        <v>3000</v>
      </c>
      <c r="C2269">
        <v>1</v>
      </c>
      <c r="D2269" t="s">
        <v>37</v>
      </c>
      <c r="E2269" t="s">
        <v>645</v>
      </c>
      <c r="F2269" t="s">
        <v>1214</v>
      </c>
      <c r="G2269" t="s">
        <v>643</v>
      </c>
      <c r="H2269">
        <v>64</v>
      </c>
      <c r="I2269" t="s">
        <v>647</v>
      </c>
      <c r="J2269">
        <v>3000</v>
      </c>
      <c r="K2269" s="1">
        <v>44295</v>
      </c>
      <c r="L2269">
        <v>2021</v>
      </c>
      <c r="M2269" t="str">
        <f>UPPER(TEXT(_2020_2022[[#This Row],[Data da Venda]],"mmm"))</f>
        <v>ABR</v>
      </c>
    </row>
    <row r="2270" spans="1:13" x14ac:dyDescent="0.25">
      <c r="A2270" t="s">
        <v>5</v>
      </c>
      <c r="B2270">
        <v>1750</v>
      </c>
      <c r="C2270">
        <v>2</v>
      </c>
      <c r="D2270" t="s">
        <v>37</v>
      </c>
      <c r="E2270" t="s">
        <v>645</v>
      </c>
      <c r="F2270" t="s">
        <v>1269</v>
      </c>
      <c r="G2270" t="s">
        <v>643</v>
      </c>
      <c r="H2270">
        <v>59</v>
      </c>
      <c r="I2270" t="s">
        <v>647</v>
      </c>
      <c r="J2270">
        <v>3500</v>
      </c>
      <c r="K2270" s="1">
        <v>44374</v>
      </c>
      <c r="L2270">
        <v>2021</v>
      </c>
      <c r="M2270" t="str">
        <f>UPPER(TEXT(_2020_2022[[#This Row],[Data da Venda]],"mmm"))</f>
        <v>JUN</v>
      </c>
    </row>
    <row r="2271" spans="1:13" x14ac:dyDescent="0.25">
      <c r="A2271" t="s">
        <v>1442</v>
      </c>
      <c r="B2271">
        <v>1200</v>
      </c>
      <c r="C2271">
        <v>1</v>
      </c>
      <c r="D2271" t="s">
        <v>36</v>
      </c>
      <c r="E2271" t="s">
        <v>677</v>
      </c>
      <c r="F2271" t="s">
        <v>1387</v>
      </c>
      <c r="G2271" t="s">
        <v>650</v>
      </c>
      <c r="H2271">
        <v>44</v>
      </c>
      <c r="I2271" t="s">
        <v>644</v>
      </c>
      <c r="J2271">
        <v>1200</v>
      </c>
      <c r="K2271" s="1">
        <v>44528</v>
      </c>
      <c r="L2271">
        <v>2021</v>
      </c>
      <c r="M2271" t="str">
        <f>UPPER(TEXT(_2020_2022[[#This Row],[Data da Venda]],"mmm"))</f>
        <v>NOV</v>
      </c>
    </row>
    <row r="2272" spans="1:13" x14ac:dyDescent="0.25">
      <c r="A2272" t="s">
        <v>12</v>
      </c>
      <c r="B2272">
        <v>6500</v>
      </c>
      <c r="C2272">
        <v>4</v>
      </c>
      <c r="D2272" t="s">
        <v>35</v>
      </c>
      <c r="E2272" t="s">
        <v>666</v>
      </c>
      <c r="F2272" t="s">
        <v>1062</v>
      </c>
      <c r="G2272" t="s">
        <v>650</v>
      </c>
      <c r="H2272">
        <v>56</v>
      </c>
      <c r="I2272" t="s">
        <v>647</v>
      </c>
      <c r="J2272">
        <v>26000</v>
      </c>
      <c r="K2272" s="1">
        <v>44382</v>
      </c>
      <c r="L2272">
        <v>2021</v>
      </c>
      <c r="M2272" t="str">
        <f>UPPER(TEXT(_2020_2022[[#This Row],[Data da Venda]],"mmm"))</f>
        <v>JUL</v>
      </c>
    </row>
    <row r="2273" spans="1:13" x14ac:dyDescent="0.25">
      <c r="A2273" t="s">
        <v>1444</v>
      </c>
      <c r="B2273">
        <v>1500</v>
      </c>
      <c r="C2273">
        <v>4</v>
      </c>
      <c r="D2273" t="s">
        <v>41</v>
      </c>
      <c r="E2273" t="s">
        <v>681</v>
      </c>
      <c r="F2273" t="s">
        <v>1218</v>
      </c>
      <c r="G2273" t="s">
        <v>650</v>
      </c>
      <c r="H2273">
        <v>44</v>
      </c>
      <c r="I2273" t="s">
        <v>644</v>
      </c>
      <c r="J2273">
        <v>6000</v>
      </c>
      <c r="K2273" s="1">
        <v>44249</v>
      </c>
      <c r="L2273">
        <v>2021</v>
      </c>
      <c r="M2273" t="str">
        <f>UPPER(TEXT(_2020_2022[[#This Row],[Data da Venda]],"mmm"))</f>
        <v>FEV</v>
      </c>
    </row>
    <row r="2274" spans="1:13" x14ac:dyDescent="0.25">
      <c r="A2274" t="s">
        <v>21</v>
      </c>
      <c r="B2274">
        <v>2400</v>
      </c>
      <c r="C2274">
        <v>5</v>
      </c>
      <c r="D2274" t="s">
        <v>35</v>
      </c>
      <c r="E2274" t="s">
        <v>666</v>
      </c>
      <c r="F2274" t="s">
        <v>1388</v>
      </c>
      <c r="G2274" t="s">
        <v>643</v>
      </c>
      <c r="H2274">
        <v>60</v>
      </c>
      <c r="I2274" t="s">
        <v>647</v>
      </c>
      <c r="J2274">
        <v>12000</v>
      </c>
      <c r="K2274" s="1">
        <v>44253</v>
      </c>
      <c r="L2274">
        <v>2021</v>
      </c>
      <c r="M2274" t="str">
        <f>UPPER(TEXT(_2020_2022[[#This Row],[Data da Venda]],"mmm"))</f>
        <v>FEV</v>
      </c>
    </row>
    <row r="2275" spans="1:13" x14ac:dyDescent="0.25">
      <c r="A2275" t="s">
        <v>16</v>
      </c>
      <c r="B2275">
        <v>1400</v>
      </c>
      <c r="C2275">
        <v>1</v>
      </c>
      <c r="D2275" t="s">
        <v>40</v>
      </c>
      <c r="E2275" t="s">
        <v>657</v>
      </c>
      <c r="F2275" t="s">
        <v>1222</v>
      </c>
      <c r="G2275" t="s">
        <v>643</v>
      </c>
      <c r="H2275">
        <v>52</v>
      </c>
      <c r="I2275" t="s">
        <v>647</v>
      </c>
      <c r="J2275">
        <v>1400</v>
      </c>
      <c r="K2275" s="1">
        <v>44197</v>
      </c>
      <c r="L2275">
        <v>2021</v>
      </c>
      <c r="M2275" t="str">
        <f>UPPER(TEXT(_2020_2022[[#This Row],[Data da Venda]],"mmm"))</f>
        <v>JAN</v>
      </c>
    </row>
    <row r="2276" spans="1:13" x14ac:dyDescent="0.25">
      <c r="A2276" t="s">
        <v>20</v>
      </c>
      <c r="B2276">
        <v>2600</v>
      </c>
      <c r="C2276">
        <v>1</v>
      </c>
      <c r="D2276" t="s">
        <v>36</v>
      </c>
      <c r="E2276" t="s">
        <v>677</v>
      </c>
      <c r="F2276" t="s">
        <v>1389</v>
      </c>
      <c r="G2276" t="s">
        <v>643</v>
      </c>
      <c r="H2276">
        <v>35</v>
      </c>
      <c r="I2276" t="s">
        <v>644</v>
      </c>
      <c r="J2276">
        <v>2600</v>
      </c>
      <c r="K2276" s="1">
        <v>44468</v>
      </c>
      <c r="L2276">
        <v>2021</v>
      </c>
      <c r="M2276" t="str">
        <f>UPPER(TEXT(_2020_2022[[#This Row],[Data da Venda]],"mmm"))</f>
        <v>SET</v>
      </c>
    </row>
    <row r="2277" spans="1:13" x14ac:dyDescent="0.25">
      <c r="A2277" t="s">
        <v>5</v>
      </c>
      <c r="B2277">
        <v>1750</v>
      </c>
      <c r="C2277">
        <v>2</v>
      </c>
      <c r="D2277" t="s">
        <v>30</v>
      </c>
      <c r="E2277" t="s">
        <v>645</v>
      </c>
      <c r="F2277" t="s">
        <v>1371</v>
      </c>
      <c r="G2277" t="s">
        <v>643</v>
      </c>
      <c r="H2277">
        <v>32</v>
      </c>
      <c r="I2277" t="s">
        <v>644</v>
      </c>
      <c r="J2277">
        <v>3500</v>
      </c>
      <c r="K2277" s="1">
        <v>44285</v>
      </c>
      <c r="L2277">
        <v>2021</v>
      </c>
      <c r="M2277" t="str">
        <f>UPPER(TEXT(_2020_2022[[#This Row],[Data da Venda]],"mmm"))</f>
        <v>MAR</v>
      </c>
    </row>
    <row r="2278" spans="1:13" x14ac:dyDescent="0.25">
      <c r="A2278" t="s">
        <v>1443</v>
      </c>
      <c r="B2278">
        <v>1550</v>
      </c>
      <c r="C2278">
        <v>2</v>
      </c>
      <c r="D2278" t="s">
        <v>39</v>
      </c>
      <c r="E2278" t="s">
        <v>641</v>
      </c>
      <c r="F2278" t="s">
        <v>1231</v>
      </c>
      <c r="G2278" t="s">
        <v>643</v>
      </c>
      <c r="H2278">
        <v>41</v>
      </c>
      <c r="I2278" t="s">
        <v>644</v>
      </c>
      <c r="J2278">
        <v>3100</v>
      </c>
      <c r="K2278" s="1">
        <v>44474</v>
      </c>
      <c r="L2278">
        <v>2021</v>
      </c>
      <c r="M2278" t="str">
        <f>UPPER(TEXT(_2020_2022[[#This Row],[Data da Venda]],"mmm"))</f>
        <v>OUT</v>
      </c>
    </row>
    <row r="2279" spans="1:13" x14ac:dyDescent="0.25">
      <c r="A2279" t="s">
        <v>14</v>
      </c>
      <c r="B2279">
        <v>2000</v>
      </c>
      <c r="C2279">
        <v>5</v>
      </c>
      <c r="D2279" t="s">
        <v>40</v>
      </c>
      <c r="E2279" t="s">
        <v>657</v>
      </c>
      <c r="F2279" t="s">
        <v>1034</v>
      </c>
      <c r="G2279" t="s">
        <v>643</v>
      </c>
      <c r="H2279">
        <v>75</v>
      </c>
      <c r="I2279" t="s">
        <v>647</v>
      </c>
      <c r="J2279">
        <v>10000</v>
      </c>
      <c r="K2279" s="1">
        <v>44229</v>
      </c>
      <c r="L2279">
        <v>2021</v>
      </c>
      <c r="M2279" t="str">
        <f>UPPER(TEXT(_2020_2022[[#This Row],[Data da Venda]],"mmm"))</f>
        <v>FEV</v>
      </c>
    </row>
    <row r="2280" spans="1:13" x14ac:dyDescent="0.25">
      <c r="A2280" t="s">
        <v>18</v>
      </c>
      <c r="B2280">
        <v>3000</v>
      </c>
      <c r="C2280">
        <v>1</v>
      </c>
      <c r="D2280" t="s">
        <v>29</v>
      </c>
      <c r="E2280" t="s">
        <v>641</v>
      </c>
      <c r="F2280" t="s">
        <v>994</v>
      </c>
      <c r="G2280" t="s">
        <v>643</v>
      </c>
      <c r="H2280">
        <v>46</v>
      </c>
      <c r="I2280" t="s">
        <v>644</v>
      </c>
      <c r="J2280">
        <v>3000</v>
      </c>
      <c r="K2280" s="1">
        <v>44474</v>
      </c>
      <c r="L2280">
        <v>2021</v>
      </c>
      <c r="M2280" t="str">
        <f>UPPER(TEXT(_2020_2022[[#This Row],[Data da Venda]],"mmm"))</f>
        <v>OUT</v>
      </c>
    </row>
    <row r="2281" spans="1:13" x14ac:dyDescent="0.25">
      <c r="A2281" t="s">
        <v>11</v>
      </c>
      <c r="B2281">
        <v>4500</v>
      </c>
      <c r="C2281">
        <v>2</v>
      </c>
      <c r="D2281" t="s">
        <v>40</v>
      </c>
      <c r="E2281" t="s">
        <v>657</v>
      </c>
      <c r="F2281" t="s">
        <v>1390</v>
      </c>
      <c r="G2281" t="s">
        <v>650</v>
      </c>
      <c r="H2281">
        <v>62</v>
      </c>
      <c r="I2281" t="s">
        <v>647</v>
      </c>
      <c r="J2281">
        <v>9000</v>
      </c>
      <c r="K2281" s="1">
        <v>44536</v>
      </c>
      <c r="L2281">
        <v>2021</v>
      </c>
      <c r="M2281" t="str">
        <f>UPPER(TEXT(_2020_2022[[#This Row],[Data da Venda]],"mmm"))</f>
        <v>DEZ</v>
      </c>
    </row>
    <row r="2282" spans="1:13" x14ac:dyDescent="0.25">
      <c r="A2282" t="s">
        <v>21</v>
      </c>
      <c r="B2282">
        <v>2400</v>
      </c>
      <c r="C2282">
        <v>2</v>
      </c>
      <c r="D2282" t="s">
        <v>34</v>
      </c>
      <c r="E2282" t="s">
        <v>679</v>
      </c>
      <c r="F2282" t="s">
        <v>824</v>
      </c>
      <c r="G2282" t="s">
        <v>643</v>
      </c>
      <c r="H2282">
        <v>32</v>
      </c>
      <c r="I2282" t="s">
        <v>644</v>
      </c>
      <c r="J2282">
        <v>4800</v>
      </c>
      <c r="K2282" s="1">
        <v>44420</v>
      </c>
      <c r="L2282">
        <v>2021</v>
      </c>
      <c r="M2282" t="str">
        <f>UPPER(TEXT(_2020_2022[[#This Row],[Data da Venda]],"mmm"))</f>
        <v>AGO</v>
      </c>
    </row>
    <row r="2283" spans="1:13" x14ac:dyDescent="0.25">
      <c r="A2283" t="s">
        <v>18</v>
      </c>
      <c r="B2283">
        <v>3000</v>
      </c>
      <c r="C2283">
        <v>4</v>
      </c>
      <c r="D2283" t="s">
        <v>40</v>
      </c>
      <c r="E2283" t="s">
        <v>657</v>
      </c>
      <c r="F2283" t="s">
        <v>770</v>
      </c>
      <c r="G2283" t="s">
        <v>643</v>
      </c>
      <c r="H2283">
        <v>31</v>
      </c>
      <c r="I2283" t="s">
        <v>644</v>
      </c>
      <c r="J2283">
        <v>12000</v>
      </c>
      <c r="K2283" s="1">
        <v>44296</v>
      </c>
      <c r="L2283">
        <v>2021</v>
      </c>
      <c r="M2283" t="str">
        <f>UPPER(TEXT(_2020_2022[[#This Row],[Data da Venda]],"mmm"))</f>
        <v>ABR</v>
      </c>
    </row>
    <row r="2284" spans="1:13" x14ac:dyDescent="0.25">
      <c r="A2284" t="s">
        <v>9</v>
      </c>
      <c r="B2284">
        <v>1500</v>
      </c>
      <c r="C2284">
        <v>5</v>
      </c>
      <c r="D2284" t="s">
        <v>34</v>
      </c>
      <c r="E2284" t="s">
        <v>679</v>
      </c>
      <c r="F2284" t="s">
        <v>1237</v>
      </c>
      <c r="G2284" t="s">
        <v>650</v>
      </c>
      <c r="H2284">
        <v>39</v>
      </c>
      <c r="I2284" t="s">
        <v>644</v>
      </c>
      <c r="J2284">
        <v>7500</v>
      </c>
      <c r="K2284" s="1">
        <v>44559</v>
      </c>
      <c r="L2284">
        <v>2021</v>
      </c>
      <c r="M2284" t="str">
        <f>UPPER(TEXT(_2020_2022[[#This Row],[Data da Venda]],"mmm"))</f>
        <v>DEZ</v>
      </c>
    </row>
    <row r="2285" spans="1:13" x14ac:dyDescent="0.25">
      <c r="A2285" t="s">
        <v>1440</v>
      </c>
      <c r="B2285">
        <v>700</v>
      </c>
      <c r="C2285">
        <v>4</v>
      </c>
      <c r="D2285" t="s">
        <v>30</v>
      </c>
      <c r="E2285" t="s">
        <v>645</v>
      </c>
      <c r="F2285" t="s">
        <v>736</v>
      </c>
      <c r="G2285" t="s">
        <v>643</v>
      </c>
      <c r="H2285">
        <v>37</v>
      </c>
      <c r="I2285" t="s">
        <v>644</v>
      </c>
      <c r="J2285">
        <v>2800</v>
      </c>
      <c r="K2285" s="1">
        <v>44353</v>
      </c>
      <c r="L2285">
        <v>2021</v>
      </c>
      <c r="M2285" t="str">
        <f>UPPER(TEXT(_2020_2022[[#This Row],[Data da Venda]],"mmm"))</f>
        <v>JUN</v>
      </c>
    </row>
    <row r="2286" spans="1:13" x14ac:dyDescent="0.25">
      <c r="A2286" t="s">
        <v>15</v>
      </c>
      <c r="B2286">
        <v>1900</v>
      </c>
      <c r="C2286">
        <v>3</v>
      </c>
      <c r="D2286" t="s">
        <v>40</v>
      </c>
      <c r="E2286" t="s">
        <v>657</v>
      </c>
      <c r="F2286" t="s">
        <v>876</v>
      </c>
      <c r="G2286" t="s">
        <v>650</v>
      </c>
      <c r="H2286">
        <v>28</v>
      </c>
      <c r="I2286" t="s">
        <v>651</v>
      </c>
      <c r="J2286">
        <v>5700</v>
      </c>
      <c r="K2286" s="1">
        <v>44374</v>
      </c>
      <c r="L2286">
        <v>2021</v>
      </c>
      <c r="M2286" t="str">
        <f>UPPER(TEXT(_2020_2022[[#This Row],[Data da Venda]],"mmm"))</f>
        <v>JUN</v>
      </c>
    </row>
    <row r="2287" spans="1:13" x14ac:dyDescent="0.25">
      <c r="A2287" t="s">
        <v>12</v>
      </c>
      <c r="B2287">
        <v>6500</v>
      </c>
      <c r="C2287">
        <v>5</v>
      </c>
      <c r="D2287" t="s">
        <v>36</v>
      </c>
      <c r="E2287" t="s">
        <v>677</v>
      </c>
      <c r="F2287" t="s">
        <v>1087</v>
      </c>
      <c r="G2287" t="s">
        <v>643</v>
      </c>
      <c r="H2287">
        <v>56</v>
      </c>
      <c r="I2287" t="s">
        <v>647</v>
      </c>
      <c r="J2287">
        <v>32500</v>
      </c>
      <c r="K2287" s="1">
        <v>44417</v>
      </c>
      <c r="L2287">
        <v>2021</v>
      </c>
      <c r="M2287" t="str">
        <f>UPPER(TEXT(_2020_2022[[#This Row],[Data da Venda]],"mmm"))</f>
        <v>AGO</v>
      </c>
    </row>
    <row r="2288" spans="1:13" x14ac:dyDescent="0.25">
      <c r="A2288" t="s">
        <v>8</v>
      </c>
      <c r="B2288">
        <v>5500</v>
      </c>
      <c r="C2288">
        <v>2</v>
      </c>
      <c r="D2288" t="s">
        <v>32</v>
      </c>
      <c r="E2288" t="s">
        <v>652</v>
      </c>
      <c r="F2288" t="s">
        <v>934</v>
      </c>
      <c r="G2288" t="s">
        <v>643</v>
      </c>
      <c r="H2288">
        <v>67</v>
      </c>
      <c r="I2288" t="s">
        <v>647</v>
      </c>
      <c r="J2288">
        <v>11000</v>
      </c>
      <c r="K2288" s="1">
        <v>44251</v>
      </c>
      <c r="L2288">
        <v>2021</v>
      </c>
      <c r="M2288" t="str">
        <f>UPPER(TEXT(_2020_2022[[#This Row],[Data da Venda]],"mmm"))</f>
        <v>FEV</v>
      </c>
    </row>
    <row r="2289" spans="1:13" x14ac:dyDescent="0.25">
      <c r="A2289" t="s">
        <v>5</v>
      </c>
      <c r="B2289">
        <v>1750</v>
      </c>
      <c r="C2289">
        <v>1</v>
      </c>
      <c r="D2289" t="s">
        <v>29</v>
      </c>
      <c r="E2289" t="s">
        <v>641</v>
      </c>
      <c r="F2289" t="s">
        <v>1338</v>
      </c>
      <c r="G2289" t="s">
        <v>643</v>
      </c>
      <c r="H2289">
        <v>35</v>
      </c>
      <c r="I2289" t="s">
        <v>644</v>
      </c>
      <c r="J2289">
        <v>1750</v>
      </c>
      <c r="K2289" s="1">
        <v>44219</v>
      </c>
      <c r="L2289">
        <v>2021</v>
      </c>
      <c r="M2289" t="str">
        <f>UPPER(TEXT(_2020_2022[[#This Row],[Data da Venda]],"mmm"))</f>
        <v>JAN</v>
      </c>
    </row>
    <row r="2290" spans="1:13" x14ac:dyDescent="0.25">
      <c r="A2290" t="s">
        <v>11</v>
      </c>
      <c r="B2290">
        <v>4500</v>
      </c>
      <c r="C2290">
        <v>2</v>
      </c>
      <c r="D2290" t="s">
        <v>40</v>
      </c>
      <c r="E2290" t="s">
        <v>657</v>
      </c>
      <c r="F2290" t="s">
        <v>1391</v>
      </c>
      <c r="G2290" t="s">
        <v>643</v>
      </c>
      <c r="H2290">
        <v>38</v>
      </c>
      <c r="I2290" t="s">
        <v>644</v>
      </c>
      <c r="J2290">
        <v>9000</v>
      </c>
      <c r="K2290" s="1">
        <v>44521</v>
      </c>
      <c r="L2290">
        <v>2021</v>
      </c>
      <c r="M2290" t="str">
        <f>UPPER(TEXT(_2020_2022[[#This Row],[Data da Venda]],"mmm"))</f>
        <v>NOV</v>
      </c>
    </row>
    <row r="2291" spans="1:13" x14ac:dyDescent="0.25">
      <c r="A2291" t="s">
        <v>28</v>
      </c>
      <c r="B2291">
        <v>1400</v>
      </c>
      <c r="C2291">
        <v>2</v>
      </c>
      <c r="D2291" t="s">
        <v>29</v>
      </c>
      <c r="E2291" t="s">
        <v>641</v>
      </c>
      <c r="F2291" t="s">
        <v>1320</v>
      </c>
      <c r="G2291" t="s">
        <v>643</v>
      </c>
      <c r="H2291">
        <v>41</v>
      </c>
      <c r="I2291" t="s">
        <v>644</v>
      </c>
      <c r="J2291">
        <v>2800</v>
      </c>
      <c r="K2291" s="1">
        <v>44442</v>
      </c>
      <c r="L2291">
        <v>2021</v>
      </c>
      <c r="M2291" t="str">
        <f>UPPER(TEXT(_2020_2022[[#This Row],[Data da Venda]],"mmm"))</f>
        <v>SET</v>
      </c>
    </row>
    <row r="2292" spans="1:13" x14ac:dyDescent="0.25">
      <c r="A2292" t="s">
        <v>24</v>
      </c>
      <c r="B2292">
        <v>2000</v>
      </c>
      <c r="C2292">
        <v>4</v>
      </c>
      <c r="D2292" t="s">
        <v>33</v>
      </c>
      <c r="E2292" t="s">
        <v>641</v>
      </c>
      <c r="F2292" t="s">
        <v>1204</v>
      </c>
      <c r="G2292" t="s">
        <v>643</v>
      </c>
      <c r="H2292">
        <v>56</v>
      </c>
      <c r="I2292" t="s">
        <v>647</v>
      </c>
      <c r="J2292">
        <v>8000</v>
      </c>
      <c r="K2292" s="1">
        <v>44516</v>
      </c>
      <c r="L2292">
        <v>2021</v>
      </c>
      <c r="M2292" t="str">
        <f>UPPER(TEXT(_2020_2022[[#This Row],[Data da Venda]],"mmm"))</f>
        <v>NOV</v>
      </c>
    </row>
    <row r="2293" spans="1:13" x14ac:dyDescent="0.25">
      <c r="A2293" t="s">
        <v>9</v>
      </c>
      <c r="B2293">
        <v>1500</v>
      </c>
      <c r="C2293">
        <v>4</v>
      </c>
      <c r="D2293" t="s">
        <v>37</v>
      </c>
      <c r="E2293" t="s">
        <v>645</v>
      </c>
      <c r="F2293" t="s">
        <v>778</v>
      </c>
      <c r="G2293" t="s">
        <v>650</v>
      </c>
      <c r="H2293">
        <v>67</v>
      </c>
      <c r="I2293" t="s">
        <v>647</v>
      </c>
      <c r="J2293">
        <v>6000</v>
      </c>
      <c r="K2293" s="1">
        <v>44425</v>
      </c>
      <c r="L2293">
        <v>2021</v>
      </c>
      <c r="M2293" t="str">
        <f>UPPER(TEXT(_2020_2022[[#This Row],[Data da Venda]],"mmm"))</f>
        <v>AGO</v>
      </c>
    </row>
    <row r="2294" spans="1:13" x14ac:dyDescent="0.25">
      <c r="A2294" t="s">
        <v>8</v>
      </c>
      <c r="B2294">
        <v>5500</v>
      </c>
      <c r="C2294">
        <v>2</v>
      </c>
      <c r="D2294" t="s">
        <v>40</v>
      </c>
      <c r="E2294" t="s">
        <v>657</v>
      </c>
      <c r="F2294" t="s">
        <v>1150</v>
      </c>
      <c r="G2294" t="s">
        <v>643</v>
      </c>
      <c r="H2294">
        <v>25</v>
      </c>
      <c r="I2294" t="s">
        <v>651</v>
      </c>
      <c r="J2294">
        <v>11000</v>
      </c>
      <c r="K2294" s="1">
        <v>44200</v>
      </c>
      <c r="L2294">
        <v>2021</v>
      </c>
      <c r="M2294" t="str">
        <f>UPPER(TEXT(_2020_2022[[#This Row],[Data da Venda]],"mmm"))</f>
        <v>JAN</v>
      </c>
    </row>
    <row r="2295" spans="1:13" x14ac:dyDescent="0.25">
      <c r="A2295" t="s">
        <v>1441</v>
      </c>
      <c r="B2295">
        <v>1450</v>
      </c>
      <c r="C2295">
        <v>5</v>
      </c>
      <c r="D2295" t="s">
        <v>32</v>
      </c>
      <c r="E2295" t="s">
        <v>652</v>
      </c>
      <c r="F2295" t="s">
        <v>1168</v>
      </c>
      <c r="G2295" t="s">
        <v>643</v>
      </c>
      <c r="H2295">
        <v>64</v>
      </c>
      <c r="I2295" t="s">
        <v>647</v>
      </c>
      <c r="J2295">
        <v>7250</v>
      </c>
      <c r="K2295" s="1">
        <v>44273</v>
      </c>
      <c r="L2295">
        <v>2021</v>
      </c>
      <c r="M2295" t="str">
        <f>UPPER(TEXT(_2020_2022[[#This Row],[Data da Venda]],"mmm"))</f>
        <v>MAR</v>
      </c>
    </row>
    <row r="2296" spans="1:13" x14ac:dyDescent="0.25">
      <c r="A2296" t="s">
        <v>7</v>
      </c>
      <c r="B2296">
        <v>750</v>
      </c>
      <c r="C2296">
        <v>2</v>
      </c>
      <c r="D2296" t="s">
        <v>34</v>
      </c>
      <c r="E2296" t="s">
        <v>679</v>
      </c>
      <c r="F2296" t="s">
        <v>1096</v>
      </c>
      <c r="G2296" t="s">
        <v>643</v>
      </c>
      <c r="H2296">
        <v>26</v>
      </c>
      <c r="I2296" t="s">
        <v>651</v>
      </c>
      <c r="J2296">
        <v>1500</v>
      </c>
      <c r="K2296" s="1">
        <v>44366</v>
      </c>
      <c r="L2296">
        <v>2021</v>
      </c>
      <c r="M2296" t="str">
        <f>UPPER(TEXT(_2020_2022[[#This Row],[Data da Venda]],"mmm"))</f>
        <v>JUN</v>
      </c>
    </row>
    <row r="2297" spans="1:13" x14ac:dyDescent="0.25">
      <c r="A2297" t="s">
        <v>1445</v>
      </c>
      <c r="B2297">
        <v>1500</v>
      </c>
      <c r="C2297">
        <v>2</v>
      </c>
      <c r="D2297" t="s">
        <v>32</v>
      </c>
      <c r="E2297" t="s">
        <v>652</v>
      </c>
      <c r="F2297" t="s">
        <v>715</v>
      </c>
      <c r="G2297" t="s">
        <v>643</v>
      </c>
      <c r="H2297">
        <v>72</v>
      </c>
      <c r="I2297" t="s">
        <v>647</v>
      </c>
      <c r="J2297">
        <v>3000</v>
      </c>
      <c r="K2297" s="1">
        <v>44264</v>
      </c>
      <c r="L2297">
        <v>2021</v>
      </c>
      <c r="M2297" t="str">
        <f>UPPER(TEXT(_2020_2022[[#This Row],[Data da Venda]],"mmm"))</f>
        <v>MAR</v>
      </c>
    </row>
    <row r="2298" spans="1:13" x14ac:dyDescent="0.25">
      <c r="A2298" t="s">
        <v>8</v>
      </c>
      <c r="B2298">
        <v>5500</v>
      </c>
      <c r="C2298">
        <v>4</v>
      </c>
      <c r="D2298" t="s">
        <v>33</v>
      </c>
      <c r="E2298" t="s">
        <v>641</v>
      </c>
      <c r="F2298" t="s">
        <v>1392</v>
      </c>
      <c r="G2298" t="s">
        <v>650</v>
      </c>
      <c r="H2298">
        <v>37</v>
      </c>
      <c r="I2298" t="s">
        <v>644</v>
      </c>
      <c r="J2298">
        <v>22000</v>
      </c>
      <c r="K2298" s="1">
        <v>44207</v>
      </c>
      <c r="L2298">
        <v>2021</v>
      </c>
      <c r="M2298" t="str">
        <f>UPPER(TEXT(_2020_2022[[#This Row],[Data da Venda]],"mmm"))</f>
        <v>JAN</v>
      </c>
    </row>
    <row r="2299" spans="1:13" x14ac:dyDescent="0.25">
      <c r="A2299" t="s">
        <v>25</v>
      </c>
      <c r="B2299">
        <v>2500</v>
      </c>
      <c r="C2299">
        <v>5</v>
      </c>
      <c r="D2299" t="s">
        <v>41</v>
      </c>
      <c r="E2299" t="s">
        <v>681</v>
      </c>
      <c r="F2299" t="s">
        <v>1254</v>
      </c>
      <c r="G2299" t="s">
        <v>643</v>
      </c>
      <c r="H2299">
        <v>38</v>
      </c>
      <c r="I2299" t="s">
        <v>644</v>
      </c>
      <c r="J2299">
        <v>12500</v>
      </c>
      <c r="K2299" s="1">
        <v>44467</v>
      </c>
      <c r="L2299">
        <v>2021</v>
      </c>
      <c r="M2299" t="str">
        <f>UPPER(TEXT(_2020_2022[[#This Row],[Data da Venda]],"mmm"))</f>
        <v>SET</v>
      </c>
    </row>
    <row r="2300" spans="1:13" x14ac:dyDescent="0.25">
      <c r="A2300" t="s">
        <v>21</v>
      </c>
      <c r="B2300">
        <v>2400</v>
      </c>
      <c r="C2300">
        <v>2</v>
      </c>
      <c r="D2300" t="s">
        <v>37</v>
      </c>
      <c r="E2300" t="s">
        <v>645</v>
      </c>
      <c r="F2300" t="s">
        <v>792</v>
      </c>
      <c r="G2300" t="s">
        <v>643</v>
      </c>
      <c r="H2300">
        <v>48</v>
      </c>
      <c r="I2300" t="s">
        <v>644</v>
      </c>
      <c r="J2300">
        <v>4800</v>
      </c>
      <c r="K2300" s="1">
        <v>44248</v>
      </c>
      <c r="L2300">
        <v>2021</v>
      </c>
      <c r="M2300" t="str">
        <f>UPPER(TEXT(_2020_2022[[#This Row],[Data da Venda]],"mmm"))</f>
        <v>FEV</v>
      </c>
    </row>
    <row r="2301" spans="1:13" x14ac:dyDescent="0.25">
      <c r="A2301" t="s">
        <v>15</v>
      </c>
      <c r="B2301">
        <v>1900</v>
      </c>
      <c r="C2301">
        <v>2</v>
      </c>
      <c r="D2301" t="s">
        <v>34</v>
      </c>
      <c r="E2301" t="s">
        <v>679</v>
      </c>
      <c r="F2301" t="s">
        <v>869</v>
      </c>
      <c r="G2301" t="s">
        <v>650</v>
      </c>
      <c r="H2301">
        <v>33</v>
      </c>
      <c r="I2301" t="s">
        <v>644</v>
      </c>
      <c r="J2301">
        <v>3800</v>
      </c>
      <c r="K2301" s="1">
        <v>44259</v>
      </c>
      <c r="L2301">
        <v>2021</v>
      </c>
      <c r="M2301" t="str">
        <f>UPPER(TEXT(_2020_2022[[#This Row],[Data da Venda]],"mmm"))</f>
        <v>MAR</v>
      </c>
    </row>
    <row r="2302" spans="1:13" x14ac:dyDescent="0.25">
      <c r="A2302" t="s">
        <v>25</v>
      </c>
      <c r="B2302">
        <v>2500</v>
      </c>
      <c r="C2302">
        <v>3</v>
      </c>
      <c r="D2302" t="s">
        <v>31</v>
      </c>
      <c r="E2302" t="s">
        <v>645</v>
      </c>
      <c r="F2302" t="s">
        <v>1075</v>
      </c>
      <c r="G2302" t="s">
        <v>643</v>
      </c>
      <c r="H2302">
        <v>73</v>
      </c>
      <c r="I2302" t="s">
        <v>647</v>
      </c>
      <c r="J2302">
        <v>7500</v>
      </c>
      <c r="K2302" s="1">
        <v>44271</v>
      </c>
      <c r="L2302">
        <v>2021</v>
      </c>
      <c r="M2302" t="str">
        <f>UPPER(TEXT(_2020_2022[[#This Row],[Data da Venda]],"mmm"))</f>
        <v>MAR</v>
      </c>
    </row>
    <row r="2303" spans="1:13" x14ac:dyDescent="0.25">
      <c r="A2303" t="s">
        <v>1443</v>
      </c>
      <c r="B2303">
        <v>1550</v>
      </c>
      <c r="C2303">
        <v>2</v>
      </c>
      <c r="D2303" t="s">
        <v>30</v>
      </c>
      <c r="E2303" t="s">
        <v>645</v>
      </c>
      <c r="F2303" t="s">
        <v>1393</v>
      </c>
      <c r="G2303" t="s">
        <v>650</v>
      </c>
      <c r="H2303">
        <v>56</v>
      </c>
      <c r="I2303" t="s">
        <v>647</v>
      </c>
      <c r="J2303">
        <v>3100</v>
      </c>
      <c r="K2303" s="1">
        <v>44538</v>
      </c>
      <c r="L2303">
        <v>2021</v>
      </c>
      <c r="M2303" t="str">
        <f>UPPER(TEXT(_2020_2022[[#This Row],[Data da Venda]],"mmm"))</f>
        <v>DEZ</v>
      </c>
    </row>
    <row r="2304" spans="1:13" x14ac:dyDescent="0.25">
      <c r="A2304" t="s">
        <v>25</v>
      </c>
      <c r="B2304">
        <v>2500</v>
      </c>
      <c r="C2304">
        <v>2</v>
      </c>
      <c r="D2304" t="s">
        <v>33</v>
      </c>
      <c r="E2304" t="s">
        <v>641</v>
      </c>
      <c r="F2304" t="s">
        <v>988</v>
      </c>
      <c r="G2304" t="s">
        <v>650</v>
      </c>
      <c r="H2304">
        <v>32</v>
      </c>
      <c r="I2304" t="s">
        <v>644</v>
      </c>
      <c r="J2304">
        <v>5000</v>
      </c>
      <c r="K2304" s="1">
        <v>44440</v>
      </c>
      <c r="L2304">
        <v>2021</v>
      </c>
      <c r="M2304" t="str">
        <f>UPPER(TEXT(_2020_2022[[#This Row],[Data da Venda]],"mmm"))</f>
        <v>SET</v>
      </c>
    </row>
    <row r="2305" spans="1:13" x14ac:dyDescent="0.25">
      <c r="A2305" t="s">
        <v>16</v>
      </c>
      <c r="B2305">
        <v>1400</v>
      </c>
      <c r="C2305">
        <v>5</v>
      </c>
      <c r="D2305" t="s">
        <v>36</v>
      </c>
      <c r="E2305" t="s">
        <v>677</v>
      </c>
      <c r="F2305" t="s">
        <v>728</v>
      </c>
      <c r="G2305" t="s">
        <v>643</v>
      </c>
      <c r="H2305">
        <v>60</v>
      </c>
      <c r="I2305" t="s">
        <v>647</v>
      </c>
      <c r="J2305">
        <v>7000</v>
      </c>
      <c r="K2305" s="1">
        <v>44498</v>
      </c>
      <c r="L2305">
        <v>2021</v>
      </c>
      <c r="M2305" t="str">
        <f>UPPER(TEXT(_2020_2022[[#This Row],[Data da Venda]],"mmm"))</f>
        <v>OUT</v>
      </c>
    </row>
    <row r="2306" spans="1:13" x14ac:dyDescent="0.25">
      <c r="A2306" t="s">
        <v>12</v>
      </c>
      <c r="B2306">
        <v>6500</v>
      </c>
      <c r="C2306">
        <v>5</v>
      </c>
      <c r="D2306" t="s">
        <v>36</v>
      </c>
      <c r="E2306" t="s">
        <v>677</v>
      </c>
      <c r="F2306" t="s">
        <v>1274</v>
      </c>
      <c r="G2306" t="s">
        <v>650</v>
      </c>
      <c r="H2306">
        <v>36</v>
      </c>
      <c r="I2306" t="s">
        <v>644</v>
      </c>
      <c r="J2306">
        <v>32500</v>
      </c>
      <c r="K2306" s="1">
        <v>44230</v>
      </c>
      <c r="L2306">
        <v>2021</v>
      </c>
      <c r="M2306" t="str">
        <f>UPPER(TEXT(_2020_2022[[#This Row],[Data da Venda]],"mmm"))</f>
        <v>FEV</v>
      </c>
    </row>
    <row r="2307" spans="1:13" x14ac:dyDescent="0.25">
      <c r="A2307" t="s">
        <v>28</v>
      </c>
      <c r="B2307">
        <v>1400</v>
      </c>
      <c r="C2307">
        <v>1</v>
      </c>
      <c r="D2307" t="s">
        <v>37</v>
      </c>
      <c r="E2307" t="s">
        <v>645</v>
      </c>
      <c r="F2307" t="s">
        <v>1211</v>
      </c>
      <c r="G2307" t="s">
        <v>650</v>
      </c>
      <c r="H2307">
        <v>50</v>
      </c>
      <c r="I2307" t="s">
        <v>644</v>
      </c>
      <c r="J2307">
        <v>1400</v>
      </c>
      <c r="K2307" s="1">
        <v>44203</v>
      </c>
      <c r="L2307">
        <v>2021</v>
      </c>
      <c r="M2307" t="str">
        <f>UPPER(TEXT(_2020_2022[[#This Row],[Data da Venda]],"mmm"))</f>
        <v>JAN</v>
      </c>
    </row>
    <row r="2308" spans="1:13" x14ac:dyDescent="0.25">
      <c r="A2308" t="s">
        <v>11</v>
      </c>
      <c r="B2308">
        <v>4500</v>
      </c>
      <c r="C2308">
        <v>4</v>
      </c>
      <c r="D2308" t="s">
        <v>41</v>
      </c>
      <c r="E2308" t="s">
        <v>681</v>
      </c>
      <c r="F2308" t="s">
        <v>682</v>
      </c>
      <c r="G2308" t="s">
        <v>650</v>
      </c>
      <c r="H2308">
        <v>43</v>
      </c>
      <c r="I2308" t="s">
        <v>644</v>
      </c>
      <c r="J2308">
        <v>18000</v>
      </c>
      <c r="K2308" s="1">
        <v>44207</v>
      </c>
      <c r="L2308">
        <v>2021</v>
      </c>
      <c r="M2308" t="str">
        <f>UPPER(TEXT(_2020_2022[[#This Row],[Data da Venda]],"mmm"))</f>
        <v>JAN</v>
      </c>
    </row>
    <row r="2309" spans="1:13" x14ac:dyDescent="0.25">
      <c r="A2309" t="s">
        <v>12</v>
      </c>
      <c r="B2309">
        <v>6500</v>
      </c>
      <c r="C2309">
        <v>2</v>
      </c>
      <c r="D2309" t="s">
        <v>39</v>
      </c>
      <c r="E2309" t="s">
        <v>641</v>
      </c>
      <c r="F2309" t="s">
        <v>814</v>
      </c>
      <c r="G2309" t="s">
        <v>650</v>
      </c>
      <c r="H2309">
        <v>66</v>
      </c>
      <c r="I2309" t="s">
        <v>647</v>
      </c>
      <c r="J2309">
        <v>13000</v>
      </c>
      <c r="K2309" s="1">
        <v>44498</v>
      </c>
      <c r="L2309">
        <v>2021</v>
      </c>
      <c r="M2309" t="str">
        <f>UPPER(TEXT(_2020_2022[[#This Row],[Data da Venda]],"mmm"))</f>
        <v>OUT</v>
      </c>
    </row>
    <row r="2310" spans="1:13" x14ac:dyDescent="0.25">
      <c r="A2310" t="s">
        <v>13</v>
      </c>
      <c r="B2310">
        <v>2300</v>
      </c>
      <c r="C2310">
        <v>4</v>
      </c>
      <c r="D2310" t="s">
        <v>38</v>
      </c>
      <c r="E2310" t="s">
        <v>648</v>
      </c>
      <c r="F2310" t="s">
        <v>946</v>
      </c>
      <c r="G2310" t="s">
        <v>650</v>
      </c>
      <c r="H2310">
        <v>34</v>
      </c>
      <c r="I2310" t="s">
        <v>644</v>
      </c>
      <c r="J2310">
        <v>9200</v>
      </c>
      <c r="K2310" s="1">
        <v>44208</v>
      </c>
      <c r="L2310">
        <v>2021</v>
      </c>
      <c r="M2310" t="str">
        <f>UPPER(TEXT(_2020_2022[[#This Row],[Data da Venda]],"mmm"))</f>
        <v>JAN</v>
      </c>
    </row>
    <row r="2311" spans="1:13" x14ac:dyDescent="0.25">
      <c r="A2311" t="s">
        <v>18</v>
      </c>
      <c r="B2311">
        <v>3000</v>
      </c>
      <c r="C2311">
        <v>2</v>
      </c>
      <c r="D2311" t="s">
        <v>29</v>
      </c>
      <c r="E2311" t="s">
        <v>641</v>
      </c>
      <c r="F2311" t="s">
        <v>868</v>
      </c>
      <c r="G2311" t="s">
        <v>643</v>
      </c>
      <c r="H2311">
        <v>71</v>
      </c>
      <c r="I2311" t="s">
        <v>647</v>
      </c>
      <c r="J2311">
        <v>6000</v>
      </c>
      <c r="K2311" s="1">
        <v>44240</v>
      </c>
      <c r="L2311">
        <v>2021</v>
      </c>
      <c r="M2311" t="str">
        <f>UPPER(TEXT(_2020_2022[[#This Row],[Data da Venda]],"mmm"))</f>
        <v>FEV</v>
      </c>
    </row>
    <row r="2312" spans="1:13" x14ac:dyDescent="0.25">
      <c r="A2312" t="s">
        <v>9</v>
      </c>
      <c r="B2312">
        <v>1500</v>
      </c>
      <c r="C2312">
        <v>2</v>
      </c>
      <c r="D2312" t="s">
        <v>35</v>
      </c>
      <c r="E2312" t="s">
        <v>666</v>
      </c>
      <c r="F2312" t="s">
        <v>999</v>
      </c>
      <c r="G2312" t="s">
        <v>643</v>
      </c>
      <c r="H2312">
        <v>70</v>
      </c>
      <c r="I2312" t="s">
        <v>647</v>
      </c>
      <c r="J2312">
        <v>3000</v>
      </c>
      <c r="K2312" s="1">
        <v>44210</v>
      </c>
      <c r="L2312">
        <v>2021</v>
      </c>
      <c r="M2312" t="str">
        <f>UPPER(TEXT(_2020_2022[[#This Row],[Data da Venda]],"mmm"))</f>
        <v>JAN</v>
      </c>
    </row>
    <row r="2313" spans="1:13" x14ac:dyDescent="0.25">
      <c r="A2313" t="s">
        <v>1444</v>
      </c>
      <c r="B2313">
        <v>1500</v>
      </c>
      <c r="C2313">
        <v>5</v>
      </c>
      <c r="D2313" t="s">
        <v>31</v>
      </c>
      <c r="E2313" t="s">
        <v>645</v>
      </c>
      <c r="F2313" t="s">
        <v>1064</v>
      </c>
      <c r="G2313" t="s">
        <v>643</v>
      </c>
      <c r="H2313">
        <v>64</v>
      </c>
      <c r="I2313" t="s">
        <v>647</v>
      </c>
      <c r="J2313">
        <v>7500</v>
      </c>
      <c r="K2313" s="1">
        <v>44329</v>
      </c>
      <c r="L2313">
        <v>2021</v>
      </c>
      <c r="M2313" t="str">
        <f>UPPER(TEXT(_2020_2022[[#This Row],[Data da Venda]],"mmm"))</f>
        <v>MAI</v>
      </c>
    </row>
    <row r="2314" spans="1:13" x14ac:dyDescent="0.25">
      <c r="A2314" t="s">
        <v>14</v>
      </c>
      <c r="B2314">
        <v>2000</v>
      </c>
      <c r="C2314">
        <v>4</v>
      </c>
      <c r="D2314" t="s">
        <v>30</v>
      </c>
      <c r="E2314" t="s">
        <v>645</v>
      </c>
      <c r="F2314" t="s">
        <v>1073</v>
      </c>
      <c r="G2314" t="s">
        <v>643</v>
      </c>
      <c r="H2314">
        <v>66</v>
      </c>
      <c r="I2314" t="s">
        <v>647</v>
      </c>
      <c r="J2314">
        <v>8000</v>
      </c>
      <c r="K2314" s="1">
        <v>44213</v>
      </c>
      <c r="L2314">
        <v>2021</v>
      </c>
      <c r="M2314" t="str">
        <f>UPPER(TEXT(_2020_2022[[#This Row],[Data da Venda]],"mmm"))</f>
        <v>JAN</v>
      </c>
    </row>
    <row r="2315" spans="1:13" x14ac:dyDescent="0.25">
      <c r="A2315" t="s">
        <v>1443</v>
      </c>
      <c r="B2315">
        <v>1550</v>
      </c>
      <c r="C2315">
        <v>1</v>
      </c>
      <c r="D2315" t="s">
        <v>37</v>
      </c>
      <c r="E2315" t="s">
        <v>645</v>
      </c>
      <c r="F2315" t="s">
        <v>1269</v>
      </c>
      <c r="G2315" t="s">
        <v>643</v>
      </c>
      <c r="H2315">
        <v>59</v>
      </c>
      <c r="I2315" t="s">
        <v>647</v>
      </c>
      <c r="J2315">
        <v>1550</v>
      </c>
      <c r="K2315" s="1">
        <v>44476</v>
      </c>
      <c r="L2315">
        <v>2021</v>
      </c>
      <c r="M2315" t="str">
        <f>UPPER(TEXT(_2020_2022[[#This Row],[Data da Venda]],"mmm"))</f>
        <v>OUT</v>
      </c>
    </row>
    <row r="2316" spans="1:13" x14ac:dyDescent="0.25">
      <c r="A2316" t="s">
        <v>21</v>
      </c>
      <c r="B2316">
        <v>2400</v>
      </c>
      <c r="C2316">
        <v>3</v>
      </c>
      <c r="D2316" t="s">
        <v>36</v>
      </c>
      <c r="E2316" t="s">
        <v>677</v>
      </c>
      <c r="F2316" t="s">
        <v>936</v>
      </c>
      <c r="G2316" t="s">
        <v>643</v>
      </c>
      <c r="H2316">
        <v>35</v>
      </c>
      <c r="I2316" t="s">
        <v>644</v>
      </c>
      <c r="J2316">
        <v>7200</v>
      </c>
      <c r="K2316" s="1">
        <v>44535</v>
      </c>
      <c r="L2316">
        <v>2021</v>
      </c>
      <c r="M2316" t="str">
        <f>UPPER(TEXT(_2020_2022[[#This Row],[Data da Venda]],"mmm"))</f>
        <v>DEZ</v>
      </c>
    </row>
    <row r="2317" spans="1:13" x14ac:dyDescent="0.25">
      <c r="A2317" t="s">
        <v>1445</v>
      </c>
      <c r="B2317">
        <v>1500</v>
      </c>
      <c r="C2317">
        <v>3</v>
      </c>
      <c r="D2317" t="s">
        <v>36</v>
      </c>
      <c r="E2317" t="s">
        <v>677</v>
      </c>
      <c r="F2317" t="s">
        <v>1099</v>
      </c>
      <c r="G2317" t="s">
        <v>650</v>
      </c>
      <c r="H2317">
        <v>47</v>
      </c>
      <c r="I2317" t="s">
        <v>644</v>
      </c>
      <c r="J2317">
        <v>4500</v>
      </c>
      <c r="K2317" s="1">
        <v>44485</v>
      </c>
      <c r="L2317">
        <v>2021</v>
      </c>
      <c r="M2317" t="str">
        <f>UPPER(TEXT(_2020_2022[[#This Row],[Data da Venda]],"mmm"))</f>
        <v>OUT</v>
      </c>
    </row>
    <row r="2318" spans="1:13" x14ac:dyDescent="0.25">
      <c r="A2318" t="s">
        <v>12</v>
      </c>
      <c r="B2318">
        <v>6500</v>
      </c>
      <c r="C2318">
        <v>5</v>
      </c>
      <c r="D2318" t="s">
        <v>37</v>
      </c>
      <c r="E2318" t="s">
        <v>645</v>
      </c>
      <c r="F2318" t="s">
        <v>1212</v>
      </c>
      <c r="G2318" t="s">
        <v>650</v>
      </c>
      <c r="H2318">
        <v>44</v>
      </c>
      <c r="I2318" t="s">
        <v>644</v>
      </c>
      <c r="J2318">
        <v>32500</v>
      </c>
      <c r="K2318" s="1">
        <v>44286</v>
      </c>
      <c r="L2318">
        <v>2021</v>
      </c>
      <c r="M2318" t="str">
        <f>UPPER(TEXT(_2020_2022[[#This Row],[Data da Venda]],"mmm"))</f>
        <v>MAR</v>
      </c>
    </row>
    <row r="2319" spans="1:13" x14ac:dyDescent="0.25">
      <c r="A2319" t="s">
        <v>13</v>
      </c>
      <c r="B2319">
        <v>2300</v>
      </c>
      <c r="C2319">
        <v>4</v>
      </c>
      <c r="D2319" t="s">
        <v>30</v>
      </c>
      <c r="E2319" t="s">
        <v>645</v>
      </c>
      <c r="F2319" t="s">
        <v>1234</v>
      </c>
      <c r="G2319" t="s">
        <v>650</v>
      </c>
      <c r="H2319">
        <v>68</v>
      </c>
      <c r="I2319" t="s">
        <v>647</v>
      </c>
      <c r="J2319">
        <v>9200</v>
      </c>
      <c r="K2319" s="1">
        <v>44381</v>
      </c>
      <c r="L2319">
        <v>2021</v>
      </c>
      <c r="M2319" t="str">
        <f>UPPER(TEXT(_2020_2022[[#This Row],[Data da Venda]],"mmm"))</f>
        <v>JUL</v>
      </c>
    </row>
    <row r="2320" spans="1:13" x14ac:dyDescent="0.25">
      <c r="A2320" t="s">
        <v>15</v>
      </c>
      <c r="B2320">
        <v>1900</v>
      </c>
      <c r="C2320">
        <v>2</v>
      </c>
      <c r="D2320" t="s">
        <v>29</v>
      </c>
      <c r="E2320" t="s">
        <v>641</v>
      </c>
      <c r="F2320" t="s">
        <v>841</v>
      </c>
      <c r="G2320" t="s">
        <v>650</v>
      </c>
      <c r="H2320">
        <v>27</v>
      </c>
      <c r="I2320" t="s">
        <v>651</v>
      </c>
      <c r="J2320">
        <v>3800</v>
      </c>
      <c r="K2320" s="1">
        <v>44284</v>
      </c>
      <c r="L2320">
        <v>2021</v>
      </c>
      <c r="M2320" t="str">
        <f>UPPER(TEXT(_2020_2022[[#This Row],[Data da Venda]],"mmm"))</f>
        <v>MAR</v>
      </c>
    </row>
    <row r="2321" spans="1:13" x14ac:dyDescent="0.25">
      <c r="A2321" t="s">
        <v>21</v>
      </c>
      <c r="B2321">
        <v>2400</v>
      </c>
      <c r="C2321">
        <v>3</v>
      </c>
      <c r="D2321" t="s">
        <v>39</v>
      </c>
      <c r="E2321" t="s">
        <v>641</v>
      </c>
      <c r="F2321" t="s">
        <v>1310</v>
      </c>
      <c r="G2321" t="s">
        <v>643</v>
      </c>
      <c r="H2321">
        <v>31</v>
      </c>
      <c r="I2321" t="s">
        <v>644</v>
      </c>
      <c r="J2321">
        <v>7200</v>
      </c>
      <c r="K2321" s="1">
        <v>44559</v>
      </c>
      <c r="L2321">
        <v>2021</v>
      </c>
      <c r="M2321" t="str">
        <f>UPPER(TEXT(_2020_2022[[#This Row],[Data da Venda]],"mmm"))</f>
        <v>DEZ</v>
      </c>
    </row>
    <row r="2322" spans="1:13" x14ac:dyDescent="0.25">
      <c r="A2322" t="s">
        <v>1444</v>
      </c>
      <c r="B2322">
        <v>1500</v>
      </c>
      <c r="C2322">
        <v>2</v>
      </c>
      <c r="D2322" t="s">
        <v>34</v>
      </c>
      <c r="E2322" t="s">
        <v>679</v>
      </c>
      <c r="F2322" t="s">
        <v>1361</v>
      </c>
      <c r="G2322" t="s">
        <v>650</v>
      </c>
      <c r="H2322">
        <v>59</v>
      </c>
      <c r="I2322" t="s">
        <v>647</v>
      </c>
      <c r="J2322">
        <v>3000</v>
      </c>
      <c r="K2322" s="1">
        <v>44330</v>
      </c>
      <c r="L2322">
        <v>2021</v>
      </c>
      <c r="M2322" t="str">
        <f>UPPER(TEXT(_2020_2022[[#This Row],[Data da Venda]],"mmm"))</f>
        <v>MAI</v>
      </c>
    </row>
    <row r="2323" spans="1:13" x14ac:dyDescent="0.25">
      <c r="A2323" t="s">
        <v>22</v>
      </c>
      <c r="B2323">
        <v>5200</v>
      </c>
      <c r="C2323">
        <v>5</v>
      </c>
      <c r="D2323" t="s">
        <v>34</v>
      </c>
      <c r="E2323" t="s">
        <v>679</v>
      </c>
      <c r="F2323" t="s">
        <v>1394</v>
      </c>
      <c r="G2323" t="s">
        <v>650</v>
      </c>
      <c r="H2323">
        <v>47</v>
      </c>
      <c r="I2323" t="s">
        <v>644</v>
      </c>
      <c r="J2323">
        <v>26000</v>
      </c>
      <c r="K2323" s="1">
        <v>44489</v>
      </c>
      <c r="L2323">
        <v>2021</v>
      </c>
      <c r="M2323" t="str">
        <f>UPPER(TEXT(_2020_2022[[#This Row],[Data da Venda]],"mmm"))</f>
        <v>OUT</v>
      </c>
    </row>
    <row r="2324" spans="1:13" x14ac:dyDescent="0.25">
      <c r="A2324" t="s">
        <v>26</v>
      </c>
      <c r="B2324">
        <v>1100</v>
      </c>
      <c r="C2324">
        <v>1</v>
      </c>
      <c r="D2324" t="s">
        <v>31</v>
      </c>
      <c r="E2324" t="s">
        <v>645</v>
      </c>
      <c r="F2324" t="s">
        <v>1257</v>
      </c>
      <c r="G2324" t="s">
        <v>650</v>
      </c>
      <c r="H2324">
        <v>33</v>
      </c>
      <c r="I2324" t="s">
        <v>644</v>
      </c>
      <c r="J2324">
        <v>1100</v>
      </c>
      <c r="K2324" s="1">
        <v>44386</v>
      </c>
      <c r="L2324">
        <v>2021</v>
      </c>
      <c r="M2324" t="str">
        <f>UPPER(TEXT(_2020_2022[[#This Row],[Data da Venda]],"mmm"))</f>
        <v>JUL</v>
      </c>
    </row>
    <row r="2325" spans="1:13" x14ac:dyDescent="0.25">
      <c r="A2325" t="s">
        <v>24</v>
      </c>
      <c r="B2325">
        <v>2000</v>
      </c>
      <c r="C2325">
        <v>4</v>
      </c>
      <c r="D2325" t="s">
        <v>33</v>
      </c>
      <c r="E2325" t="s">
        <v>641</v>
      </c>
      <c r="F2325" t="s">
        <v>1304</v>
      </c>
      <c r="G2325" t="s">
        <v>643</v>
      </c>
      <c r="H2325">
        <v>49</v>
      </c>
      <c r="I2325" t="s">
        <v>644</v>
      </c>
      <c r="J2325">
        <v>8000</v>
      </c>
      <c r="K2325" s="1">
        <v>44215</v>
      </c>
      <c r="L2325">
        <v>2021</v>
      </c>
      <c r="M2325" t="str">
        <f>UPPER(TEXT(_2020_2022[[#This Row],[Data da Venda]],"mmm"))</f>
        <v>JAN</v>
      </c>
    </row>
    <row r="2326" spans="1:13" x14ac:dyDescent="0.25">
      <c r="A2326" t="s">
        <v>11</v>
      </c>
      <c r="B2326">
        <v>4500</v>
      </c>
      <c r="C2326">
        <v>2</v>
      </c>
      <c r="D2326" t="s">
        <v>30</v>
      </c>
      <c r="E2326" t="s">
        <v>645</v>
      </c>
      <c r="F2326" t="s">
        <v>830</v>
      </c>
      <c r="G2326" t="s">
        <v>643</v>
      </c>
      <c r="H2326">
        <v>28</v>
      </c>
      <c r="I2326" t="s">
        <v>651</v>
      </c>
      <c r="J2326">
        <v>9000</v>
      </c>
      <c r="K2326" s="1">
        <v>44483</v>
      </c>
      <c r="L2326">
        <v>2021</v>
      </c>
      <c r="M2326" t="str">
        <f>UPPER(TEXT(_2020_2022[[#This Row],[Data da Venda]],"mmm"))</f>
        <v>OUT</v>
      </c>
    </row>
    <row r="2327" spans="1:13" x14ac:dyDescent="0.25">
      <c r="A2327" t="s">
        <v>13</v>
      </c>
      <c r="B2327">
        <v>2300</v>
      </c>
      <c r="C2327">
        <v>3</v>
      </c>
      <c r="D2327" t="s">
        <v>32</v>
      </c>
      <c r="E2327" t="s">
        <v>652</v>
      </c>
      <c r="F2327" t="s">
        <v>909</v>
      </c>
      <c r="G2327" t="s">
        <v>650</v>
      </c>
      <c r="H2327">
        <v>67</v>
      </c>
      <c r="I2327" t="s">
        <v>647</v>
      </c>
      <c r="J2327">
        <v>6900</v>
      </c>
      <c r="K2327" s="1">
        <v>44213</v>
      </c>
      <c r="L2327">
        <v>2021</v>
      </c>
      <c r="M2327" t="str">
        <f>UPPER(TEXT(_2020_2022[[#This Row],[Data da Venda]],"mmm"))</f>
        <v>JAN</v>
      </c>
    </row>
    <row r="2328" spans="1:13" x14ac:dyDescent="0.25">
      <c r="A2328" t="s">
        <v>1440</v>
      </c>
      <c r="B2328">
        <v>700</v>
      </c>
      <c r="C2328">
        <v>5</v>
      </c>
      <c r="D2328" t="s">
        <v>35</v>
      </c>
      <c r="E2328" t="s">
        <v>666</v>
      </c>
      <c r="F2328" t="s">
        <v>898</v>
      </c>
      <c r="G2328" t="s">
        <v>643</v>
      </c>
      <c r="H2328">
        <v>38</v>
      </c>
      <c r="I2328" t="s">
        <v>644</v>
      </c>
      <c r="J2328">
        <v>3500</v>
      </c>
      <c r="K2328" s="1">
        <v>44313</v>
      </c>
      <c r="L2328">
        <v>2021</v>
      </c>
      <c r="M2328" t="str">
        <f>UPPER(TEXT(_2020_2022[[#This Row],[Data da Venda]],"mmm"))</f>
        <v>ABR</v>
      </c>
    </row>
    <row r="2329" spans="1:13" x14ac:dyDescent="0.25">
      <c r="A2329" t="s">
        <v>1442</v>
      </c>
      <c r="B2329">
        <v>1200</v>
      </c>
      <c r="C2329">
        <v>3</v>
      </c>
      <c r="D2329" t="s">
        <v>31</v>
      </c>
      <c r="E2329" t="s">
        <v>645</v>
      </c>
      <c r="F2329" t="s">
        <v>938</v>
      </c>
      <c r="G2329" t="s">
        <v>643</v>
      </c>
      <c r="H2329">
        <v>42</v>
      </c>
      <c r="I2329" t="s">
        <v>644</v>
      </c>
      <c r="J2329">
        <v>3600</v>
      </c>
      <c r="K2329" s="1">
        <v>44491</v>
      </c>
      <c r="L2329">
        <v>2021</v>
      </c>
      <c r="M2329" t="str">
        <f>UPPER(TEXT(_2020_2022[[#This Row],[Data da Venda]],"mmm"))</f>
        <v>OUT</v>
      </c>
    </row>
    <row r="2330" spans="1:13" x14ac:dyDescent="0.25">
      <c r="A2330" t="s">
        <v>25</v>
      </c>
      <c r="B2330">
        <v>2500</v>
      </c>
      <c r="C2330">
        <v>5</v>
      </c>
      <c r="D2330" t="s">
        <v>35</v>
      </c>
      <c r="E2330" t="s">
        <v>666</v>
      </c>
      <c r="F2330" t="s">
        <v>671</v>
      </c>
      <c r="G2330" t="s">
        <v>643</v>
      </c>
      <c r="H2330">
        <v>63</v>
      </c>
      <c r="I2330" t="s">
        <v>647</v>
      </c>
      <c r="J2330">
        <v>12500</v>
      </c>
      <c r="K2330" s="1">
        <v>44223</v>
      </c>
      <c r="L2330">
        <v>2021</v>
      </c>
      <c r="M2330" t="str">
        <f>UPPER(TEXT(_2020_2022[[#This Row],[Data da Venda]],"mmm"))</f>
        <v>JAN</v>
      </c>
    </row>
    <row r="2331" spans="1:13" x14ac:dyDescent="0.25">
      <c r="A2331" t="s">
        <v>26</v>
      </c>
      <c r="B2331">
        <v>1100</v>
      </c>
      <c r="C2331">
        <v>2</v>
      </c>
      <c r="D2331" t="s">
        <v>34</v>
      </c>
      <c r="E2331" t="s">
        <v>679</v>
      </c>
      <c r="F2331" t="s">
        <v>1122</v>
      </c>
      <c r="G2331" t="s">
        <v>643</v>
      </c>
      <c r="H2331">
        <v>40</v>
      </c>
      <c r="I2331" t="s">
        <v>644</v>
      </c>
      <c r="J2331">
        <v>2200</v>
      </c>
      <c r="K2331" s="1">
        <v>44536</v>
      </c>
      <c r="L2331">
        <v>2021</v>
      </c>
      <c r="M2331" t="str">
        <f>UPPER(TEXT(_2020_2022[[#This Row],[Data da Venda]],"mmm"))</f>
        <v>DEZ</v>
      </c>
    </row>
    <row r="2332" spans="1:13" x14ac:dyDescent="0.25">
      <c r="A2332" t="s">
        <v>8</v>
      </c>
      <c r="B2332">
        <v>5500</v>
      </c>
      <c r="C2332">
        <v>5</v>
      </c>
      <c r="D2332" t="s">
        <v>31</v>
      </c>
      <c r="E2332" t="s">
        <v>645</v>
      </c>
      <c r="F2332" t="s">
        <v>1256</v>
      </c>
      <c r="G2332" t="s">
        <v>650</v>
      </c>
      <c r="H2332">
        <v>67</v>
      </c>
      <c r="I2332" t="s">
        <v>647</v>
      </c>
      <c r="J2332">
        <v>27500</v>
      </c>
      <c r="K2332" s="1">
        <v>44276</v>
      </c>
      <c r="L2332">
        <v>2021</v>
      </c>
      <c r="M2332" t="str">
        <f>UPPER(TEXT(_2020_2022[[#This Row],[Data da Venda]],"mmm"))</f>
        <v>MAR</v>
      </c>
    </row>
    <row r="2333" spans="1:13" x14ac:dyDescent="0.25">
      <c r="A2333" t="s">
        <v>20</v>
      </c>
      <c r="B2333">
        <v>2600</v>
      </c>
      <c r="C2333">
        <v>5</v>
      </c>
      <c r="D2333" t="s">
        <v>29</v>
      </c>
      <c r="E2333" t="s">
        <v>641</v>
      </c>
      <c r="F2333" t="s">
        <v>798</v>
      </c>
      <c r="G2333" t="s">
        <v>650</v>
      </c>
      <c r="H2333">
        <v>69</v>
      </c>
      <c r="I2333" t="s">
        <v>647</v>
      </c>
      <c r="J2333">
        <v>13000</v>
      </c>
      <c r="K2333" s="1">
        <v>44475</v>
      </c>
      <c r="L2333">
        <v>2021</v>
      </c>
      <c r="M2333" t="str">
        <f>UPPER(TEXT(_2020_2022[[#This Row],[Data da Venda]],"mmm"))</f>
        <v>OUT</v>
      </c>
    </row>
    <row r="2334" spans="1:13" x14ac:dyDescent="0.25">
      <c r="A2334" t="s">
        <v>7</v>
      </c>
      <c r="B2334">
        <v>750</v>
      </c>
      <c r="C2334">
        <v>4</v>
      </c>
      <c r="D2334" t="s">
        <v>35</v>
      </c>
      <c r="E2334" t="s">
        <v>666</v>
      </c>
      <c r="F2334" t="s">
        <v>1181</v>
      </c>
      <c r="G2334" t="s">
        <v>643</v>
      </c>
      <c r="H2334">
        <v>69</v>
      </c>
      <c r="I2334" t="s">
        <v>647</v>
      </c>
      <c r="J2334">
        <v>3000</v>
      </c>
      <c r="K2334" s="1">
        <v>44269</v>
      </c>
      <c r="L2334">
        <v>2021</v>
      </c>
      <c r="M2334" t="str">
        <f>UPPER(TEXT(_2020_2022[[#This Row],[Data da Venda]],"mmm"))</f>
        <v>MAR</v>
      </c>
    </row>
    <row r="2335" spans="1:13" x14ac:dyDescent="0.25">
      <c r="A2335" t="s">
        <v>13</v>
      </c>
      <c r="B2335">
        <v>2300</v>
      </c>
      <c r="C2335">
        <v>2</v>
      </c>
      <c r="D2335" t="s">
        <v>32</v>
      </c>
      <c r="E2335" t="s">
        <v>652</v>
      </c>
      <c r="F2335" t="s">
        <v>750</v>
      </c>
      <c r="G2335" t="s">
        <v>650</v>
      </c>
      <c r="H2335">
        <v>43</v>
      </c>
      <c r="I2335" t="s">
        <v>644</v>
      </c>
      <c r="J2335">
        <v>4600</v>
      </c>
      <c r="K2335" s="1">
        <v>44462</v>
      </c>
      <c r="L2335">
        <v>2021</v>
      </c>
      <c r="M2335" t="str">
        <f>UPPER(TEXT(_2020_2022[[#This Row],[Data da Venda]],"mmm"))</f>
        <v>SET</v>
      </c>
    </row>
    <row r="2336" spans="1:13" x14ac:dyDescent="0.25">
      <c r="A2336" t="s">
        <v>1444</v>
      </c>
      <c r="B2336">
        <v>1500</v>
      </c>
      <c r="C2336">
        <v>3</v>
      </c>
      <c r="D2336" t="s">
        <v>38</v>
      </c>
      <c r="E2336" t="s">
        <v>648</v>
      </c>
      <c r="F2336" t="s">
        <v>847</v>
      </c>
      <c r="G2336" t="s">
        <v>643</v>
      </c>
      <c r="H2336">
        <v>37</v>
      </c>
      <c r="I2336" t="s">
        <v>644</v>
      </c>
      <c r="J2336">
        <v>4500</v>
      </c>
      <c r="K2336" s="1">
        <v>44235</v>
      </c>
      <c r="L2336">
        <v>2021</v>
      </c>
      <c r="M2336" t="str">
        <f>UPPER(TEXT(_2020_2022[[#This Row],[Data da Venda]],"mmm"))</f>
        <v>FEV</v>
      </c>
    </row>
    <row r="2337" spans="1:13" x14ac:dyDescent="0.25">
      <c r="A2337" t="s">
        <v>11</v>
      </c>
      <c r="B2337">
        <v>4500</v>
      </c>
      <c r="C2337">
        <v>3</v>
      </c>
      <c r="D2337" t="s">
        <v>39</v>
      </c>
      <c r="E2337" t="s">
        <v>641</v>
      </c>
      <c r="F2337" t="s">
        <v>759</v>
      </c>
      <c r="G2337" t="s">
        <v>643</v>
      </c>
      <c r="H2337">
        <v>53</v>
      </c>
      <c r="I2337" t="s">
        <v>647</v>
      </c>
      <c r="J2337">
        <v>13500</v>
      </c>
      <c r="K2337" s="1">
        <v>44331</v>
      </c>
      <c r="L2337">
        <v>2021</v>
      </c>
      <c r="M2337" t="str">
        <f>UPPER(TEXT(_2020_2022[[#This Row],[Data da Venda]],"mmm"))</f>
        <v>MAI</v>
      </c>
    </row>
    <row r="2338" spans="1:13" x14ac:dyDescent="0.25">
      <c r="A2338" t="s">
        <v>1444</v>
      </c>
      <c r="B2338">
        <v>1500</v>
      </c>
      <c r="C2338">
        <v>3</v>
      </c>
      <c r="D2338" t="s">
        <v>29</v>
      </c>
      <c r="E2338" t="s">
        <v>641</v>
      </c>
      <c r="F2338" t="s">
        <v>720</v>
      </c>
      <c r="G2338" t="s">
        <v>650</v>
      </c>
      <c r="H2338">
        <v>57</v>
      </c>
      <c r="I2338" t="s">
        <v>647</v>
      </c>
      <c r="J2338">
        <v>4500</v>
      </c>
      <c r="K2338" s="1">
        <v>44420</v>
      </c>
      <c r="L2338">
        <v>2021</v>
      </c>
      <c r="M2338" t="str">
        <f>UPPER(TEXT(_2020_2022[[#This Row],[Data da Venda]],"mmm"))</f>
        <v>AGO</v>
      </c>
    </row>
    <row r="2339" spans="1:13" x14ac:dyDescent="0.25">
      <c r="A2339" t="s">
        <v>5</v>
      </c>
      <c r="B2339">
        <v>1750</v>
      </c>
      <c r="C2339">
        <v>1</v>
      </c>
      <c r="D2339" t="s">
        <v>31</v>
      </c>
      <c r="E2339" t="s">
        <v>645</v>
      </c>
      <c r="F2339" t="s">
        <v>1395</v>
      </c>
      <c r="G2339" t="s">
        <v>650</v>
      </c>
      <c r="H2339">
        <v>59</v>
      </c>
      <c r="I2339" t="s">
        <v>647</v>
      </c>
      <c r="J2339">
        <v>1750</v>
      </c>
      <c r="K2339" s="1">
        <v>44410</v>
      </c>
      <c r="L2339">
        <v>2021</v>
      </c>
      <c r="M2339" t="str">
        <f>UPPER(TEXT(_2020_2022[[#This Row],[Data da Venda]],"mmm"))</f>
        <v>AGO</v>
      </c>
    </row>
    <row r="2340" spans="1:13" x14ac:dyDescent="0.25">
      <c r="A2340" t="s">
        <v>1445</v>
      </c>
      <c r="B2340">
        <v>1500</v>
      </c>
      <c r="C2340">
        <v>3</v>
      </c>
      <c r="D2340" t="s">
        <v>40</v>
      </c>
      <c r="E2340" t="s">
        <v>657</v>
      </c>
      <c r="F2340" t="s">
        <v>1390</v>
      </c>
      <c r="G2340" t="s">
        <v>650</v>
      </c>
      <c r="H2340">
        <v>62</v>
      </c>
      <c r="I2340" t="s">
        <v>647</v>
      </c>
      <c r="J2340">
        <v>4500</v>
      </c>
      <c r="K2340" s="1">
        <v>44471</v>
      </c>
      <c r="L2340">
        <v>2021</v>
      </c>
      <c r="M2340" t="str">
        <f>UPPER(TEXT(_2020_2022[[#This Row],[Data da Venda]],"mmm"))</f>
        <v>OUT</v>
      </c>
    </row>
    <row r="2341" spans="1:13" x14ac:dyDescent="0.25">
      <c r="A2341" t="s">
        <v>1444</v>
      </c>
      <c r="B2341">
        <v>1500</v>
      </c>
      <c r="C2341">
        <v>3</v>
      </c>
      <c r="D2341" t="s">
        <v>32</v>
      </c>
      <c r="E2341" t="s">
        <v>652</v>
      </c>
      <c r="F2341" t="s">
        <v>715</v>
      </c>
      <c r="G2341" t="s">
        <v>643</v>
      </c>
      <c r="H2341">
        <v>72</v>
      </c>
      <c r="I2341" t="s">
        <v>647</v>
      </c>
      <c r="J2341">
        <v>4500</v>
      </c>
      <c r="K2341" s="1">
        <v>44345</v>
      </c>
      <c r="L2341">
        <v>2021</v>
      </c>
      <c r="M2341" t="str">
        <f>UPPER(TEXT(_2020_2022[[#This Row],[Data da Venda]],"mmm"))</f>
        <v>MAI</v>
      </c>
    </row>
    <row r="2342" spans="1:13" x14ac:dyDescent="0.25">
      <c r="A2342" t="s">
        <v>1443</v>
      </c>
      <c r="B2342">
        <v>1550</v>
      </c>
      <c r="C2342">
        <v>5</v>
      </c>
      <c r="D2342" t="s">
        <v>34</v>
      </c>
      <c r="E2342" t="s">
        <v>679</v>
      </c>
      <c r="F2342" t="s">
        <v>873</v>
      </c>
      <c r="G2342" t="s">
        <v>643</v>
      </c>
      <c r="H2342">
        <v>62</v>
      </c>
      <c r="I2342" t="s">
        <v>647</v>
      </c>
      <c r="J2342">
        <v>7750</v>
      </c>
      <c r="K2342" s="1">
        <v>44205</v>
      </c>
      <c r="L2342">
        <v>2021</v>
      </c>
      <c r="M2342" t="str">
        <f>UPPER(TEXT(_2020_2022[[#This Row],[Data da Venda]],"mmm"))</f>
        <v>JAN</v>
      </c>
    </row>
    <row r="2343" spans="1:13" x14ac:dyDescent="0.25">
      <c r="A2343" t="s">
        <v>1443</v>
      </c>
      <c r="B2343">
        <v>1550</v>
      </c>
      <c r="C2343">
        <v>2</v>
      </c>
      <c r="D2343" t="s">
        <v>37</v>
      </c>
      <c r="E2343" t="s">
        <v>645</v>
      </c>
      <c r="F2343" t="s">
        <v>968</v>
      </c>
      <c r="G2343" t="s">
        <v>650</v>
      </c>
      <c r="H2343">
        <v>25</v>
      </c>
      <c r="I2343" t="s">
        <v>651</v>
      </c>
      <c r="J2343">
        <v>3100</v>
      </c>
      <c r="K2343" s="1">
        <v>44525</v>
      </c>
      <c r="L2343">
        <v>2021</v>
      </c>
      <c r="M2343" t="str">
        <f>UPPER(TEXT(_2020_2022[[#This Row],[Data da Venda]],"mmm"))</f>
        <v>NOV</v>
      </c>
    </row>
    <row r="2344" spans="1:13" x14ac:dyDescent="0.25">
      <c r="A2344" t="s">
        <v>1445</v>
      </c>
      <c r="B2344">
        <v>1500</v>
      </c>
      <c r="C2344">
        <v>3</v>
      </c>
      <c r="D2344" t="s">
        <v>29</v>
      </c>
      <c r="E2344" t="s">
        <v>641</v>
      </c>
      <c r="F2344" t="s">
        <v>661</v>
      </c>
      <c r="G2344" t="s">
        <v>650</v>
      </c>
      <c r="H2344">
        <v>53</v>
      </c>
      <c r="I2344" t="s">
        <v>647</v>
      </c>
      <c r="J2344">
        <v>4500</v>
      </c>
      <c r="K2344" s="1">
        <v>44339</v>
      </c>
      <c r="L2344">
        <v>2021</v>
      </c>
      <c r="M2344" t="str">
        <f>UPPER(TEXT(_2020_2022[[#This Row],[Data da Venda]],"mmm"))</f>
        <v>MAI</v>
      </c>
    </row>
    <row r="2345" spans="1:13" x14ac:dyDescent="0.25">
      <c r="A2345" t="s">
        <v>25</v>
      </c>
      <c r="B2345">
        <v>2500</v>
      </c>
      <c r="C2345">
        <v>3</v>
      </c>
      <c r="D2345" t="s">
        <v>31</v>
      </c>
      <c r="E2345" t="s">
        <v>645</v>
      </c>
      <c r="F2345" t="s">
        <v>747</v>
      </c>
      <c r="G2345" t="s">
        <v>650</v>
      </c>
      <c r="H2345">
        <v>45</v>
      </c>
      <c r="I2345" t="s">
        <v>644</v>
      </c>
      <c r="J2345">
        <v>7500</v>
      </c>
      <c r="K2345" s="1">
        <v>44433</v>
      </c>
      <c r="L2345">
        <v>2021</v>
      </c>
      <c r="M2345" t="str">
        <f>UPPER(TEXT(_2020_2022[[#This Row],[Data da Venda]],"mmm"))</f>
        <v>AGO</v>
      </c>
    </row>
    <row r="2346" spans="1:13" x14ac:dyDescent="0.25">
      <c r="A2346" t="s">
        <v>1442</v>
      </c>
      <c r="B2346">
        <v>1200</v>
      </c>
      <c r="C2346">
        <v>5</v>
      </c>
      <c r="D2346" t="s">
        <v>38</v>
      </c>
      <c r="E2346" t="s">
        <v>648</v>
      </c>
      <c r="F2346" t="s">
        <v>893</v>
      </c>
      <c r="G2346" t="s">
        <v>650</v>
      </c>
      <c r="H2346">
        <v>42</v>
      </c>
      <c r="I2346" t="s">
        <v>644</v>
      </c>
      <c r="J2346">
        <v>6000</v>
      </c>
      <c r="K2346" s="1">
        <v>44313</v>
      </c>
      <c r="L2346">
        <v>2021</v>
      </c>
      <c r="M2346" t="str">
        <f>UPPER(TEXT(_2020_2022[[#This Row],[Data da Venda]],"mmm"))</f>
        <v>ABR</v>
      </c>
    </row>
    <row r="2347" spans="1:13" x14ac:dyDescent="0.25">
      <c r="A2347" t="s">
        <v>18</v>
      </c>
      <c r="B2347">
        <v>3000</v>
      </c>
      <c r="C2347">
        <v>4</v>
      </c>
      <c r="D2347" t="s">
        <v>29</v>
      </c>
      <c r="E2347" t="s">
        <v>641</v>
      </c>
      <c r="F2347" t="s">
        <v>1126</v>
      </c>
      <c r="G2347" t="s">
        <v>643</v>
      </c>
      <c r="H2347">
        <v>33</v>
      </c>
      <c r="I2347" t="s">
        <v>644</v>
      </c>
      <c r="J2347">
        <v>12000</v>
      </c>
      <c r="K2347" s="1">
        <v>44477</v>
      </c>
      <c r="L2347">
        <v>2021</v>
      </c>
      <c r="M2347" t="str">
        <f>UPPER(TEXT(_2020_2022[[#This Row],[Data da Venda]],"mmm"))</f>
        <v>OUT</v>
      </c>
    </row>
    <row r="2348" spans="1:13" x14ac:dyDescent="0.25">
      <c r="A2348" t="s">
        <v>26</v>
      </c>
      <c r="B2348">
        <v>1100</v>
      </c>
      <c r="C2348">
        <v>3</v>
      </c>
      <c r="D2348" t="s">
        <v>34</v>
      </c>
      <c r="E2348" t="s">
        <v>679</v>
      </c>
      <c r="F2348" t="s">
        <v>896</v>
      </c>
      <c r="G2348" t="s">
        <v>643</v>
      </c>
      <c r="H2348">
        <v>71</v>
      </c>
      <c r="I2348" t="s">
        <v>647</v>
      </c>
      <c r="J2348">
        <v>3300</v>
      </c>
      <c r="K2348" s="1">
        <v>44356</v>
      </c>
      <c r="L2348">
        <v>2021</v>
      </c>
      <c r="M2348" t="str">
        <f>UPPER(TEXT(_2020_2022[[#This Row],[Data da Venda]],"mmm"))</f>
        <v>JUN</v>
      </c>
    </row>
    <row r="2349" spans="1:13" x14ac:dyDescent="0.25">
      <c r="A2349" t="s">
        <v>16</v>
      </c>
      <c r="B2349">
        <v>1400</v>
      </c>
      <c r="C2349">
        <v>3</v>
      </c>
      <c r="D2349" t="s">
        <v>37</v>
      </c>
      <c r="E2349" t="s">
        <v>645</v>
      </c>
      <c r="F2349" t="s">
        <v>828</v>
      </c>
      <c r="G2349" t="s">
        <v>650</v>
      </c>
      <c r="H2349">
        <v>63</v>
      </c>
      <c r="I2349" t="s">
        <v>647</v>
      </c>
      <c r="J2349">
        <v>4200</v>
      </c>
      <c r="K2349" s="1">
        <v>44201</v>
      </c>
      <c r="L2349">
        <v>2021</v>
      </c>
      <c r="M2349" t="str">
        <f>UPPER(TEXT(_2020_2022[[#This Row],[Data da Venda]],"mmm"))</f>
        <v>JAN</v>
      </c>
    </row>
    <row r="2350" spans="1:13" x14ac:dyDescent="0.25">
      <c r="A2350" t="s">
        <v>1440</v>
      </c>
      <c r="B2350">
        <v>700</v>
      </c>
      <c r="C2350">
        <v>1</v>
      </c>
      <c r="D2350" t="s">
        <v>34</v>
      </c>
      <c r="E2350" t="s">
        <v>679</v>
      </c>
      <c r="F2350" t="s">
        <v>944</v>
      </c>
      <c r="G2350" t="s">
        <v>643</v>
      </c>
      <c r="H2350">
        <v>33</v>
      </c>
      <c r="I2350" t="s">
        <v>644</v>
      </c>
      <c r="J2350">
        <v>700</v>
      </c>
      <c r="K2350" s="1">
        <v>44464</v>
      </c>
      <c r="L2350">
        <v>2021</v>
      </c>
      <c r="M2350" t="str">
        <f>UPPER(TEXT(_2020_2022[[#This Row],[Data da Venda]],"mmm"))</f>
        <v>SET</v>
      </c>
    </row>
    <row r="2351" spans="1:13" x14ac:dyDescent="0.25">
      <c r="A2351" t="s">
        <v>8</v>
      </c>
      <c r="B2351">
        <v>5500</v>
      </c>
      <c r="C2351">
        <v>4</v>
      </c>
      <c r="D2351" t="s">
        <v>38</v>
      </c>
      <c r="E2351" t="s">
        <v>648</v>
      </c>
      <c r="F2351" t="s">
        <v>769</v>
      </c>
      <c r="G2351" t="s">
        <v>643</v>
      </c>
      <c r="H2351">
        <v>28</v>
      </c>
      <c r="I2351" t="s">
        <v>651</v>
      </c>
      <c r="J2351">
        <v>22000</v>
      </c>
      <c r="K2351" s="1">
        <v>44470</v>
      </c>
      <c r="L2351">
        <v>2021</v>
      </c>
      <c r="M2351" t="str">
        <f>UPPER(TEXT(_2020_2022[[#This Row],[Data da Venda]],"mmm"))</f>
        <v>OUT</v>
      </c>
    </row>
    <row r="2352" spans="1:13" x14ac:dyDescent="0.25">
      <c r="A2352" t="s">
        <v>7</v>
      </c>
      <c r="B2352">
        <v>750</v>
      </c>
      <c r="C2352">
        <v>2</v>
      </c>
      <c r="D2352" t="s">
        <v>40</v>
      </c>
      <c r="E2352" t="s">
        <v>657</v>
      </c>
      <c r="F2352" t="s">
        <v>1386</v>
      </c>
      <c r="G2352" t="s">
        <v>650</v>
      </c>
      <c r="H2352">
        <v>57</v>
      </c>
      <c r="I2352" t="s">
        <v>647</v>
      </c>
      <c r="J2352">
        <v>1500</v>
      </c>
      <c r="K2352" s="1">
        <v>44506</v>
      </c>
      <c r="L2352">
        <v>2021</v>
      </c>
      <c r="M2352" t="str">
        <f>UPPER(TEXT(_2020_2022[[#This Row],[Data da Venda]],"mmm"))</f>
        <v>NOV</v>
      </c>
    </row>
    <row r="2353" spans="1:13" x14ac:dyDescent="0.25">
      <c r="A2353" t="s">
        <v>13</v>
      </c>
      <c r="B2353">
        <v>2300</v>
      </c>
      <c r="C2353">
        <v>2</v>
      </c>
      <c r="D2353" t="s">
        <v>29</v>
      </c>
      <c r="E2353" t="s">
        <v>641</v>
      </c>
      <c r="F2353" t="s">
        <v>734</v>
      </c>
      <c r="G2353" t="s">
        <v>643</v>
      </c>
      <c r="H2353">
        <v>52</v>
      </c>
      <c r="I2353" t="s">
        <v>647</v>
      </c>
      <c r="J2353">
        <v>4600</v>
      </c>
      <c r="K2353" s="1">
        <v>44236</v>
      </c>
      <c r="L2353">
        <v>2021</v>
      </c>
      <c r="M2353" t="str">
        <f>UPPER(TEXT(_2020_2022[[#This Row],[Data da Venda]],"mmm"))</f>
        <v>FEV</v>
      </c>
    </row>
    <row r="2354" spans="1:13" x14ac:dyDescent="0.25">
      <c r="A2354" t="s">
        <v>1442</v>
      </c>
      <c r="B2354">
        <v>1200</v>
      </c>
      <c r="C2354">
        <v>5</v>
      </c>
      <c r="D2354" t="s">
        <v>32</v>
      </c>
      <c r="E2354" t="s">
        <v>652</v>
      </c>
      <c r="F2354" t="s">
        <v>1042</v>
      </c>
      <c r="G2354" t="s">
        <v>650</v>
      </c>
      <c r="H2354">
        <v>72</v>
      </c>
      <c r="I2354" t="s">
        <v>647</v>
      </c>
      <c r="J2354">
        <v>6000</v>
      </c>
      <c r="K2354" s="1">
        <v>44506</v>
      </c>
      <c r="L2354">
        <v>2021</v>
      </c>
      <c r="M2354" t="str">
        <f>UPPER(TEXT(_2020_2022[[#This Row],[Data da Venda]],"mmm"))</f>
        <v>NOV</v>
      </c>
    </row>
    <row r="2355" spans="1:13" x14ac:dyDescent="0.25">
      <c r="A2355" t="s">
        <v>14</v>
      </c>
      <c r="B2355">
        <v>2000</v>
      </c>
      <c r="C2355">
        <v>4</v>
      </c>
      <c r="D2355" t="s">
        <v>29</v>
      </c>
      <c r="E2355" t="s">
        <v>641</v>
      </c>
      <c r="F2355" t="s">
        <v>957</v>
      </c>
      <c r="G2355" t="s">
        <v>643</v>
      </c>
      <c r="H2355">
        <v>38</v>
      </c>
      <c r="I2355" t="s">
        <v>644</v>
      </c>
      <c r="J2355">
        <v>8000</v>
      </c>
      <c r="K2355" s="1">
        <v>44531</v>
      </c>
      <c r="L2355">
        <v>2021</v>
      </c>
      <c r="M2355" t="str">
        <f>UPPER(TEXT(_2020_2022[[#This Row],[Data da Venda]],"mmm"))</f>
        <v>DEZ</v>
      </c>
    </row>
    <row r="2356" spans="1:13" x14ac:dyDescent="0.25">
      <c r="A2356" t="s">
        <v>28</v>
      </c>
      <c r="B2356">
        <v>1400</v>
      </c>
      <c r="C2356">
        <v>5</v>
      </c>
      <c r="D2356" t="s">
        <v>32</v>
      </c>
      <c r="E2356" t="s">
        <v>652</v>
      </c>
      <c r="F2356" t="s">
        <v>1396</v>
      </c>
      <c r="G2356" t="s">
        <v>643</v>
      </c>
      <c r="H2356">
        <v>45</v>
      </c>
      <c r="I2356" t="s">
        <v>644</v>
      </c>
      <c r="J2356">
        <v>7000</v>
      </c>
      <c r="K2356" s="1">
        <v>44396</v>
      </c>
      <c r="L2356">
        <v>2021</v>
      </c>
      <c r="M2356" t="str">
        <f>UPPER(TEXT(_2020_2022[[#This Row],[Data da Venda]],"mmm"))</f>
        <v>JUL</v>
      </c>
    </row>
    <row r="2357" spans="1:13" x14ac:dyDescent="0.25">
      <c r="A2357" t="s">
        <v>18</v>
      </c>
      <c r="B2357">
        <v>3000</v>
      </c>
      <c r="C2357">
        <v>3</v>
      </c>
      <c r="D2357" t="s">
        <v>33</v>
      </c>
      <c r="E2357" t="s">
        <v>641</v>
      </c>
      <c r="F2357" t="s">
        <v>1379</v>
      </c>
      <c r="G2357" t="s">
        <v>643</v>
      </c>
      <c r="H2357">
        <v>31</v>
      </c>
      <c r="I2357" t="s">
        <v>644</v>
      </c>
      <c r="J2357">
        <v>9000</v>
      </c>
      <c r="K2357" s="1">
        <v>44510</v>
      </c>
      <c r="L2357">
        <v>2021</v>
      </c>
      <c r="M2357" t="str">
        <f>UPPER(TEXT(_2020_2022[[#This Row],[Data da Venda]],"mmm"))</f>
        <v>NOV</v>
      </c>
    </row>
    <row r="2358" spans="1:13" x14ac:dyDescent="0.25">
      <c r="A2358" t="s">
        <v>5</v>
      </c>
      <c r="B2358">
        <v>1750</v>
      </c>
      <c r="C2358">
        <v>4</v>
      </c>
      <c r="D2358" t="s">
        <v>36</v>
      </c>
      <c r="E2358" t="s">
        <v>677</v>
      </c>
      <c r="F2358" t="s">
        <v>964</v>
      </c>
      <c r="G2358" t="s">
        <v>650</v>
      </c>
      <c r="H2358">
        <v>35</v>
      </c>
      <c r="I2358" t="s">
        <v>644</v>
      </c>
      <c r="J2358">
        <v>7000</v>
      </c>
      <c r="K2358" s="1">
        <v>44372</v>
      </c>
      <c r="L2358">
        <v>2021</v>
      </c>
      <c r="M2358" t="str">
        <f>UPPER(TEXT(_2020_2022[[#This Row],[Data da Venda]],"mmm"))</f>
        <v>JUN</v>
      </c>
    </row>
    <row r="2359" spans="1:13" x14ac:dyDescent="0.25">
      <c r="A2359" t="s">
        <v>28</v>
      </c>
      <c r="B2359">
        <v>1400</v>
      </c>
      <c r="C2359">
        <v>3</v>
      </c>
      <c r="D2359" t="s">
        <v>38</v>
      </c>
      <c r="E2359" t="s">
        <v>648</v>
      </c>
      <c r="F2359" t="s">
        <v>1041</v>
      </c>
      <c r="G2359" t="s">
        <v>643</v>
      </c>
      <c r="H2359">
        <v>57</v>
      </c>
      <c r="I2359" t="s">
        <v>647</v>
      </c>
      <c r="J2359">
        <v>4200</v>
      </c>
      <c r="K2359" s="1">
        <v>44435</v>
      </c>
      <c r="L2359">
        <v>2021</v>
      </c>
      <c r="M2359" t="str">
        <f>UPPER(TEXT(_2020_2022[[#This Row],[Data da Venda]],"mmm"))</f>
        <v>AGO</v>
      </c>
    </row>
    <row r="2360" spans="1:13" x14ac:dyDescent="0.25">
      <c r="A2360" t="s">
        <v>1441</v>
      </c>
      <c r="B2360">
        <v>1450</v>
      </c>
      <c r="C2360">
        <v>3</v>
      </c>
      <c r="D2360" t="s">
        <v>30</v>
      </c>
      <c r="E2360" t="s">
        <v>645</v>
      </c>
      <c r="F2360" t="s">
        <v>877</v>
      </c>
      <c r="G2360" t="s">
        <v>643</v>
      </c>
      <c r="H2360">
        <v>52</v>
      </c>
      <c r="I2360" t="s">
        <v>647</v>
      </c>
      <c r="J2360">
        <v>4350</v>
      </c>
      <c r="K2360" s="1">
        <v>44427</v>
      </c>
      <c r="L2360">
        <v>2021</v>
      </c>
      <c r="M2360" t="str">
        <f>UPPER(TEXT(_2020_2022[[#This Row],[Data da Venda]],"mmm"))</f>
        <v>AGO</v>
      </c>
    </row>
    <row r="2361" spans="1:13" x14ac:dyDescent="0.25">
      <c r="A2361" t="s">
        <v>1444</v>
      </c>
      <c r="B2361">
        <v>1500</v>
      </c>
      <c r="C2361">
        <v>3</v>
      </c>
      <c r="D2361" t="s">
        <v>38</v>
      </c>
      <c r="E2361" t="s">
        <v>648</v>
      </c>
      <c r="F2361" t="s">
        <v>649</v>
      </c>
      <c r="G2361" t="s">
        <v>650</v>
      </c>
      <c r="H2361">
        <v>27</v>
      </c>
      <c r="I2361" t="s">
        <v>651</v>
      </c>
      <c r="J2361">
        <v>4500</v>
      </c>
      <c r="K2361" s="1">
        <v>44242</v>
      </c>
      <c r="L2361">
        <v>2021</v>
      </c>
      <c r="M2361" t="str">
        <f>UPPER(TEXT(_2020_2022[[#This Row],[Data da Venda]],"mmm"))</f>
        <v>FEV</v>
      </c>
    </row>
    <row r="2362" spans="1:13" x14ac:dyDescent="0.25">
      <c r="A2362" t="s">
        <v>28</v>
      </c>
      <c r="B2362">
        <v>1400</v>
      </c>
      <c r="C2362">
        <v>1</v>
      </c>
      <c r="D2362" t="s">
        <v>35</v>
      </c>
      <c r="E2362" t="s">
        <v>666</v>
      </c>
      <c r="F2362" t="s">
        <v>671</v>
      </c>
      <c r="G2362" t="s">
        <v>643</v>
      </c>
      <c r="H2362">
        <v>63</v>
      </c>
      <c r="I2362" t="s">
        <v>647</v>
      </c>
      <c r="J2362">
        <v>1400</v>
      </c>
      <c r="K2362" s="1">
        <v>44389</v>
      </c>
      <c r="L2362">
        <v>2021</v>
      </c>
      <c r="M2362" t="str">
        <f>UPPER(TEXT(_2020_2022[[#This Row],[Data da Venda]],"mmm"))</f>
        <v>JUL</v>
      </c>
    </row>
    <row r="2363" spans="1:13" x14ac:dyDescent="0.25">
      <c r="A2363" t="s">
        <v>1443</v>
      </c>
      <c r="B2363">
        <v>1550</v>
      </c>
      <c r="C2363">
        <v>1</v>
      </c>
      <c r="D2363" t="s">
        <v>33</v>
      </c>
      <c r="E2363" t="s">
        <v>641</v>
      </c>
      <c r="F2363" t="s">
        <v>1067</v>
      </c>
      <c r="G2363" t="s">
        <v>650</v>
      </c>
      <c r="H2363">
        <v>45</v>
      </c>
      <c r="I2363" t="s">
        <v>644</v>
      </c>
      <c r="J2363">
        <v>1550</v>
      </c>
      <c r="K2363" s="1">
        <v>44452</v>
      </c>
      <c r="L2363">
        <v>2021</v>
      </c>
      <c r="M2363" t="str">
        <f>UPPER(TEXT(_2020_2022[[#This Row],[Data da Venda]],"mmm"))</f>
        <v>SET</v>
      </c>
    </row>
    <row r="2364" spans="1:13" x14ac:dyDescent="0.25">
      <c r="A2364" t="s">
        <v>26</v>
      </c>
      <c r="B2364">
        <v>1100</v>
      </c>
      <c r="C2364">
        <v>2</v>
      </c>
      <c r="D2364" t="s">
        <v>40</v>
      </c>
      <c r="E2364" t="s">
        <v>657</v>
      </c>
      <c r="F2364" t="s">
        <v>1074</v>
      </c>
      <c r="G2364" t="s">
        <v>643</v>
      </c>
      <c r="H2364">
        <v>31</v>
      </c>
      <c r="I2364" t="s">
        <v>644</v>
      </c>
      <c r="J2364">
        <v>2200</v>
      </c>
      <c r="K2364" s="1">
        <v>44413</v>
      </c>
      <c r="L2364">
        <v>2021</v>
      </c>
      <c r="M2364" t="str">
        <f>UPPER(TEXT(_2020_2022[[#This Row],[Data da Venda]],"mmm"))</f>
        <v>AGO</v>
      </c>
    </row>
    <row r="2365" spans="1:13" x14ac:dyDescent="0.25">
      <c r="A2365" t="s">
        <v>1444</v>
      </c>
      <c r="B2365">
        <v>1500</v>
      </c>
      <c r="C2365">
        <v>2</v>
      </c>
      <c r="D2365" t="s">
        <v>32</v>
      </c>
      <c r="E2365" t="s">
        <v>652</v>
      </c>
      <c r="F2365" t="s">
        <v>1031</v>
      </c>
      <c r="G2365" t="s">
        <v>643</v>
      </c>
      <c r="H2365">
        <v>44</v>
      </c>
      <c r="I2365" t="s">
        <v>644</v>
      </c>
      <c r="J2365">
        <v>3000</v>
      </c>
      <c r="K2365" s="1">
        <v>44320</v>
      </c>
      <c r="L2365">
        <v>2021</v>
      </c>
      <c r="M2365" t="str">
        <f>UPPER(TEXT(_2020_2022[[#This Row],[Data da Venda]],"mmm"))</f>
        <v>MAI</v>
      </c>
    </row>
    <row r="2366" spans="1:13" x14ac:dyDescent="0.25">
      <c r="A2366" t="s">
        <v>24</v>
      </c>
      <c r="B2366">
        <v>2000</v>
      </c>
      <c r="C2366">
        <v>1</v>
      </c>
      <c r="D2366" t="s">
        <v>33</v>
      </c>
      <c r="E2366" t="s">
        <v>641</v>
      </c>
      <c r="F2366" t="s">
        <v>1015</v>
      </c>
      <c r="G2366" t="s">
        <v>643</v>
      </c>
      <c r="H2366">
        <v>42</v>
      </c>
      <c r="I2366" t="s">
        <v>644</v>
      </c>
      <c r="J2366">
        <v>2000</v>
      </c>
      <c r="K2366" s="1">
        <v>44523</v>
      </c>
      <c r="L2366">
        <v>2021</v>
      </c>
      <c r="M2366" t="str">
        <f>UPPER(TEXT(_2020_2022[[#This Row],[Data da Venda]],"mmm"))</f>
        <v>NOV</v>
      </c>
    </row>
    <row r="2367" spans="1:13" x14ac:dyDescent="0.25">
      <c r="A2367" t="s">
        <v>9</v>
      </c>
      <c r="B2367">
        <v>1500</v>
      </c>
      <c r="C2367">
        <v>2</v>
      </c>
      <c r="D2367" t="s">
        <v>29</v>
      </c>
      <c r="E2367" t="s">
        <v>641</v>
      </c>
      <c r="F2367" t="s">
        <v>757</v>
      </c>
      <c r="G2367" t="s">
        <v>643</v>
      </c>
      <c r="H2367">
        <v>30</v>
      </c>
      <c r="I2367" t="s">
        <v>644</v>
      </c>
      <c r="J2367">
        <v>3000</v>
      </c>
      <c r="K2367" s="1">
        <v>44409</v>
      </c>
      <c r="L2367">
        <v>2021</v>
      </c>
      <c r="M2367" t="str">
        <f>UPPER(TEXT(_2020_2022[[#This Row],[Data da Venda]],"mmm"))</f>
        <v>AGO</v>
      </c>
    </row>
    <row r="2368" spans="1:13" x14ac:dyDescent="0.25">
      <c r="A2368" t="s">
        <v>16</v>
      </c>
      <c r="B2368">
        <v>1400</v>
      </c>
      <c r="C2368">
        <v>2</v>
      </c>
      <c r="D2368" t="s">
        <v>40</v>
      </c>
      <c r="E2368" t="s">
        <v>657</v>
      </c>
      <c r="F2368" t="s">
        <v>876</v>
      </c>
      <c r="G2368" t="s">
        <v>650</v>
      </c>
      <c r="H2368">
        <v>28</v>
      </c>
      <c r="I2368" t="s">
        <v>651</v>
      </c>
      <c r="J2368">
        <v>2800</v>
      </c>
      <c r="K2368" s="1">
        <v>44310</v>
      </c>
      <c r="L2368">
        <v>2021</v>
      </c>
      <c r="M2368" t="str">
        <f>UPPER(TEXT(_2020_2022[[#This Row],[Data da Venda]],"mmm"))</f>
        <v>ABR</v>
      </c>
    </row>
    <row r="2369" spans="1:13" x14ac:dyDescent="0.25">
      <c r="A2369" t="s">
        <v>11</v>
      </c>
      <c r="B2369">
        <v>4500</v>
      </c>
      <c r="C2369">
        <v>1</v>
      </c>
      <c r="D2369" t="s">
        <v>34</v>
      </c>
      <c r="E2369" t="s">
        <v>679</v>
      </c>
      <c r="F2369" t="s">
        <v>977</v>
      </c>
      <c r="G2369" t="s">
        <v>650</v>
      </c>
      <c r="H2369">
        <v>49</v>
      </c>
      <c r="I2369" t="s">
        <v>644</v>
      </c>
      <c r="J2369">
        <v>4500</v>
      </c>
      <c r="K2369" s="1">
        <v>44367</v>
      </c>
      <c r="L2369">
        <v>2021</v>
      </c>
      <c r="M2369" t="str">
        <f>UPPER(TEXT(_2020_2022[[#This Row],[Data da Venda]],"mmm"))</f>
        <v>JUN</v>
      </c>
    </row>
    <row r="2370" spans="1:13" x14ac:dyDescent="0.25">
      <c r="A2370" t="s">
        <v>25</v>
      </c>
      <c r="B2370">
        <v>2500</v>
      </c>
      <c r="C2370">
        <v>5</v>
      </c>
      <c r="D2370" t="s">
        <v>37</v>
      </c>
      <c r="E2370" t="s">
        <v>645</v>
      </c>
      <c r="F2370" t="s">
        <v>1315</v>
      </c>
      <c r="G2370" t="s">
        <v>643</v>
      </c>
      <c r="H2370">
        <v>40</v>
      </c>
      <c r="I2370" t="s">
        <v>644</v>
      </c>
      <c r="J2370">
        <v>12500</v>
      </c>
      <c r="K2370" s="1">
        <v>44307</v>
      </c>
      <c r="L2370">
        <v>2021</v>
      </c>
      <c r="M2370" t="str">
        <f>UPPER(TEXT(_2020_2022[[#This Row],[Data da Venda]],"mmm"))</f>
        <v>ABR</v>
      </c>
    </row>
    <row r="2371" spans="1:13" x14ac:dyDescent="0.25">
      <c r="A2371" t="s">
        <v>13</v>
      </c>
      <c r="B2371">
        <v>2300</v>
      </c>
      <c r="C2371">
        <v>3</v>
      </c>
      <c r="D2371" t="s">
        <v>35</v>
      </c>
      <c r="E2371" t="s">
        <v>666</v>
      </c>
      <c r="F2371" t="s">
        <v>1281</v>
      </c>
      <c r="G2371" t="s">
        <v>650</v>
      </c>
      <c r="H2371">
        <v>69</v>
      </c>
      <c r="I2371" t="s">
        <v>647</v>
      </c>
      <c r="J2371">
        <v>6900</v>
      </c>
      <c r="K2371" s="1">
        <v>44239</v>
      </c>
      <c r="L2371">
        <v>2021</v>
      </c>
      <c r="M2371" t="str">
        <f>UPPER(TEXT(_2020_2022[[#This Row],[Data da Venda]],"mmm"))</f>
        <v>FEV</v>
      </c>
    </row>
    <row r="2372" spans="1:13" x14ac:dyDescent="0.25">
      <c r="A2372" t="s">
        <v>28</v>
      </c>
      <c r="B2372">
        <v>1400</v>
      </c>
      <c r="C2372">
        <v>5</v>
      </c>
      <c r="D2372" t="s">
        <v>29</v>
      </c>
      <c r="E2372" t="s">
        <v>641</v>
      </c>
      <c r="F2372" t="s">
        <v>1333</v>
      </c>
      <c r="G2372" t="s">
        <v>650</v>
      </c>
      <c r="H2372">
        <v>64</v>
      </c>
      <c r="I2372" t="s">
        <v>647</v>
      </c>
      <c r="J2372">
        <v>7000</v>
      </c>
      <c r="K2372" s="1">
        <v>44458</v>
      </c>
      <c r="L2372">
        <v>2021</v>
      </c>
      <c r="M2372" t="str">
        <f>UPPER(TEXT(_2020_2022[[#This Row],[Data da Venda]],"mmm"))</f>
        <v>SET</v>
      </c>
    </row>
    <row r="2373" spans="1:13" x14ac:dyDescent="0.25">
      <c r="A2373" t="s">
        <v>1442</v>
      </c>
      <c r="B2373">
        <v>1200</v>
      </c>
      <c r="C2373">
        <v>1</v>
      </c>
      <c r="D2373" t="s">
        <v>37</v>
      </c>
      <c r="E2373" t="s">
        <v>645</v>
      </c>
      <c r="F2373" t="s">
        <v>1360</v>
      </c>
      <c r="G2373" t="s">
        <v>650</v>
      </c>
      <c r="H2373">
        <v>70</v>
      </c>
      <c r="I2373" t="s">
        <v>647</v>
      </c>
      <c r="J2373">
        <v>1200</v>
      </c>
      <c r="K2373" s="1">
        <v>44332</v>
      </c>
      <c r="L2373">
        <v>2021</v>
      </c>
      <c r="M2373" t="str">
        <f>UPPER(TEXT(_2020_2022[[#This Row],[Data da Venda]],"mmm"))</f>
        <v>MAI</v>
      </c>
    </row>
    <row r="2374" spans="1:13" x14ac:dyDescent="0.25">
      <c r="A2374" t="s">
        <v>1441</v>
      </c>
      <c r="B2374">
        <v>1450</v>
      </c>
      <c r="C2374">
        <v>5</v>
      </c>
      <c r="D2374" t="s">
        <v>34</v>
      </c>
      <c r="E2374" t="s">
        <v>679</v>
      </c>
      <c r="F2374" t="s">
        <v>1244</v>
      </c>
      <c r="G2374" t="s">
        <v>643</v>
      </c>
      <c r="H2374">
        <v>48</v>
      </c>
      <c r="I2374" t="s">
        <v>644</v>
      </c>
      <c r="J2374">
        <v>7250</v>
      </c>
      <c r="K2374" s="1">
        <v>44472</v>
      </c>
      <c r="L2374">
        <v>2021</v>
      </c>
      <c r="M2374" t="str">
        <f>UPPER(TEXT(_2020_2022[[#This Row],[Data da Venda]],"mmm"))</f>
        <v>OUT</v>
      </c>
    </row>
    <row r="2375" spans="1:13" x14ac:dyDescent="0.25">
      <c r="A2375" t="s">
        <v>25</v>
      </c>
      <c r="B2375">
        <v>2500</v>
      </c>
      <c r="C2375">
        <v>4</v>
      </c>
      <c r="D2375" t="s">
        <v>33</v>
      </c>
      <c r="E2375" t="s">
        <v>641</v>
      </c>
      <c r="F2375" t="s">
        <v>1304</v>
      </c>
      <c r="G2375" t="s">
        <v>643</v>
      </c>
      <c r="H2375">
        <v>49</v>
      </c>
      <c r="I2375" t="s">
        <v>644</v>
      </c>
      <c r="J2375">
        <v>10000</v>
      </c>
      <c r="K2375" s="1">
        <v>44345</v>
      </c>
      <c r="L2375">
        <v>2021</v>
      </c>
      <c r="M2375" t="str">
        <f>UPPER(TEXT(_2020_2022[[#This Row],[Data da Venda]],"mmm"))</f>
        <v>MAI</v>
      </c>
    </row>
    <row r="2376" spans="1:13" x14ac:dyDescent="0.25">
      <c r="A2376" t="s">
        <v>16</v>
      </c>
      <c r="B2376">
        <v>1400</v>
      </c>
      <c r="C2376">
        <v>4</v>
      </c>
      <c r="D2376" t="s">
        <v>29</v>
      </c>
      <c r="E2376" t="s">
        <v>641</v>
      </c>
      <c r="F2376" t="s">
        <v>789</v>
      </c>
      <c r="G2376" t="s">
        <v>650</v>
      </c>
      <c r="H2376">
        <v>28</v>
      </c>
      <c r="I2376" t="s">
        <v>651</v>
      </c>
      <c r="J2376">
        <v>5600</v>
      </c>
      <c r="K2376" s="1">
        <v>44397</v>
      </c>
      <c r="L2376">
        <v>2021</v>
      </c>
      <c r="M2376" t="str">
        <f>UPPER(TEXT(_2020_2022[[#This Row],[Data da Venda]],"mmm"))</f>
        <v>JUL</v>
      </c>
    </row>
    <row r="2377" spans="1:13" x14ac:dyDescent="0.25">
      <c r="A2377" t="s">
        <v>15</v>
      </c>
      <c r="B2377">
        <v>1900</v>
      </c>
      <c r="C2377">
        <v>4</v>
      </c>
      <c r="D2377" t="s">
        <v>38</v>
      </c>
      <c r="E2377" t="s">
        <v>648</v>
      </c>
      <c r="F2377" t="s">
        <v>1054</v>
      </c>
      <c r="G2377" t="s">
        <v>650</v>
      </c>
      <c r="H2377">
        <v>67</v>
      </c>
      <c r="I2377" t="s">
        <v>647</v>
      </c>
      <c r="J2377">
        <v>7600</v>
      </c>
      <c r="K2377" s="1">
        <v>44535</v>
      </c>
      <c r="L2377">
        <v>2021</v>
      </c>
      <c r="M2377" t="str">
        <f>UPPER(TEXT(_2020_2022[[#This Row],[Data da Venda]],"mmm"))</f>
        <v>DEZ</v>
      </c>
    </row>
    <row r="2378" spans="1:13" x14ac:dyDescent="0.25">
      <c r="A2378" t="s">
        <v>1444</v>
      </c>
      <c r="B2378">
        <v>1500</v>
      </c>
      <c r="C2378">
        <v>5</v>
      </c>
      <c r="D2378" t="s">
        <v>36</v>
      </c>
      <c r="E2378" t="s">
        <v>677</v>
      </c>
      <c r="F2378" t="s">
        <v>1397</v>
      </c>
      <c r="G2378" t="s">
        <v>643</v>
      </c>
      <c r="H2378">
        <v>59</v>
      </c>
      <c r="I2378" t="s">
        <v>647</v>
      </c>
      <c r="J2378">
        <v>7500</v>
      </c>
      <c r="K2378" s="1">
        <v>44247</v>
      </c>
      <c r="L2378">
        <v>2021</v>
      </c>
      <c r="M2378" t="str">
        <f>UPPER(TEXT(_2020_2022[[#This Row],[Data da Venda]],"mmm"))</f>
        <v>FEV</v>
      </c>
    </row>
    <row r="2379" spans="1:13" x14ac:dyDescent="0.25">
      <c r="A2379" t="s">
        <v>24</v>
      </c>
      <c r="B2379">
        <v>2000</v>
      </c>
      <c r="C2379">
        <v>1</v>
      </c>
      <c r="D2379" t="s">
        <v>29</v>
      </c>
      <c r="E2379" t="s">
        <v>641</v>
      </c>
      <c r="F2379" t="s">
        <v>1029</v>
      </c>
      <c r="G2379" t="s">
        <v>643</v>
      </c>
      <c r="H2379">
        <v>44</v>
      </c>
      <c r="I2379" t="s">
        <v>644</v>
      </c>
      <c r="J2379">
        <v>2000</v>
      </c>
      <c r="K2379" s="1">
        <v>44464</v>
      </c>
      <c r="L2379">
        <v>2021</v>
      </c>
      <c r="M2379" t="str">
        <f>UPPER(TEXT(_2020_2022[[#This Row],[Data da Venda]],"mmm"))</f>
        <v>SET</v>
      </c>
    </row>
    <row r="2380" spans="1:13" x14ac:dyDescent="0.25">
      <c r="A2380" t="s">
        <v>1441</v>
      </c>
      <c r="B2380">
        <v>1450</v>
      </c>
      <c r="C2380">
        <v>3</v>
      </c>
      <c r="D2380" t="s">
        <v>30</v>
      </c>
      <c r="E2380" t="s">
        <v>645</v>
      </c>
      <c r="F2380" t="s">
        <v>1270</v>
      </c>
      <c r="G2380" t="s">
        <v>650</v>
      </c>
      <c r="H2380">
        <v>40</v>
      </c>
      <c r="I2380" t="s">
        <v>644</v>
      </c>
      <c r="J2380">
        <v>4350</v>
      </c>
      <c r="K2380" s="1">
        <v>44237</v>
      </c>
      <c r="L2380">
        <v>2021</v>
      </c>
      <c r="M2380" t="str">
        <f>UPPER(TEXT(_2020_2022[[#This Row],[Data da Venda]],"mmm"))</f>
        <v>FEV</v>
      </c>
    </row>
    <row r="2381" spans="1:13" x14ac:dyDescent="0.25">
      <c r="A2381" t="s">
        <v>28</v>
      </c>
      <c r="B2381">
        <v>1400</v>
      </c>
      <c r="C2381">
        <v>5</v>
      </c>
      <c r="D2381" t="s">
        <v>36</v>
      </c>
      <c r="E2381" t="s">
        <v>677</v>
      </c>
      <c r="F2381" t="s">
        <v>1198</v>
      </c>
      <c r="G2381" t="s">
        <v>650</v>
      </c>
      <c r="H2381">
        <v>65</v>
      </c>
      <c r="I2381" t="s">
        <v>647</v>
      </c>
      <c r="J2381">
        <v>7000</v>
      </c>
      <c r="K2381" s="1">
        <v>44508</v>
      </c>
      <c r="L2381">
        <v>2021</v>
      </c>
      <c r="M2381" t="str">
        <f>UPPER(TEXT(_2020_2022[[#This Row],[Data da Venda]],"mmm"))</f>
        <v>NOV</v>
      </c>
    </row>
    <row r="2382" spans="1:13" x14ac:dyDescent="0.25">
      <c r="A2382" t="s">
        <v>28</v>
      </c>
      <c r="B2382">
        <v>1400</v>
      </c>
      <c r="C2382">
        <v>5</v>
      </c>
      <c r="D2382" t="s">
        <v>35</v>
      </c>
      <c r="E2382" t="s">
        <v>666</v>
      </c>
      <c r="F2382" t="s">
        <v>1014</v>
      </c>
      <c r="G2382" t="s">
        <v>643</v>
      </c>
      <c r="H2382">
        <v>53</v>
      </c>
      <c r="I2382" t="s">
        <v>647</v>
      </c>
      <c r="J2382">
        <v>7000</v>
      </c>
      <c r="K2382" s="1">
        <v>44412</v>
      </c>
      <c r="L2382">
        <v>2021</v>
      </c>
      <c r="M2382" t="str">
        <f>UPPER(TEXT(_2020_2022[[#This Row],[Data da Venda]],"mmm"))</f>
        <v>AGO</v>
      </c>
    </row>
    <row r="2383" spans="1:13" x14ac:dyDescent="0.25">
      <c r="A2383" t="s">
        <v>12</v>
      </c>
      <c r="B2383">
        <v>6500</v>
      </c>
      <c r="C2383">
        <v>4</v>
      </c>
      <c r="D2383" t="s">
        <v>39</v>
      </c>
      <c r="E2383" t="s">
        <v>641</v>
      </c>
      <c r="F2383" t="s">
        <v>1275</v>
      </c>
      <c r="G2383" t="s">
        <v>643</v>
      </c>
      <c r="H2383">
        <v>26</v>
      </c>
      <c r="I2383" t="s">
        <v>651</v>
      </c>
      <c r="J2383">
        <v>26000</v>
      </c>
      <c r="K2383" s="1">
        <v>44512</v>
      </c>
      <c r="L2383">
        <v>2021</v>
      </c>
      <c r="M2383" t="str">
        <f>UPPER(TEXT(_2020_2022[[#This Row],[Data da Venda]],"mmm"))</f>
        <v>NOV</v>
      </c>
    </row>
    <row r="2384" spans="1:13" x14ac:dyDescent="0.25">
      <c r="A2384" t="s">
        <v>16</v>
      </c>
      <c r="B2384">
        <v>1400</v>
      </c>
      <c r="C2384">
        <v>2</v>
      </c>
      <c r="D2384" t="s">
        <v>32</v>
      </c>
      <c r="E2384" t="s">
        <v>652</v>
      </c>
      <c r="F2384" t="s">
        <v>709</v>
      </c>
      <c r="G2384" t="s">
        <v>650</v>
      </c>
      <c r="H2384">
        <v>35</v>
      </c>
      <c r="I2384" t="s">
        <v>644</v>
      </c>
      <c r="J2384">
        <v>2800</v>
      </c>
      <c r="K2384" s="1">
        <v>44249</v>
      </c>
      <c r="L2384">
        <v>2021</v>
      </c>
      <c r="M2384" t="str">
        <f>UPPER(TEXT(_2020_2022[[#This Row],[Data da Venda]],"mmm"))</f>
        <v>FEV</v>
      </c>
    </row>
    <row r="2385" spans="1:13" x14ac:dyDescent="0.25">
      <c r="A2385" t="s">
        <v>16</v>
      </c>
      <c r="B2385">
        <v>1400</v>
      </c>
      <c r="C2385">
        <v>4</v>
      </c>
      <c r="D2385" t="s">
        <v>37</v>
      </c>
      <c r="E2385" t="s">
        <v>645</v>
      </c>
      <c r="F2385" t="s">
        <v>1324</v>
      </c>
      <c r="G2385" t="s">
        <v>643</v>
      </c>
      <c r="H2385">
        <v>66</v>
      </c>
      <c r="I2385" t="s">
        <v>647</v>
      </c>
      <c r="J2385">
        <v>5600</v>
      </c>
      <c r="K2385" s="1">
        <v>44515</v>
      </c>
      <c r="L2385">
        <v>2021</v>
      </c>
      <c r="M2385" t="str">
        <f>UPPER(TEXT(_2020_2022[[#This Row],[Data da Venda]],"mmm"))</f>
        <v>NOV</v>
      </c>
    </row>
    <row r="2386" spans="1:13" x14ac:dyDescent="0.25">
      <c r="A2386" t="s">
        <v>22</v>
      </c>
      <c r="B2386">
        <v>5200</v>
      </c>
      <c r="C2386">
        <v>5</v>
      </c>
      <c r="D2386" t="s">
        <v>36</v>
      </c>
      <c r="E2386" t="s">
        <v>677</v>
      </c>
      <c r="F2386" t="s">
        <v>763</v>
      </c>
      <c r="G2386" t="s">
        <v>643</v>
      </c>
      <c r="H2386">
        <v>33</v>
      </c>
      <c r="I2386" t="s">
        <v>644</v>
      </c>
      <c r="J2386">
        <v>26000</v>
      </c>
      <c r="K2386" s="1">
        <v>44446</v>
      </c>
      <c r="L2386">
        <v>2021</v>
      </c>
      <c r="M2386" t="str">
        <f>UPPER(TEXT(_2020_2022[[#This Row],[Data da Venda]],"mmm"))</f>
        <v>SET</v>
      </c>
    </row>
    <row r="2387" spans="1:13" x14ac:dyDescent="0.25">
      <c r="A2387" t="s">
        <v>5</v>
      </c>
      <c r="B2387">
        <v>1750</v>
      </c>
      <c r="C2387">
        <v>3</v>
      </c>
      <c r="D2387" t="s">
        <v>40</v>
      </c>
      <c r="E2387" t="s">
        <v>657</v>
      </c>
      <c r="F2387" t="s">
        <v>800</v>
      </c>
      <c r="G2387" t="s">
        <v>650</v>
      </c>
      <c r="H2387">
        <v>58</v>
      </c>
      <c r="I2387" t="s">
        <v>647</v>
      </c>
      <c r="J2387">
        <v>5250</v>
      </c>
      <c r="K2387" s="1">
        <v>44552</v>
      </c>
      <c r="L2387">
        <v>2021</v>
      </c>
      <c r="M2387" t="str">
        <f>UPPER(TEXT(_2020_2022[[#This Row],[Data da Venda]],"mmm"))</f>
        <v>DEZ</v>
      </c>
    </row>
    <row r="2388" spans="1:13" x14ac:dyDescent="0.25">
      <c r="A2388" t="s">
        <v>15</v>
      </c>
      <c r="B2388">
        <v>1900</v>
      </c>
      <c r="C2388">
        <v>3</v>
      </c>
      <c r="D2388" t="s">
        <v>38</v>
      </c>
      <c r="E2388" t="s">
        <v>648</v>
      </c>
      <c r="F2388" t="s">
        <v>931</v>
      </c>
      <c r="G2388" t="s">
        <v>650</v>
      </c>
      <c r="H2388">
        <v>54</v>
      </c>
      <c r="I2388" t="s">
        <v>647</v>
      </c>
      <c r="J2388">
        <v>5700</v>
      </c>
      <c r="K2388" s="1">
        <v>44360</v>
      </c>
      <c r="L2388">
        <v>2021</v>
      </c>
      <c r="M2388" t="str">
        <f>UPPER(TEXT(_2020_2022[[#This Row],[Data da Venda]],"mmm"))</f>
        <v>JUN</v>
      </c>
    </row>
    <row r="2389" spans="1:13" x14ac:dyDescent="0.25">
      <c r="A2389" t="s">
        <v>11</v>
      </c>
      <c r="B2389">
        <v>4500</v>
      </c>
      <c r="C2389">
        <v>2</v>
      </c>
      <c r="D2389" t="s">
        <v>32</v>
      </c>
      <c r="E2389" t="s">
        <v>652</v>
      </c>
      <c r="F2389" t="s">
        <v>909</v>
      </c>
      <c r="G2389" t="s">
        <v>650</v>
      </c>
      <c r="H2389">
        <v>67</v>
      </c>
      <c r="I2389" t="s">
        <v>647</v>
      </c>
      <c r="J2389">
        <v>9000</v>
      </c>
      <c r="K2389" s="1">
        <v>44474</v>
      </c>
      <c r="L2389">
        <v>2021</v>
      </c>
      <c r="M2389" t="str">
        <f>UPPER(TEXT(_2020_2022[[#This Row],[Data da Venda]],"mmm"))</f>
        <v>OUT</v>
      </c>
    </row>
    <row r="2390" spans="1:13" x14ac:dyDescent="0.25">
      <c r="A2390" t="s">
        <v>9</v>
      </c>
      <c r="B2390">
        <v>1500</v>
      </c>
      <c r="C2390">
        <v>2</v>
      </c>
      <c r="D2390" t="s">
        <v>34</v>
      </c>
      <c r="E2390" t="s">
        <v>679</v>
      </c>
      <c r="F2390" t="s">
        <v>824</v>
      </c>
      <c r="G2390" t="s">
        <v>643</v>
      </c>
      <c r="H2390">
        <v>32</v>
      </c>
      <c r="I2390" t="s">
        <v>644</v>
      </c>
      <c r="J2390">
        <v>3000</v>
      </c>
      <c r="K2390" s="1">
        <v>44560</v>
      </c>
      <c r="L2390">
        <v>2021</v>
      </c>
      <c r="M2390" t="str">
        <f>UPPER(TEXT(_2020_2022[[#This Row],[Data da Venda]],"mmm"))</f>
        <v>DEZ</v>
      </c>
    </row>
    <row r="2391" spans="1:13" x14ac:dyDescent="0.25">
      <c r="A2391" t="s">
        <v>25</v>
      </c>
      <c r="B2391">
        <v>2500</v>
      </c>
      <c r="C2391">
        <v>3</v>
      </c>
      <c r="D2391" t="s">
        <v>35</v>
      </c>
      <c r="E2391" t="s">
        <v>666</v>
      </c>
      <c r="F2391" t="s">
        <v>697</v>
      </c>
      <c r="G2391" t="s">
        <v>650</v>
      </c>
      <c r="H2391">
        <v>41</v>
      </c>
      <c r="I2391" t="s">
        <v>644</v>
      </c>
      <c r="J2391">
        <v>7500</v>
      </c>
      <c r="K2391" s="1">
        <v>44345</v>
      </c>
      <c r="L2391">
        <v>2021</v>
      </c>
      <c r="M2391" t="str">
        <f>UPPER(TEXT(_2020_2022[[#This Row],[Data da Venda]],"mmm"))</f>
        <v>MAI</v>
      </c>
    </row>
    <row r="2392" spans="1:13" x14ac:dyDescent="0.25">
      <c r="A2392" t="s">
        <v>24</v>
      </c>
      <c r="B2392">
        <v>2000</v>
      </c>
      <c r="C2392">
        <v>3</v>
      </c>
      <c r="D2392" t="s">
        <v>38</v>
      </c>
      <c r="E2392" t="s">
        <v>648</v>
      </c>
      <c r="F2392" t="s">
        <v>883</v>
      </c>
      <c r="G2392" t="s">
        <v>643</v>
      </c>
      <c r="H2392">
        <v>31</v>
      </c>
      <c r="I2392" t="s">
        <v>644</v>
      </c>
      <c r="J2392">
        <v>6000</v>
      </c>
      <c r="K2392" s="1">
        <v>44492</v>
      </c>
      <c r="L2392">
        <v>2021</v>
      </c>
      <c r="M2392" t="str">
        <f>UPPER(TEXT(_2020_2022[[#This Row],[Data da Venda]],"mmm"))</f>
        <v>OUT</v>
      </c>
    </row>
    <row r="2393" spans="1:13" x14ac:dyDescent="0.25">
      <c r="A2393" t="s">
        <v>21</v>
      </c>
      <c r="B2393">
        <v>2400</v>
      </c>
      <c r="C2393">
        <v>2</v>
      </c>
      <c r="D2393" t="s">
        <v>34</v>
      </c>
      <c r="E2393" t="s">
        <v>679</v>
      </c>
      <c r="F2393" t="s">
        <v>1139</v>
      </c>
      <c r="G2393" t="s">
        <v>643</v>
      </c>
      <c r="H2393">
        <v>41</v>
      </c>
      <c r="I2393" t="s">
        <v>644</v>
      </c>
      <c r="J2393">
        <v>4800</v>
      </c>
      <c r="K2393" s="1">
        <v>44536</v>
      </c>
      <c r="L2393">
        <v>2021</v>
      </c>
      <c r="M2393" t="str">
        <f>UPPER(TEXT(_2020_2022[[#This Row],[Data da Venda]],"mmm"))</f>
        <v>DEZ</v>
      </c>
    </row>
    <row r="2394" spans="1:13" x14ac:dyDescent="0.25">
      <c r="A2394" t="s">
        <v>1445</v>
      </c>
      <c r="B2394">
        <v>1500</v>
      </c>
      <c r="C2394">
        <v>3</v>
      </c>
      <c r="D2394" t="s">
        <v>33</v>
      </c>
      <c r="E2394" t="s">
        <v>641</v>
      </c>
      <c r="F2394" t="s">
        <v>962</v>
      </c>
      <c r="G2394" t="s">
        <v>643</v>
      </c>
      <c r="H2394">
        <v>34</v>
      </c>
      <c r="I2394" t="s">
        <v>644</v>
      </c>
      <c r="J2394">
        <v>4500</v>
      </c>
      <c r="K2394" s="1">
        <v>44346</v>
      </c>
      <c r="L2394">
        <v>2021</v>
      </c>
      <c r="M2394" t="str">
        <f>UPPER(TEXT(_2020_2022[[#This Row],[Data da Venda]],"mmm"))</f>
        <v>MAI</v>
      </c>
    </row>
    <row r="2395" spans="1:13" x14ac:dyDescent="0.25">
      <c r="A2395" t="s">
        <v>1443</v>
      </c>
      <c r="B2395">
        <v>1550</v>
      </c>
      <c r="C2395">
        <v>5</v>
      </c>
      <c r="D2395" t="s">
        <v>29</v>
      </c>
      <c r="E2395" t="s">
        <v>641</v>
      </c>
      <c r="F2395" t="s">
        <v>1375</v>
      </c>
      <c r="G2395" t="s">
        <v>650</v>
      </c>
      <c r="H2395">
        <v>70</v>
      </c>
      <c r="I2395" t="s">
        <v>647</v>
      </c>
      <c r="J2395">
        <v>7750</v>
      </c>
      <c r="K2395" s="1">
        <v>44370</v>
      </c>
      <c r="L2395">
        <v>2021</v>
      </c>
      <c r="M2395" t="str">
        <f>UPPER(TEXT(_2020_2022[[#This Row],[Data da Venda]],"mmm"))</f>
        <v>JUN</v>
      </c>
    </row>
    <row r="2396" spans="1:13" x14ac:dyDescent="0.25">
      <c r="A2396" t="s">
        <v>1443</v>
      </c>
      <c r="B2396">
        <v>1550</v>
      </c>
      <c r="C2396">
        <v>3</v>
      </c>
      <c r="D2396" t="s">
        <v>34</v>
      </c>
      <c r="E2396" t="s">
        <v>679</v>
      </c>
      <c r="F2396" t="s">
        <v>873</v>
      </c>
      <c r="G2396" t="s">
        <v>643</v>
      </c>
      <c r="H2396">
        <v>62</v>
      </c>
      <c r="I2396" t="s">
        <v>647</v>
      </c>
      <c r="J2396">
        <v>4650</v>
      </c>
      <c r="K2396" s="1">
        <v>44554</v>
      </c>
      <c r="L2396">
        <v>2021</v>
      </c>
      <c r="M2396" t="str">
        <f>UPPER(TEXT(_2020_2022[[#This Row],[Data da Venda]],"mmm"))</f>
        <v>DEZ</v>
      </c>
    </row>
    <row r="2397" spans="1:13" x14ac:dyDescent="0.25">
      <c r="A2397" t="s">
        <v>26</v>
      </c>
      <c r="B2397">
        <v>1100</v>
      </c>
      <c r="C2397">
        <v>3</v>
      </c>
      <c r="D2397" t="s">
        <v>32</v>
      </c>
      <c r="E2397" t="s">
        <v>652</v>
      </c>
      <c r="F2397" t="s">
        <v>1192</v>
      </c>
      <c r="G2397" t="s">
        <v>650</v>
      </c>
      <c r="H2397">
        <v>67</v>
      </c>
      <c r="I2397" t="s">
        <v>647</v>
      </c>
      <c r="J2397">
        <v>3300</v>
      </c>
      <c r="K2397" s="1">
        <v>44474</v>
      </c>
      <c r="L2397">
        <v>2021</v>
      </c>
      <c r="M2397" t="str">
        <f>UPPER(TEXT(_2020_2022[[#This Row],[Data da Venda]],"mmm"))</f>
        <v>OUT</v>
      </c>
    </row>
    <row r="2398" spans="1:13" x14ac:dyDescent="0.25">
      <c r="A2398" t="s">
        <v>1444</v>
      </c>
      <c r="B2398">
        <v>1500</v>
      </c>
      <c r="C2398">
        <v>3</v>
      </c>
      <c r="D2398" t="s">
        <v>29</v>
      </c>
      <c r="E2398" t="s">
        <v>641</v>
      </c>
      <c r="F2398" t="s">
        <v>1114</v>
      </c>
      <c r="G2398" t="s">
        <v>643</v>
      </c>
      <c r="H2398">
        <v>63</v>
      </c>
      <c r="I2398" t="s">
        <v>647</v>
      </c>
      <c r="J2398">
        <v>4500</v>
      </c>
      <c r="K2398" s="1">
        <v>44410</v>
      </c>
      <c r="L2398">
        <v>2021</v>
      </c>
      <c r="M2398" t="str">
        <f>UPPER(TEXT(_2020_2022[[#This Row],[Data da Venda]],"mmm"))</f>
        <v>AGO</v>
      </c>
    </row>
    <row r="2399" spans="1:13" x14ac:dyDescent="0.25">
      <c r="A2399" t="s">
        <v>1441</v>
      </c>
      <c r="B2399">
        <v>1450</v>
      </c>
      <c r="C2399">
        <v>2</v>
      </c>
      <c r="D2399" t="s">
        <v>34</v>
      </c>
      <c r="E2399" t="s">
        <v>679</v>
      </c>
      <c r="F2399" t="s">
        <v>1342</v>
      </c>
      <c r="G2399" t="s">
        <v>643</v>
      </c>
      <c r="H2399">
        <v>39</v>
      </c>
      <c r="I2399" t="s">
        <v>644</v>
      </c>
      <c r="J2399">
        <v>2900</v>
      </c>
      <c r="K2399" s="1">
        <v>44374</v>
      </c>
      <c r="L2399">
        <v>2021</v>
      </c>
      <c r="M2399" t="str">
        <f>UPPER(TEXT(_2020_2022[[#This Row],[Data da Venda]],"mmm"))</f>
        <v>JUN</v>
      </c>
    </row>
    <row r="2400" spans="1:13" x14ac:dyDescent="0.25">
      <c r="A2400" t="s">
        <v>9</v>
      </c>
      <c r="B2400">
        <v>1500</v>
      </c>
      <c r="C2400">
        <v>3</v>
      </c>
      <c r="D2400" t="s">
        <v>39</v>
      </c>
      <c r="E2400" t="s">
        <v>641</v>
      </c>
      <c r="F2400" t="s">
        <v>1202</v>
      </c>
      <c r="G2400" t="s">
        <v>650</v>
      </c>
      <c r="H2400">
        <v>37</v>
      </c>
      <c r="I2400" t="s">
        <v>644</v>
      </c>
      <c r="J2400">
        <v>4500</v>
      </c>
      <c r="K2400" s="1">
        <v>44318</v>
      </c>
      <c r="L2400">
        <v>2021</v>
      </c>
      <c r="M2400" t="str">
        <f>UPPER(TEXT(_2020_2022[[#This Row],[Data da Venda]],"mmm"))</f>
        <v>MAI</v>
      </c>
    </row>
    <row r="2401" spans="1:13" x14ac:dyDescent="0.25">
      <c r="A2401" t="s">
        <v>8</v>
      </c>
      <c r="B2401">
        <v>5500</v>
      </c>
      <c r="C2401">
        <v>4</v>
      </c>
      <c r="D2401" t="s">
        <v>39</v>
      </c>
      <c r="E2401" t="s">
        <v>641</v>
      </c>
      <c r="F2401" t="s">
        <v>1163</v>
      </c>
      <c r="G2401" t="s">
        <v>650</v>
      </c>
      <c r="H2401">
        <v>42</v>
      </c>
      <c r="I2401" t="s">
        <v>644</v>
      </c>
      <c r="J2401">
        <v>22000</v>
      </c>
      <c r="K2401" s="1">
        <v>44431</v>
      </c>
      <c r="L2401">
        <v>2021</v>
      </c>
      <c r="M2401" t="str">
        <f>UPPER(TEXT(_2020_2022[[#This Row],[Data da Venda]],"mmm"))</f>
        <v>AGO</v>
      </c>
    </row>
    <row r="2402" spans="1:13" x14ac:dyDescent="0.25">
      <c r="A2402" t="s">
        <v>26</v>
      </c>
      <c r="B2402">
        <v>1100</v>
      </c>
      <c r="C2402">
        <v>3</v>
      </c>
      <c r="D2402" t="s">
        <v>30</v>
      </c>
      <c r="E2402" t="s">
        <v>645</v>
      </c>
      <c r="F2402" t="s">
        <v>1073</v>
      </c>
      <c r="G2402" t="s">
        <v>643</v>
      </c>
      <c r="H2402">
        <v>66</v>
      </c>
      <c r="I2402" t="s">
        <v>647</v>
      </c>
      <c r="J2402">
        <v>3300</v>
      </c>
      <c r="K2402" s="1">
        <v>44254</v>
      </c>
      <c r="L2402">
        <v>2021</v>
      </c>
      <c r="M2402" t="str">
        <f>UPPER(TEXT(_2020_2022[[#This Row],[Data da Venda]],"mmm"))</f>
        <v>FEV</v>
      </c>
    </row>
    <row r="2403" spans="1:13" x14ac:dyDescent="0.25">
      <c r="A2403" t="s">
        <v>13</v>
      </c>
      <c r="B2403">
        <v>2300</v>
      </c>
      <c r="C2403">
        <v>5</v>
      </c>
      <c r="D2403" t="s">
        <v>34</v>
      </c>
      <c r="E2403" t="s">
        <v>679</v>
      </c>
      <c r="F2403" t="s">
        <v>833</v>
      </c>
      <c r="G2403" t="s">
        <v>643</v>
      </c>
      <c r="H2403">
        <v>71</v>
      </c>
      <c r="I2403" t="s">
        <v>647</v>
      </c>
      <c r="J2403">
        <v>11500</v>
      </c>
      <c r="K2403" s="1">
        <v>44405</v>
      </c>
      <c r="L2403">
        <v>2021</v>
      </c>
      <c r="M2403" t="str">
        <f>UPPER(TEXT(_2020_2022[[#This Row],[Data da Venda]],"mmm"))</f>
        <v>JUL</v>
      </c>
    </row>
    <row r="2404" spans="1:13" x14ac:dyDescent="0.25">
      <c r="A2404" t="s">
        <v>1442</v>
      </c>
      <c r="B2404">
        <v>1200</v>
      </c>
      <c r="C2404">
        <v>5</v>
      </c>
      <c r="D2404" t="s">
        <v>41</v>
      </c>
      <c r="E2404" t="s">
        <v>681</v>
      </c>
      <c r="F2404" t="s">
        <v>1265</v>
      </c>
      <c r="G2404" t="s">
        <v>650</v>
      </c>
      <c r="H2404">
        <v>31</v>
      </c>
      <c r="I2404" t="s">
        <v>644</v>
      </c>
      <c r="J2404">
        <v>6000</v>
      </c>
      <c r="K2404" s="1">
        <v>44301</v>
      </c>
      <c r="L2404">
        <v>2021</v>
      </c>
      <c r="M2404" t="str">
        <f>UPPER(TEXT(_2020_2022[[#This Row],[Data da Venda]],"mmm"))</f>
        <v>ABR</v>
      </c>
    </row>
    <row r="2405" spans="1:13" x14ac:dyDescent="0.25">
      <c r="A2405" t="s">
        <v>20</v>
      </c>
      <c r="B2405">
        <v>2600</v>
      </c>
      <c r="C2405">
        <v>4</v>
      </c>
      <c r="D2405" t="s">
        <v>40</v>
      </c>
      <c r="E2405" t="s">
        <v>657</v>
      </c>
      <c r="F2405" t="s">
        <v>674</v>
      </c>
      <c r="G2405" t="s">
        <v>643</v>
      </c>
      <c r="H2405">
        <v>60</v>
      </c>
      <c r="I2405" t="s">
        <v>647</v>
      </c>
      <c r="J2405">
        <v>10400</v>
      </c>
      <c r="K2405" s="1">
        <v>44274</v>
      </c>
      <c r="L2405">
        <v>2021</v>
      </c>
      <c r="M2405" t="str">
        <f>UPPER(TEXT(_2020_2022[[#This Row],[Data da Venda]],"mmm"))</f>
        <v>MAR</v>
      </c>
    </row>
    <row r="2406" spans="1:13" x14ac:dyDescent="0.25">
      <c r="A2406" t="s">
        <v>11</v>
      </c>
      <c r="B2406">
        <v>4500</v>
      </c>
      <c r="C2406">
        <v>2</v>
      </c>
      <c r="D2406" t="s">
        <v>29</v>
      </c>
      <c r="E2406" t="s">
        <v>641</v>
      </c>
      <c r="F2406" t="s">
        <v>816</v>
      </c>
      <c r="G2406" t="s">
        <v>643</v>
      </c>
      <c r="H2406">
        <v>27</v>
      </c>
      <c r="I2406" t="s">
        <v>651</v>
      </c>
      <c r="J2406">
        <v>9000</v>
      </c>
      <c r="K2406" s="1">
        <v>44261</v>
      </c>
      <c r="L2406">
        <v>2021</v>
      </c>
      <c r="M2406" t="str">
        <f>UPPER(TEXT(_2020_2022[[#This Row],[Data da Venda]],"mmm"))</f>
        <v>MAR</v>
      </c>
    </row>
    <row r="2407" spans="1:13" x14ac:dyDescent="0.25">
      <c r="A2407" t="s">
        <v>16</v>
      </c>
      <c r="B2407">
        <v>1400</v>
      </c>
      <c r="C2407">
        <v>5</v>
      </c>
      <c r="D2407" t="s">
        <v>31</v>
      </c>
      <c r="E2407" t="s">
        <v>645</v>
      </c>
      <c r="F2407" t="s">
        <v>1075</v>
      </c>
      <c r="G2407" t="s">
        <v>643</v>
      </c>
      <c r="H2407">
        <v>73</v>
      </c>
      <c r="I2407" t="s">
        <v>647</v>
      </c>
      <c r="J2407">
        <v>7000</v>
      </c>
      <c r="K2407" s="1">
        <v>44485</v>
      </c>
      <c r="L2407">
        <v>2021</v>
      </c>
      <c r="M2407" t="str">
        <f>UPPER(TEXT(_2020_2022[[#This Row],[Data da Venda]],"mmm"))</f>
        <v>OUT</v>
      </c>
    </row>
    <row r="2408" spans="1:13" x14ac:dyDescent="0.25">
      <c r="A2408" t="s">
        <v>14</v>
      </c>
      <c r="B2408">
        <v>2000</v>
      </c>
      <c r="C2408">
        <v>5</v>
      </c>
      <c r="D2408" t="s">
        <v>35</v>
      </c>
      <c r="E2408" t="s">
        <v>666</v>
      </c>
      <c r="F2408" t="s">
        <v>1388</v>
      </c>
      <c r="G2408" t="s">
        <v>643</v>
      </c>
      <c r="H2408">
        <v>60</v>
      </c>
      <c r="I2408" t="s">
        <v>647</v>
      </c>
      <c r="J2408">
        <v>10000</v>
      </c>
      <c r="K2408" s="1">
        <v>44224</v>
      </c>
      <c r="L2408">
        <v>2021</v>
      </c>
      <c r="M2408" t="str">
        <f>UPPER(TEXT(_2020_2022[[#This Row],[Data da Venda]],"mmm"))</f>
        <v>JAN</v>
      </c>
    </row>
    <row r="2409" spans="1:13" x14ac:dyDescent="0.25">
      <c r="A2409" t="s">
        <v>8</v>
      </c>
      <c r="B2409">
        <v>5500</v>
      </c>
      <c r="C2409">
        <v>3</v>
      </c>
      <c r="D2409" t="s">
        <v>29</v>
      </c>
      <c r="E2409" t="s">
        <v>641</v>
      </c>
      <c r="F2409" t="s">
        <v>984</v>
      </c>
      <c r="G2409" t="s">
        <v>650</v>
      </c>
      <c r="H2409">
        <v>37</v>
      </c>
      <c r="I2409" t="s">
        <v>644</v>
      </c>
      <c r="J2409">
        <v>16500</v>
      </c>
      <c r="K2409" s="1">
        <v>44441</v>
      </c>
      <c r="L2409">
        <v>2021</v>
      </c>
      <c r="M2409" t="str">
        <f>UPPER(TEXT(_2020_2022[[#This Row],[Data da Venda]],"mmm"))</f>
        <v>SET</v>
      </c>
    </row>
    <row r="2410" spans="1:13" x14ac:dyDescent="0.25">
      <c r="A2410" t="s">
        <v>1443</v>
      </c>
      <c r="B2410">
        <v>1550</v>
      </c>
      <c r="C2410">
        <v>3</v>
      </c>
      <c r="D2410" t="s">
        <v>33</v>
      </c>
      <c r="E2410" t="s">
        <v>641</v>
      </c>
      <c r="F2410" t="s">
        <v>1241</v>
      </c>
      <c r="G2410" t="s">
        <v>650</v>
      </c>
      <c r="H2410">
        <v>59</v>
      </c>
      <c r="I2410" t="s">
        <v>647</v>
      </c>
      <c r="J2410">
        <v>4650</v>
      </c>
      <c r="K2410" s="1">
        <v>44272</v>
      </c>
      <c r="L2410">
        <v>2021</v>
      </c>
      <c r="M2410" t="str">
        <f>UPPER(TEXT(_2020_2022[[#This Row],[Data da Venda]],"mmm"))</f>
        <v>MAR</v>
      </c>
    </row>
    <row r="2411" spans="1:13" x14ac:dyDescent="0.25">
      <c r="A2411" t="s">
        <v>13</v>
      </c>
      <c r="B2411">
        <v>2300</v>
      </c>
      <c r="C2411">
        <v>5</v>
      </c>
      <c r="D2411" t="s">
        <v>40</v>
      </c>
      <c r="E2411" t="s">
        <v>657</v>
      </c>
      <c r="F2411" t="s">
        <v>800</v>
      </c>
      <c r="G2411" t="s">
        <v>650</v>
      </c>
      <c r="H2411">
        <v>58</v>
      </c>
      <c r="I2411" t="s">
        <v>647</v>
      </c>
      <c r="J2411">
        <v>11500</v>
      </c>
      <c r="K2411" s="1">
        <v>44520</v>
      </c>
      <c r="L2411">
        <v>2021</v>
      </c>
      <c r="M2411" t="str">
        <f>UPPER(TEXT(_2020_2022[[#This Row],[Data da Venda]],"mmm"))</f>
        <v>NOV</v>
      </c>
    </row>
    <row r="2412" spans="1:13" x14ac:dyDescent="0.25">
      <c r="A2412" t="s">
        <v>15</v>
      </c>
      <c r="B2412">
        <v>1900</v>
      </c>
      <c r="C2412">
        <v>5</v>
      </c>
      <c r="D2412" t="s">
        <v>32</v>
      </c>
      <c r="E2412" t="s">
        <v>652</v>
      </c>
      <c r="F2412" t="s">
        <v>786</v>
      </c>
      <c r="G2412" t="s">
        <v>643</v>
      </c>
      <c r="H2412">
        <v>36</v>
      </c>
      <c r="I2412" t="s">
        <v>644</v>
      </c>
      <c r="J2412">
        <v>9500</v>
      </c>
      <c r="K2412" s="1">
        <v>44495</v>
      </c>
      <c r="L2412">
        <v>2021</v>
      </c>
      <c r="M2412" t="str">
        <f>UPPER(TEXT(_2020_2022[[#This Row],[Data da Venda]],"mmm"))</f>
        <v>OUT</v>
      </c>
    </row>
    <row r="2413" spans="1:13" x14ac:dyDescent="0.25">
      <c r="A2413" t="s">
        <v>28</v>
      </c>
      <c r="B2413">
        <v>1400</v>
      </c>
      <c r="C2413">
        <v>1</v>
      </c>
      <c r="D2413" t="s">
        <v>33</v>
      </c>
      <c r="E2413" t="s">
        <v>641</v>
      </c>
      <c r="F2413" t="s">
        <v>1089</v>
      </c>
      <c r="G2413" t="s">
        <v>643</v>
      </c>
      <c r="H2413">
        <v>69</v>
      </c>
      <c r="I2413" t="s">
        <v>647</v>
      </c>
      <c r="J2413">
        <v>1400</v>
      </c>
      <c r="K2413" s="1">
        <v>44411</v>
      </c>
      <c r="L2413">
        <v>2021</v>
      </c>
      <c r="M2413" t="str">
        <f>UPPER(TEXT(_2020_2022[[#This Row],[Data da Venda]],"mmm"))</f>
        <v>AGO</v>
      </c>
    </row>
    <row r="2414" spans="1:13" x14ac:dyDescent="0.25">
      <c r="A2414" t="s">
        <v>21</v>
      </c>
      <c r="B2414">
        <v>2400</v>
      </c>
      <c r="C2414">
        <v>1</v>
      </c>
      <c r="D2414" t="s">
        <v>31</v>
      </c>
      <c r="E2414" t="s">
        <v>645</v>
      </c>
      <c r="F2414" t="s">
        <v>1187</v>
      </c>
      <c r="G2414" t="s">
        <v>650</v>
      </c>
      <c r="H2414">
        <v>27</v>
      </c>
      <c r="I2414" t="s">
        <v>651</v>
      </c>
      <c r="J2414">
        <v>2400</v>
      </c>
      <c r="K2414" s="1">
        <v>44324</v>
      </c>
      <c r="L2414">
        <v>2021</v>
      </c>
      <c r="M2414" t="str">
        <f>UPPER(TEXT(_2020_2022[[#This Row],[Data da Venda]],"mmm"))</f>
        <v>MAI</v>
      </c>
    </row>
    <row r="2415" spans="1:13" x14ac:dyDescent="0.25">
      <c r="A2415" t="s">
        <v>1440</v>
      </c>
      <c r="B2415">
        <v>700</v>
      </c>
      <c r="C2415">
        <v>1</v>
      </c>
      <c r="D2415" t="s">
        <v>30</v>
      </c>
      <c r="E2415" t="s">
        <v>645</v>
      </c>
      <c r="F2415" t="s">
        <v>1038</v>
      </c>
      <c r="G2415" t="s">
        <v>643</v>
      </c>
      <c r="H2415">
        <v>37</v>
      </c>
      <c r="I2415" t="s">
        <v>644</v>
      </c>
      <c r="J2415">
        <v>700</v>
      </c>
      <c r="K2415" s="1">
        <v>44533</v>
      </c>
      <c r="L2415">
        <v>2021</v>
      </c>
      <c r="M2415" t="str">
        <f>UPPER(TEXT(_2020_2022[[#This Row],[Data da Venda]],"mmm"))</f>
        <v>DEZ</v>
      </c>
    </row>
    <row r="2416" spans="1:13" x14ac:dyDescent="0.25">
      <c r="A2416" t="s">
        <v>12</v>
      </c>
      <c r="B2416">
        <v>6500</v>
      </c>
      <c r="C2416">
        <v>3</v>
      </c>
      <c r="D2416" t="s">
        <v>34</v>
      </c>
      <c r="E2416" t="s">
        <v>679</v>
      </c>
      <c r="F2416" t="s">
        <v>1394</v>
      </c>
      <c r="G2416" t="s">
        <v>650</v>
      </c>
      <c r="H2416">
        <v>47</v>
      </c>
      <c r="I2416" t="s">
        <v>644</v>
      </c>
      <c r="J2416">
        <v>19500</v>
      </c>
      <c r="K2416" s="1">
        <v>44336</v>
      </c>
      <c r="L2416">
        <v>2021</v>
      </c>
      <c r="M2416" t="str">
        <f>UPPER(TEXT(_2020_2022[[#This Row],[Data da Venda]],"mmm"))</f>
        <v>MAI</v>
      </c>
    </row>
    <row r="2417" spans="1:13" x14ac:dyDescent="0.25">
      <c r="A2417" t="s">
        <v>24</v>
      </c>
      <c r="B2417">
        <v>2000</v>
      </c>
      <c r="C2417">
        <v>1</v>
      </c>
      <c r="D2417" t="s">
        <v>32</v>
      </c>
      <c r="E2417" t="s">
        <v>652</v>
      </c>
      <c r="F2417" t="s">
        <v>909</v>
      </c>
      <c r="G2417" t="s">
        <v>650</v>
      </c>
      <c r="H2417">
        <v>67</v>
      </c>
      <c r="I2417" t="s">
        <v>647</v>
      </c>
      <c r="J2417">
        <v>2000</v>
      </c>
      <c r="K2417" s="1">
        <v>44395</v>
      </c>
      <c r="L2417">
        <v>2021</v>
      </c>
      <c r="M2417" t="str">
        <f>UPPER(TEXT(_2020_2022[[#This Row],[Data da Venda]],"mmm"))</f>
        <v>JUL</v>
      </c>
    </row>
    <row r="2418" spans="1:13" x14ac:dyDescent="0.25">
      <c r="A2418" t="s">
        <v>9</v>
      </c>
      <c r="B2418">
        <v>1500</v>
      </c>
      <c r="C2418">
        <v>5</v>
      </c>
      <c r="D2418" t="s">
        <v>38</v>
      </c>
      <c r="E2418" t="s">
        <v>648</v>
      </c>
      <c r="F2418" t="s">
        <v>935</v>
      </c>
      <c r="G2418" t="s">
        <v>643</v>
      </c>
      <c r="H2418">
        <v>47</v>
      </c>
      <c r="I2418" t="s">
        <v>644</v>
      </c>
      <c r="J2418">
        <v>7500</v>
      </c>
      <c r="K2418" s="1">
        <v>44304</v>
      </c>
      <c r="L2418">
        <v>2021</v>
      </c>
      <c r="M2418" t="str">
        <f>UPPER(TEXT(_2020_2022[[#This Row],[Data da Venda]],"mmm"))</f>
        <v>ABR</v>
      </c>
    </row>
    <row r="2419" spans="1:13" x14ac:dyDescent="0.25">
      <c r="A2419" t="s">
        <v>7</v>
      </c>
      <c r="B2419">
        <v>750</v>
      </c>
      <c r="C2419">
        <v>3</v>
      </c>
      <c r="D2419" t="s">
        <v>41</v>
      </c>
      <c r="E2419" t="s">
        <v>681</v>
      </c>
      <c r="F2419" t="s">
        <v>1267</v>
      </c>
      <c r="G2419" t="s">
        <v>650</v>
      </c>
      <c r="H2419">
        <v>72</v>
      </c>
      <c r="I2419" t="s">
        <v>647</v>
      </c>
      <c r="J2419">
        <v>2250</v>
      </c>
      <c r="K2419" s="1">
        <v>44237</v>
      </c>
      <c r="L2419">
        <v>2021</v>
      </c>
      <c r="M2419" t="str">
        <f>UPPER(TEXT(_2020_2022[[#This Row],[Data da Venda]],"mmm"))</f>
        <v>FEV</v>
      </c>
    </row>
    <row r="2420" spans="1:13" x14ac:dyDescent="0.25">
      <c r="A2420" t="s">
        <v>1445</v>
      </c>
      <c r="B2420">
        <v>1500</v>
      </c>
      <c r="C2420">
        <v>3</v>
      </c>
      <c r="D2420" t="s">
        <v>33</v>
      </c>
      <c r="E2420" t="s">
        <v>641</v>
      </c>
      <c r="F2420" t="s">
        <v>1089</v>
      </c>
      <c r="G2420" t="s">
        <v>643</v>
      </c>
      <c r="H2420">
        <v>69</v>
      </c>
      <c r="I2420" t="s">
        <v>647</v>
      </c>
      <c r="J2420">
        <v>4500</v>
      </c>
      <c r="K2420" s="1">
        <v>44376</v>
      </c>
      <c r="L2420">
        <v>2021</v>
      </c>
      <c r="M2420" t="str">
        <f>UPPER(TEXT(_2020_2022[[#This Row],[Data da Venda]],"mmm"))</f>
        <v>JUN</v>
      </c>
    </row>
    <row r="2421" spans="1:13" x14ac:dyDescent="0.25">
      <c r="A2421" t="s">
        <v>14</v>
      </c>
      <c r="B2421">
        <v>2000</v>
      </c>
      <c r="C2421">
        <v>1</v>
      </c>
      <c r="D2421" t="s">
        <v>41</v>
      </c>
      <c r="E2421" t="s">
        <v>681</v>
      </c>
      <c r="F2421" t="s">
        <v>741</v>
      </c>
      <c r="G2421" t="s">
        <v>650</v>
      </c>
      <c r="H2421">
        <v>59</v>
      </c>
      <c r="I2421" t="s">
        <v>647</v>
      </c>
      <c r="J2421">
        <v>2000</v>
      </c>
      <c r="K2421" s="1">
        <v>44502</v>
      </c>
      <c r="L2421">
        <v>2021</v>
      </c>
      <c r="M2421" t="str">
        <f>UPPER(TEXT(_2020_2022[[#This Row],[Data da Venda]],"mmm"))</f>
        <v>NOV</v>
      </c>
    </row>
    <row r="2422" spans="1:13" x14ac:dyDescent="0.25">
      <c r="A2422" t="s">
        <v>1445</v>
      </c>
      <c r="B2422">
        <v>1500</v>
      </c>
      <c r="C2422">
        <v>1</v>
      </c>
      <c r="D2422" t="s">
        <v>40</v>
      </c>
      <c r="E2422" t="s">
        <v>657</v>
      </c>
      <c r="F2422" t="s">
        <v>1332</v>
      </c>
      <c r="G2422" t="s">
        <v>650</v>
      </c>
      <c r="H2422">
        <v>42</v>
      </c>
      <c r="I2422" t="s">
        <v>644</v>
      </c>
      <c r="J2422">
        <v>1500</v>
      </c>
      <c r="K2422" s="1">
        <v>44423</v>
      </c>
      <c r="L2422">
        <v>2021</v>
      </c>
      <c r="M2422" t="str">
        <f>UPPER(TEXT(_2020_2022[[#This Row],[Data da Venda]],"mmm"))</f>
        <v>AGO</v>
      </c>
    </row>
    <row r="2423" spans="1:13" x14ac:dyDescent="0.25">
      <c r="A2423" t="s">
        <v>24</v>
      </c>
      <c r="B2423">
        <v>2000</v>
      </c>
      <c r="C2423">
        <v>1</v>
      </c>
      <c r="D2423" t="s">
        <v>37</v>
      </c>
      <c r="E2423" t="s">
        <v>645</v>
      </c>
      <c r="F2423" t="s">
        <v>1095</v>
      </c>
      <c r="G2423" t="s">
        <v>643</v>
      </c>
      <c r="H2423">
        <v>44</v>
      </c>
      <c r="I2423" t="s">
        <v>644</v>
      </c>
      <c r="J2423">
        <v>2000</v>
      </c>
      <c r="K2423" s="1">
        <v>44527</v>
      </c>
      <c r="L2423">
        <v>2021</v>
      </c>
      <c r="M2423" t="str">
        <f>UPPER(TEXT(_2020_2022[[#This Row],[Data da Venda]],"mmm"))</f>
        <v>NOV</v>
      </c>
    </row>
    <row r="2424" spans="1:13" x14ac:dyDescent="0.25">
      <c r="A2424" t="s">
        <v>1440</v>
      </c>
      <c r="B2424">
        <v>700</v>
      </c>
      <c r="C2424">
        <v>5</v>
      </c>
      <c r="D2424" t="s">
        <v>29</v>
      </c>
      <c r="E2424" t="s">
        <v>641</v>
      </c>
      <c r="F2424" t="s">
        <v>1169</v>
      </c>
      <c r="G2424" t="s">
        <v>650</v>
      </c>
      <c r="H2424">
        <v>54</v>
      </c>
      <c r="I2424" t="s">
        <v>647</v>
      </c>
      <c r="J2424">
        <v>3500</v>
      </c>
      <c r="K2424" s="1">
        <v>44231</v>
      </c>
      <c r="L2424">
        <v>2021</v>
      </c>
      <c r="M2424" t="str">
        <f>UPPER(TEXT(_2020_2022[[#This Row],[Data da Venda]],"mmm"))</f>
        <v>FEV</v>
      </c>
    </row>
    <row r="2425" spans="1:13" x14ac:dyDescent="0.25">
      <c r="A2425" t="s">
        <v>5</v>
      </c>
      <c r="B2425">
        <v>1750</v>
      </c>
      <c r="C2425">
        <v>5</v>
      </c>
      <c r="D2425" t="s">
        <v>39</v>
      </c>
      <c r="E2425" t="s">
        <v>641</v>
      </c>
      <c r="F2425" t="s">
        <v>1051</v>
      </c>
      <c r="G2425" t="s">
        <v>643</v>
      </c>
      <c r="H2425">
        <v>61</v>
      </c>
      <c r="I2425" t="s">
        <v>647</v>
      </c>
      <c r="J2425">
        <v>8750</v>
      </c>
      <c r="K2425" s="1">
        <v>44455</v>
      </c>
      <c r="L2425">
        <v>2021</v>
      </c>
      <c r="M2425" t="str">
        <f>UPPER(TEXT(_2020_2022[[#This Row],[Data da Venda]],"mmm"))</f>
        <v>SET</v>
      </c>
    </row>
    <row r="2426" spans="1:13" x14ac:dyDescent="0.25">
      <c r="A2426" t="s">
        <v>14</v>
      </c>
      <c r="B2426">
        <v>2000</v>
      </c>
      <c r="C2426">
        <v>1</v>
      </c>
      <c r="D2426" t="s">
        <v>41</v>
      </c>
      <c r="E2426" t="s">
        <v>681</v>
      </c>
      <c r="F2426" t="s">
        <v>682</v>
      </c>
      <c r="G2426" t="s">
        <v>650</v>
      </c>
      <c r="H2426">
        <v>43</v>
      </c>
      <c r="I2426" t="s">
        <v>644</v>
      </c>
      <c r="J2426">
        <v>2000</v>
      </c>
      <c r="K2426" s="1">
        <v>44503</v>
      </c>
      <c r="L2426">
        <v>2021</v>
      </c>
      <c r="M2426" t="str">
        <f>UPPER(TEXT(_2020_2022[[#This Row],[Data da Venda]],"mmm"))</f>
        <v>NOV</v>
      </c>
    </row>
    <row r="2427" spans="1:13" x14ac:dyDescent="0.25">
      <c r="A2427" t="s">
        <v>24</v>
      </c>
      <c r="B2427">
        <v>2000</v>
      </c>
      <c r="C2427">
        <v>4</v>
      </c>
      <c r="D2427" t="s">
        <v>36</v>
      </c>
      <c r="E2427" t="s">
        <v>677</v>
      </c>
      <c r="F2427" t="s">
        <v>796</v>
      </c>
      <c r="G2427" t="s">
        <v>643</v>
      </c>
      <c r="H2427">
        <v>33</v>
      </c>
      <c r="I2427" t="s">
        <v>644</v>
      </c>
      <c r="J2427">
        <v>8000</v>
      </c>
      <c r="K2427" s="1">
        <v>44362</v>
      </c>
      <c r="L2427">
        <v>2021</v>
      </c>
      <c r="M2427" t="str">
        <f>UPPER(TEXT(_2020_2022[[#This Row],[Data da Venda]],"mmm"))</f>
        <v>JUN</v>
      </c>
    </row>
    <row r="2428" spans="1:13" x14ac:dyDescent="0.25">
      <c r="A2428" t="s">
        <v>28</v>
      </c>
      <c r="B2428">
        <v>1400</v>
      </c>
      <c r="C2428">
        <v>3</v>
      </c>
      <c r="D2428" t="s">
        <v>36</v>
      </c>
      <c r="E2428" t="s">
        <v>677</v>
      </c>
      <c r="F2428" t="s">
        <v>805</v>
      </c>
      <c r="G2428" t="s">
        <v>650</v>
      </c>
      <c r="H2428">
        <v>47</v>
      </c>
      <c r="I2428" t="s">
        <v>644</v>
      </c>
      <c r="J2428">
        <v>4200</v>
      </c>
      <c r="K2428" s="1">
        <v>44506</v>
      </c>
      <c r="L2428">
        <v>2021</v>
      </c>
      <c r="M2428" t="str">
        <f>UPPER(TEXT(_2020_2022[[#This Row],[Data da Venda]],"mmm"))</f>
        <v>NOV</v>
      </c>
    </row>
    <row r="2429" spans="1:13" x14ac:dyDescent="0.25">
      <c r="A2429" t="s">
        <v>13</v>
      </c>
      <c r="B2429">
        <v>2300</v>
      </c>
      <c r="C2429">
        <v>1</v>
      </c>
      <c r="D2429" t="s">
        <v>32</v>
      </c>
      <c r="E2429" t="s">
        <v>652</v>
      </c>
      <c r="F2429" t="s">
        <v>745</v>
      </c>
      <c r="G2429" t="s">
        <v>650</v>
      </c>
      <c r="H2429">
        <v>64</v>
      </c>
      <c r="I2429" t="s">
        <v>647</v>
      </c>
      <c r="J2429">
        <v>2300</v>
      </c>
      <c r="K2429" s="1">
        <v>44378</v>
      </c>
      <c r="L2429">
        <v>2021</v>
      </c>
      <c r="M2429" t="str">
        <f>UPPER(TEXT(_2020_2022[[#This Row],[Data da Venda]],"mmm"))</f>
        <v>JUL</v>
      </c>
    </row>
    <row r="2430" spans="1:13" x14ac:dyDescent="0.25">
      <c r="A2430" t="s">
        <v>15</v>
      </c>
      <c r="B2430">
        <v>1900</v>
      </c>
      <c r="C2430">
        <v>5</v>
      </c>
      <c r="D2430" t="s">
        <v>33</v>
      </c>
      <c r="E2430" t="s">
        <v>641</v>
      </c>
      <c r="F2430" t="s">
        <v>853</v>
      </c>
      <c r="G2430" t="s">
        <v>643</v>
      </c>
      <c r="H2430">
        <v>42</v>
      </c>
      <c r="I2430" t="s">
        <v>644</v>
      </c>
      <c r="J2430">
        <v>9500</v>
      </c>
      <c r="K2430" s="1">
        <v>44395</v>
      </c>
      <c r="L2430">
        <v>2021</v>
      </c>
      <c r="M2430" t="str">
        <f>UPPER(TEXT(_2020_2022[[#This Row],[Data da Venda]],"mmm"))</f>
        <v>JUL</v>
      </c>
    </row>
    <row r="2431" spans="1:13" x14ac:dyDescent="0.25">
      <c r="A2431" t="s">
        <v>5</v>
      </c>
      <c r="B2431">
        <v>1750</v>
      </c>
      <c r="C2431">
        <v>5</v>
      </c>
      <c r="D2431" t="s">
        <v>35</v>
      </c>
      <c r="E2431" t="s">
        <v>666</v>
      </c>
      <c r="F2431" t="s">
        <v>993</v>
      </c>
      <c r="G2431" t="s">
        <v>643</v>
      </c>
      <c r="H2431">
        <v>25</v>
      </c>
      <c r="I2431" t="s">
        <v>651</v>
      </c>
      <c r="J2431">
        <v>8750</v>
      </c>
      <c r="K2431" s="1">
        <v>44382</v>
      </c>
      <c r="L2431">
        <v>2021</v>
      </c>
      <c r="M2431" t="str">
        <f>UPPER(TEXT(_2020_2022[[#This Row],[Data da Venda]],"mmm"))</f>
        <v>JUL</v>
      </c>
    </row>
    <row r="2432" spans="1:13" x14ac:dyDescent="0.25">
      <c r="A2432" t="s">
        <v>13</v>
      </c>
      <c r="B2432">
        <v>2300</v>
      </c>
      <c r="C2432">
        <v>1</v>
      </c>
      <c r="D2432" t="s">
        <v>40</v>
      </c>
      <c r="E2432" t="s">
        <v>657</v>
      </c>
      <c r="F2432" t="s">
        <v>658</v>
      </c>
      <c r="G2432" t="s">
        <v>643</v>
      </c>
      <c r="H2432">
        <v>56</v>
      </c>
      <c r="I2432" t="s">
        <v>647</v>
      </c>
      <c r="J2432">
        <v>2300</v>
      </c>
      <c r="K2432" s="1">
        <v>44286</v>
      </c>
      <c r="L2432">
        <v>2021</v>
      </c>
      <c r="M2432" t="str">
        <f>UPPER(TEXT(_2020_2022[[#This Row],[Data da Venda]],"mmm"))</f>
        <v>MAR</v>
      </c>
    </row>
    <row r="2433" spans="1:13" x14ac:dyDescent="0.25">
      <c r="A2433" t="s">
        <v>1443</v>
      </c>
      <c r="B2433">
        <v>1550</v>
      </c>
      <c r="C2433">
        <v>4</v>
      </c>
      <c r="D2433" t="s">
        <v>30</v>
      </c>
      <c r="E2433" t="s">
        <v>645</v>
      </c>
      <c r="F2433" t="s">
        <v>1000</v>
      </c>
      <c r="G2433" t="s">
        <v>650</v>
      </c>
      <c r="H2433">
        <v>42</v>
      </c>
      <c r="I2433" t="s">
        <v>644</v>
      </c>
      <c r="J2433">
        <v>6200</v>
      </c>
      <c r="K2433" s="1">
        <v>44510</v>
      </c>
      <c r="L2433">
        <v>2021</v>
      </c>
      <c r="M2433" t="str">
        <f>UPPER(TEXT(_2020_2022[[#This Row],[Data da Venda]],"mmm"))</f>
        <v>NOV</v>
      </c>
    </row>
    <row r="2434" spans="1:13" x14ac:dyDescent="0.25">
      <c r="A2434" t="s">
        <v>7</v>
      </c>
      <c r="B2434">
        <v>750</v>
      </c>
      <c r="C2434">
        <v>3</v>
      </c>
      <c r="D2434" t="s">
        <v>36</v>
      </c>
      <c r="E2434" t="s">
        <v>677</v>
      </c>
      <c r="F2434" t="s">
        <v>865</v>
      </c>
      <c r="G2434" t="s">
        <v>650</v>
      </c>
      <c r="H2434">
        <v>74</v>
      </c>
      <c r="I2434" t="s">
        <v>647</v>
      </c>
      <c r="J2434">
        <v>2250</v>
      </c>
      <c r="K2434" s="1">
        <v>44464</v>
      </c>
      <c r="L2434">
        <v>2021</v>
      </c>
      <c r="M2434" t="str">
        <f>UPPER(TEXT(_2020_2022[[#This Row],[Data da Venda]],"mmm"))</f>
        <v>SET</v>
      </c>
    </row>
    <row r="2435" spans="1:13" x14ac:dyDescent="0.25">
      <c r="A2435" t="s">
        <v>18</v>
      </c>
      <c r="B2435">
        <v>3000</v>
      </c>
      <c r="C2435">
        <v>1</v>
      </c>
      <c r="D2435" t="s">
        <v>40</v>
      </c>
      <c r="E2435" t="s">
        <v>657</v>
      </c>
      <c r="F2435" t="s">
        <v>1074</v>
      </c>
      <c r="G2435" t="s">
        <v>643</v>
      </c>
      <c r="H2435">
        <v>31</v>
      </c>
      <c r="I2435" t="s">
        <v>644</v>
      </c>
      <c r="J2435">
        <v>3000</v>
      </c>
      <c r="K2435" s="1">
        <v>44311</v>
      </c>
      <c r="L2435">
        <v>2021</v>
      </c>
      <c r="M2435" t="str">
        <f>UPPER(TEXT(_2020_2022[[#This Row],[Data da Venda]],"mmm"))</f>
        <v>ABR</v>
      </c>
    </row>
    <row r="2436" spans="1:13" x14ac:dyDescent="0.25">
      <c r="A2436" t="s">
        <v>25</v>
      </c>
      <c r="B2436">
        <v>2500</v>
      </c>
      <c r="C2436">
        <v>5</v>
      </c>
      <c r="D2436" t="s">
        <v>30</v>
      </c>
      <c r="E2436" t="s">
        <v>645</v>
      </c>
      <c r="F2436" t="s">
        <v>823</v>
      </c>
      <c r="G2436" t="s">
        <v>643</v>
      </c>
      <c r="H2436">
        <v>68</v>
      </c>
      <c r="I2436" t="s">
        <v>647</v>
      </c>
      <c r="J2436">
        <v>12500</v>
      </c>
      <c r="K2436" s="1">
        <v>44377</v>
      </c>
      <c r="L2436">
        <v>2021</v>
      </c>
      <c r="M2436" t="str">
        <f>UPPER(TEXT(_2020_2022[[#This Row],[Data da Venda]],"mmm"))</f>
        <v>JUN</v>
      </c>
    </row>
    <row r="2437" spans="1:13" x14ac:dyDescent="0.25">
      <c r="A2437" t="s">
        <v>1443</v>
      </c>
      <c r="B2437">
        <v>1550</v>
      </c>
      <c r="C2437">
        <v>2</v>
      </c>
      <c r="D2437" t="s">
        <v>41</v>
      </c>
      <c r="E2437" t="s">
        <v>681</v>
      </c>
      <c r="F2437" t="s">
        <v>1129</v>
      </c>
      <c r="G2437" t="s">
        <v>643</v>
      </c>
      <c r="H2437">
        <v>41</v>
      </c>
      <c r="I2437" t="s">
        <v>644</v>
      </c>
      <c r="J2437">
        <v>3100</v>
      </c>
      <c r="K2437" s="1">
        <v>44230</v>
      </c>
      <c r="L2437">
        <v>2021</v>
      </c>
      <c r="M2437" t="str">
        <f>UPPER(TEXT(_2020_2022[[#This Row],[Data da Venda]],"mmm"))</f>
        <v>FEV</v>
      </c>
    </row>
    <row r="2438" spans="1:13" x14ac:dyDescent="0.25">
      <c r="A2438" t="s">
        <v>14</v>
      </c>
      <c r="B2438">
        <v>2000</v>
      </c>
      <c r="C2438">
        <v>4</v>
      </c>
      <c r="D2438" t="s">
        <v>36</v>
      </c>
      <c r="E2438" t="s">
        <v>677</v>
      </c>
      <c r="F2438" t="s">
        <v>865</v>
      </c>
      <c r="G2438" t="s">
        <v>650</v>
      </c>
      <c r="H2438">
        <v>74</v>
      </c>
      <c r="I2438" t="s">
        <v>647</v>
      </c>
      <c r="J2438">
        <v>8000</v>
      </c>
      <c r="K2438" s="1">
        <v>44509</v>
      </c>
      <c r="L2438">
        <v>2021</v>
      </c>
      <c r="M2438" t="str">
        <f>UPPER(TEXT(_2020_2022[[#This Row],[Data da Venda]],"mmm"))</f>
        <v>NOV</v>
      </c>
    </row>
    <row r="2439" spans="1:13" x14ac:dyDescent="0.25">
      <c r="A2439" t="s">
        <v>15</v>
      </c>
      <c r="B2439">
        <v>1900</v>
      </c>
      <c r="C2439">
        <v>1</v>
      </c>
      <c r="D2439" t="s">
        <v>36</v>
      </c>
      <c r="E2439" t="s">
        <v>677</v>
      </c>
      <c r="F2439" t="s">
        <v>1245</v>
      </c>
      <c r="G2439" t="s">
        <v>643</v>
      </c>
      <c r="H2439">
        <v>69</v>
      </c>
      <c r="I2439" t="s">
        <v>647</v>
      </c>
      <c r="J2439">
        <v>1900</v>
      </c>
      <c r="K2439" s="1">
        <v>44484</v>
      </c>
      <c r="L2439">
        <v>2021</v>
      </c>
      <c r="M2439" t="str">
        <f>UPPER(TEXT(_2020_2022[[#This Row],[Data da Venda]],"mmm"))</f>
        <v>OUT</v>
      </c>
    </row>
    <row r="2440" spans="1:13" x14ac:dyDescent="0.25">
      <c r="A2440" t="s">
        <v>25</v>
      </c>
      <c r="B2440">
        <v>2500</v>
      </c>
      <c r="C2440">
        <v>1</v>
      </c>
      <c r="D2440" t="s">
        <v>32</v>
      </c>
      <c r="E2440" t="s">
        <v>652</v>
      </c>
      <c r="F2440" t="s">
        <v>662</v>
      </c>
      <c r="G2440" t="s">
        <v>650</v>
      </c>
      <c r="H2440">
        <v>59</v>
      </c>
      <c r="I2440" t="s">
        <v>647</v>
      </c>
      <c r="J2440">
        <v>2500</v>
      </c>
      <c r="K2440" s="1">
        <v>44221</v>
      </c>
      <c r="L2440">
        <v>2021</v>
      </c>
      <c r="M2440" t="str">
        <f>UPPER(TEXT(_2020_2022[[#This Row],[Data da Venda]],"mmm"))</f>
        <v>JAN</v>
      </c>
    </row>
    <row r="2441" spans="1:13" x14ac:dyDescent="0.25">
      <c r="A2441" t="s">
        <v>21</v>
      </c>
      <c r="B2441">
        <v>2400</v>
      </c>
      <c r="C2441">
        <v>2</v>
      </c>
      <c r="D2441" t="s">
        <v>41</v>
      </c>
      <c r="E2441" t="s">
        <v>681</v>
      </c>
      <c r="F2441" t="s">
        <v>1345</v>
      </c>
      <c r="G2441" t="s">
        <v>643</v>
      </c>
      <c r="H2441">
        <v>25</v>
      </c>
      <c r="I2441" t="s">
        <v>651</v>
      </c>
      <c r="J2441">
        <v>4800</v>
      </c>
      <c r="K2441" s="1">
        <v>44454</v>
      </c>
      <c r="L2441">
        <v>2021</v>
      </c>
      <c r="M2441" t="str">
        <f>UPPER(TEXT(_2020_2022[[#This Row],[Data da Venda]],"mmm"))</f>
        <v>SET</v>
      </c>
    </row>
    <row r="2442" spans="1:13" x14ac:dyDescent="0.25">
      <c r="A2442" t="s">
        <v>12</v>
      </c>
      <c r="B2442">
        <v>6500</v>
      </c>
      <c r="C2442">
        <v>3</v>
      </c>
      <c r="D2442" t="s">
        <v>33</v>
      </c>
      <c r="E2442" t="s">
        <v>641</v>
      </c>
      <c r="F2442" t="s">
        <v>1304</v>
      </c>
      <c r="G2442" t="s">
        <v>643</v>
      </c>
      <c r="H2442">
        <v>49</v>
      </c>
      <c r="I2442" t="s">
        <v>644</v>
      </c>
      <c r="J2442">
        <v>19500</v>
      </c>
      <c r="K2442" s="1">
        <v>44232</v>
      </c>
      <c r="L2442">
        <v>2021</v>
      </c>
      <c r="M2442" t="str">
        <f>UPPER(TEXT(_2020_2022[[#This Row],[Data da Venda]],"mmm"))</f>
        <v>FEV</v>
      </c>
    </row>
    <row r="2443" spans="1:13" x14ac:dyDescent="0.25">
      <c r="A2443" t="s">
        <v>7</v>
      </c>
      <c r="B2443">
        <v>750</v>
      </c>
      <c r="C2443">
        <v>2</v>
      </c>
      <c r="D2443" t="s">
        <v>33</v>
      </c>
      <c r="E2443" t="s">
        <v>641</v>
      </c>
      <c r="F2443" t="s">
        <v>802</v>
      </c>
      <c r="G2443" t="s">
        <v>650</v>
      </c>
      <c r="H2443">
        <v>31</v>
      </c>
      <c r="I2443" t="s">
        <v>644</v>
      </c>
      <c r="J2443">
        <v>1500</v>
      </c>
      <c r="K2443" s="1">
        <v>44520</v>
      </c>
      <c r="L2443">
        <v>2021</v>
      </c>
      <c r="M2443" t="str">
        <f>UPPER(TEXT(_2020_2022[[#This Row],[Data da Venda]],"mmm"))</f>
        <v>NOV</v>
      </c>
    </row>
    <row r="2444" spans="1:13" x14ac:dyDescent="0.25">
      <c r="A2444" t="s">
        <v>22</v>
      </c>
      <c r="B2444">
        <v>5200</v>
      </c>
      <c r="C2444">
        <v>5</v>
      </c>
      <c r="D2444" t="s">
        <v>41</v>
      </c>
      <c r="E2444" t="s">
        <v>681</v>
      </c>
      <c r="F2444" t="s">
        <v>1345</v>
      </c>
      <c r="G2444" t="s">
        <v>643</v>
      </c>
      <c r="H2444">
        <v>25</v>
      </c>
      <c r="I2444" t="s">
        <v>651</v>
      </c>
      <c r="J2444">
        <v>26000</v>
      </c>
      <c r="K2444" s="1">
        <v>44554</v>
      </c>
      <c r="L2444">
        <v>2021</v>
      </c>
      <c r="M2444" t="str">
        <f>UPPER(TEXT(_2020_2022[[#This Row],[Data da Venda]],"mmm"))</f>
        <v>DEZ</v>
      </c>
    </row>
    <row r="2445" spans="1:13" x14ac:dyDescent="0.25">
      <c r="A2445" t="s">
        <v>1444</v>
      </c>
      <c r="B2445">
        <v>1500</v>
      </c>
      <c r="C2445">
        <v>3</v>
      </c>
      <c r="D2445" t="s">
        <v>40</v>
      </c>
      <c r="E2445" t="s">
        <v>657</v>
      </c>
      <c r="F2445" t="s">
        <v>658</v>
      </c>
      <c r="G2445" t="s">
        <v>643</v>
      </c>
      <c r="H2445">
        <v>56</v>
      </c>
      <c r="I2445" t="s">
        <v>647</v>
      </c>
      <c r="J2445">
        <v>4500</v>
      </c>
      <c r="K2445" s="1">
        <v>44200</v>
      </c>
      <c r="L2445">
        <v>2021</v>
      </c>
      <c r="M2445" t="str">
        <f>UPPER(TEXT(_2020_2022[[#This Row],[Data da Venda]],"mmm"))</f>
        <v>JAN</v>
      </c>
    </row>
    <row r="2446" spans="1:13" x14ac:dyDescent="0.25">
      <c r="A2446" t="s">
        <v>16</v>
      </c>
      <c r="B2446">
        <v>1400</v>
      </c>
      <c r="C2446">
        <v>1</v>
      </c>
      <c r="D2446" t="s">
        <v>32</v>
      </c>
      <c r="E2446" t="s">
        <v>652</v>
      </c>
      <c r="F2446" t="s">
        <v>1197</v>
      </c>
      <c r="G2446" t="s">
        <v>643</v>
      </c>
      <c r="H2446">
        <v>34</v>
      </c>
      <c r="I2446" t="s">
        <v>644</v>
      </c>
      <c r="J2446">
        <v>1400</v>
      </c>
      <c r="K2446" s="1">
        <v>44339</v>
      </c>
      <c r="L2446">
        <v>2021</v>
      </c>
      <c r="M2446" t="str">
        <f>UPPER(TEXT(_2020_2022[[#This Row],[Data da Venda]],"mmm"))</f>
        <v>MAI</v>
      </c>
    </row>
    <row r="2447" spans="1:13" x14ac:dyDescent="0.25">
      <c r="A2447" t="s">
        <v>5</v>
      </c>
      <c r="B2447">
        <v>1750</v>
      </c>
      <c r="C2447">
        <v>3</v>
      </c>
      <c r="D2447" t="s">
        <v>29</v>
      </c>
      <c r="E2447" t="s">
        <v>641</v>
      </c>
      <c r="F2447" t="s">
        <v>787</v>
      </c>
      <c r="G2447" t="s">
        <v>650</v>
      </c>
      <c r="H2447">
        <v>68</v>
      </c>
      <c r="I2447" t="s">
        <v>647</v>
      </c>
      <c r="J2447">
        <v>5250</v>
      </c>
      <c r="K2447" s="1">
        <v>44236</v>
      </c>
      <c r="L2447">
        <v>2021</v>
      </c>
      <c r="M2447" t="str">
        <f>UPPER(TEXT(_2020_2022[[#This Row],[Data da Venda]],"mmm"))</f>
        <v>FEV</v>
      </c>
    </row>
    <row r="2448" spans="1:13" x14ac:dyDescent="0.25">
      <c r="A2448" t="s">
        <v>22</v>
      </c>
      <c r="B2448">
        <v>5200</v>
      </c>
      <c r="C2448">
        <v>5</v>
      </c>
      <c r="D2448" t="s">
        <v>34</v>
      </c>
      <c r="E2448" t="s">
        <v>679</v>
      </c>
      <c r="F2448" t="s">
        <v>956</v>
      </c>
      <c r="G2448" t="s">
        <v>650</v>
      </c>
      <c r="H2448">
        <v>66</v>
      </c>
      <c r="I2448" t="s">
        <v>647</v>
      </c>
      <c r="J2448">
        <v>26000</v>
      </c>
      <c r="K2448" s="1">
        <v>44199</v>
      </c>
      <c r="L2448">
        <v>2021</v>
      </c>
      <c r="M2448" t="str">
        <f>UPPER(TEXT(_2020_2022[[#This Row],[Data da Venda]],"mmm"))</f>
        <v>JAN</v>
      </c>
    </row>
    <row r="2449" spans="1:13" x14ac:dyDescent="0.25">
      <c r="A2449" t="s">
        <v>24</v>
      </c>
      <c r="B2449">
        <v>2000</v>
      </c>
      <c r="C2449">
        <v>2</v>
      </c>
      <c r="D2449" t="s">
        <v>32</v>
      </c>
      <c r="E2449" t="s">
        <v>652</v>
      </c>
      <c r="F2449" t="s">
        <v>1031</v>
      </c>
      <c r="G2449" t="s">
        <v>643</v>
      </c>
      <c r="H2449">
        <v>44</v>
      </c>
      <c r="I2449" t="s">
        <v>644</v>
      </c>
      <c r="J2449">
        <v>4000</v>
      </c>
      <c r="K2449" s="1">
        <v>44294</v>
      </c>
      <c r="L2449">
        <v>2021</v>
      </c>
      <c r="M2449" t="str">
        <f>UPPER(TEXT(_2020_2022[[#This Row],[Data da Venda]],"mmm"))</f>
        <v>ABR</v>
      </c>
    </row>
    <row r="2450" spans="1:13" x14ac:dyDescent="0.25">
      <c r="A2450" t="s">
        <v>7</v>
      </c>
      <c r="B2450">
        <v>750</v>
      </c>
      <c r="C2450">
        <v>5</v>
      </c>
      <c r="D2450" t="s">
        <v>35</v>
      </c>
      <c r="E2450" t="s">
        <v>666</v>
      </c>
      <c r="F2450" t="s">
        <v>1046</v>
      </c>
      <c r="G2450" t="s">
        <v>643</v>
      </c>
      <c r="H2450">
        <v>41</v>
      </c>
      <c r="I2450" t="s">
        <v>644</v>
      </c>
      <c r="J2450">
        <v>3750</v>
      </c>
      <c r="K2450" s="1">
        <v>44439</v>
      </c>
      <c r="L2450">
        <v>2021</v>
      </c>
      <c r="M2450" t="str">
        <f>UPPER(TEXT(_2020_2022[[#This Row],[Data da Venda]],"mmm"))</f>
        <v>AGO</v>
      </c>
    </row>
    <row r="2451" spans="1:13" x14ac:dyDescent="0.25">
      <c r="A2451" t="s">
        <v>28</v>
      </c>
      <c r="B2451">
        <v>1400</v>
      </c>
      <c r="C2451">
        <v>1</v>
      </c>
      <c r="D2451" t="s">
        <v>31</v>
      </c>
      <c r="E2451" t="s">
        <v>645</v>
      </c>
      <c r="F2451" t="s">
        <v>1030</v>
      </c>
      <c r="G2451" t="s">
        <v>650</v>
      </c>
      <c r="H2451">
        <v>41</v>
      </c>
      <c r="I2451" t="s">
        <v>644</v>
      </c>
      <c r="J2451">
        <v>1400</v>
      </c>
      <c r="K2451" s="1">
        <v>44433</v>
      </c>
      <c r="L2451">
        <v>2021</v>
      </c>
      <c r="M2451" t="str">
        <f>UPPER(TEXT(_2020_2022[[#This Row],[Data da Venda]],"mmm"))</f>
        <v>AGO</v>
      </c>
    </row>
    <row r="2452" spans="1:13" x14ac:dyDescent="0.25">
      <c r="A2452" t="s">
        <v>9</v>
      </c>
      <c r="B2452">
        <v>1500</v>
      </c>
      <c r="C2452">
        <v>1</v>
      </c>
      <c r="D2452" t="s">
        <v>32</v>
      </c>
      <c r="E2452" t="s">
        <v>652</v>
      </c>
      <c r="F2452" t="s">
        <v>1058</v>
      </c>
      <c r="G2452" t="s">
        <v>650</v>
      </c>
      <c r="H2452">
        <v>59</v>
      </c>
      <c r="I2452" t="s">
        <v>647</v>
      </c>
      <c r="J2452">
        <v>1500</v>
      </c>
      <c r="K2452" s="1">
        <v>44349</v>
      </c>
      <c r="L2452">
        <v>2021</v>
      </c>
      <c r="M2452" t="str">
        <f>UPPER(TEXT(_2020_2022[[#This Row],[Data da Venda]],"mmm"))</f>
        <v>JUN</v>
      </c>
    </row>
    <row r="2453" spans="1:13" x14ac:dyDescent="0.25">
      <c r="A2453" t="s">
        <v>20</v>
      </c>
      <c r="B2453">
        <v>2600</v>
      </c>
      <c r="C2453">
        <v>3</v>
      </c>
      <c r="D2453" t="s">
        <v>39</v>
      </c>
      <c r="E2453" t="s">
        <v>641</v>
      </c>
      <c r="F2453" t="s">
        <v>1225</v>
      </c>
      <c r="G2453" t="s">
        <v>650</v>
      </c>
      <c r="H2453">
        <v>45</v>
      </c>
      <c r="I2453" t="s">
        <v>644</v>
      </c>
      <c r="J2453">
        <v>7800</v>
      </c>
      <c r="K2453" s="1">
        <v>44538</v>
      </c>
      <c r="L2453">
        <v>2021</v>
      </c>
      <c r="M2453" t="str">
        <f>UPPER(TEXT(_2020_2022[[#This Row],[Data da Venda]],"mmm"))</f>
        <v>DEZ</v>
      </c>
    </row>
    <row r="2454" spans="1:13" x14ac:dyDescent="0.25">
      <c r="A2454" t="s">
        <v>25</v>
      </c>
      <c r="B2454">
        <v>2500</v>
      </c>
      <c r="C2454">
        <v>4</v>
      </c>
      <c r="D2454" t="s">
        <v>37</v>
      </c>
      <c r="E2454" t="s">
        <v>645</v>
      </c>
      <c r="F2454" t="s">
        <v>718</v>
      </c>
      <c r="G2454" t="s">
        <v>650</v>
      </c>
      <c r="H2454">
        <v>37</v>
      </c>
      <c r="I2454" t="s">
        <v>644</v>
      </c>
      <c r="J2454">
        <v>10000</v>
      </c>
      <c r="K2454" s="1">
        <v>44258</v>
      </c>
      <c r="L2454">
        <v>2021</v>
      </c>
      <c r="M2454" t="str">
        <f>UPPER(TEXT(_2020_2022[[#This Row],[Data da Venda]],"mmm"))</f>
        <v>MAR</v>
      </c>
    </row>
    <row r="2455" spans="1:13" x14ac:dyDescent="0.25">
      <c r="A2455" t="s">
        <v>28</v>
      </c>
      <c r="B2455">
        <v>1400</v>
      </c>
      <c r="C2455">
        <v>2</v>
      </c>
      <c r="D2455" t="s">
        <v>30</v>
      </c>
      <c r="E2455" t="s">
        <v>645</v>
      </c>
      <c r="F2455" t="s">
        <v>1373</v>
      </c>
      <c r="G2455" t="s">
        <v>643</v>
      </c>
      <c r="H2455">
        <v>66</v>
      </c>
      <c r="I2455" t="s">
        <v>647</v>
      </c>
      <c r="J2455">
        <v>2800</v>
      </c>
      <c r="K2455" s="1">
        <v>44303</v>
      </c>
      <c r="L2455">
        <v>2021</v>
      </c>
      <c r="M2455" t="str">
        <f>UPPER(TEXT(_2020_2022[[#This Row],[Data da Venda]],"mmm"))</f>
        <v>ABR</v>
      </c>
    </row>
    <row r="2456" spans="1:13" x14ac:dyDescent="0.25">
      <c r="A2456" t="s">
        <v>26</v>
      </c>
      <c r="B2456">
        <v>1100</v>
      </c>
      <c r="C2456">
        <v>3</v>
      </c>
      <c r="D2456" t="s">
        <v>39</v>
      </c>
      <c r="E2456" t="s">
        <v>641</v>
      </c>
      <c r="F2456" t="s">
        <v>1106</v>
      </c>
      <c r="G2456" t="s">
        <v>643</v>
      </c>
      <c r="H2456">
        <v>25</v>
      </c>
      <c r="I2456" t="s">
        <v>651</v>
      </c>
      <c r="J2456">
        <v>3300</v>
      </c>
      <c r="K2456" s="1">
        <v>44346</v>
      </c>
      <c r="L2456">
        <v>2021</v>
      </c>
      <c r="M2456" t="str">
        <f>UPPER(TEXT(_2020_2022[[#This Row],[Data da Venda]],"mmm"))</f>
        <v>MAI</v>
      </c>
    </row>
    <row r="2457" spans="1:13" x14ac:dyDescent="0.25">
      <c r="A2457" t="s">
        <v>5</v>
      </c>
      <c r="B2457">
        <v>1750</v>
      </c>
      <c r="C2457">
        <v>3</v>
      </c>
      <c r="D2457" t="s">
        <v>29</v>
      </c>
      <c r="E2457" t="s">
        <v>641</v>
      </c>
      <c r="F2457" t="s">
        <v>803</v>
      </c>
      <c r="G2457" t="s">
        <v>650</v>
      </c>
      <c r="H2457">
        <v>35</v>
      </c>
      <c r="I2457" t="s">
        <v>644</v>
      </c>
      <c r="J2457">
        <v>5250</v>
      </c>
      <c r="K2457" s="1">
        <v>44206</v>
      </c>
      <c r="L2457">
        <v>2021</v>
      </c>
      <c r="M2457" t="str">
        <f>UPPER(TEXT(_2020_2022[[#This Row],[Data da Venda]],"mmm"))</f>
        <v>JAN</v>
      </c>
    </row>
    <row r="2458" spans="1:13" x14ac:dyDescent="0.25">
      <c r="A2458" t="s">
        <v>8</v>
      </c>
      <c r="B2458">
        <v>5500</v>
      </c>
      <c r="C2458">
        <v>4</v>
      </c>
      <c r="D2458" t="s">
        <v>36</v>
      </c>
      <c r="E2458" t="s">
        <v>677</v>
      </c>
      <c r="F2458" t="s">
        <v>1369</v>
      </c>
      <c r="G2458" t="s">
        <v>650</v>
      </c>
      <c r="H2458">
        <v>68</v>
      </c>
      <c r="I2458" t="s">
        <v>647</v>
      </c>
      <c r="J2458">
        <v>22000</v>
      </c>
      <c r="K2458" s="1">
        <v>44415</v>
      </c>
      <c r="L2458">
        <v>2021</v>
      </c>
      <c r="M2458" t="str">
        <f>UPPER(TEXT(_2020_2022[[#This Row],[Data da Venda]],"mmm"))</f>
        <v>AGO</v>
      </c>
    </row>
    <row r="2459" spans="1:13" x14ac:dyDescent="0.25">
      <c r="A2459" t="s">
        <v>25</v>
      </c>
      <c r="B2459">
        <v>2500</v>
      </c>
      <c r="C2459">
        <v>2</v>
      </c>
      <c r="D2459" t="s">
        <v>36</v>
      </c>
      <c r="E2459" t="s">
        <v>677</v>
      </c>
      <c r="F2459" t="s">
        <v>763</v>
      </c>
      <c r="G2459" t="s">
        <v>643</v>
      </c>
      <c r="H2459">
        <v>33</v>
      </c>
      <c r="I2459" t="s">
        <v>644</v>
      </c>
      <c r="J2459">
        <v>5000</v>
      </c>
      <c r="K2459" s="1">
        <v>44289</v>
      </c>
      <c r="L2459">
        <v>2021</v>
      </c>
      <c r="M2459" t="str">
        <f>UPPER(TEXT(_2020_2022[[#This Row],[Data da Venda]],"mmm"))</f>
        <v>ABR</v>
      </c>
    </row>
    <row r="2460" spans="1:13" x14ac:dyDescent="0.25">
      <c r="A2460" t="s">
        <v>22</v>
      </c>
      <c r="B2460">
        <v>5200</v>
      </c>
      <c r="C2460">
        <v>2</v>
      </c>
      <c r="D2460" t="s">
        <v>40</v>
      </c>
      <c r="E2460" t="s">
        <v>657</v>
      </c>
      <c r="F2460" t="s">
        <v>1034</v>
      </c>
      <c r="G2460" t="s">
        <v>643</v>
      </c>
      <c r="H2460">
        <v>75</v>
      </c>
      <c r="I2460" t="s">
        <v>647</v>
      </c>
      <c r="J2460">
        <v>10400</v>
      </c>
      <c r="K2460" s="1">
        <v>44465</v>
      </c>
      <c r="L2460">
        <v>2021</v>
      </c>
      <c r="M2460" t="str">
        <f>UPPER(TEXT(_2020_2022[[#This Row],[Data da Venda]],"mmm"))</f>
        <v>SET</v>
      </c>
    </row>
    <row r="2461" spans="1:13" x14ac:dyDescent="0.25">
      <c r="A2461" t="s">
        <v>8</v>
      </c>
      <c r="B2461">
        <v>5500</v>
      </c>
      <c r="C2461">
        <v>4</v>
      </c>
      <c r="D2461" t="s">
        <v>29</v>
      </c>
      <c r="E2461" t="s">
        <v>641</v>
      </c>
      <c r="F2461" t="s">
        <v>1027</v>
      </c>
      <c r="G2461" t="s">
        <v>643</v>
      </c>
      <c r="H2461">
        <v>34</v>
      </c>
      <c r="I2461" t="s">
        <v>644</v>
      </c>
      <c r="J2461">
        <v>22000</v>
      </c>
      <c r="K2461" s="1">
        <v>44487</v>
      </c>
      <c r="L2461">
        <v>2021</v>
      </c>
      <c r="M2461" t="str">
        <f>UPPER(TEXT(_2020_2022[[#This Row],[Data da Venda]],"mmm"))</f>
        <v>OUT</v>
      </c>
    </row>
    <row r="2462" spans="1:13" x14ac:dyDescent="0.25">
      <c r="A2462" t="s">
        <v>1444</v>
      </c>
      <c r="B2462">
        <v>1500</v>
      </c>
      <c r="C2462">
        <v>5</v>
      </c>
      <c r="D2462" t="s">
        <v>35</v>
      </c>
      <c r="E2462" t="s">
        <v>666</v>
      </c>
      <c r="F2462" t="s">
        <v>703</v>
      </c>
      <c r="G2462" t="s">
        <v>643</v>
      </c>
      <c r="H2462">
        <v>33</v>
      </c>
      <c r="I2462" t="s">
        <v>644</v>
      </c>
      <c r="J2462">
        <v>7500</v>
      </c>
      <c r="K2462" s="1">
        <v>44499</v>
      </c>
      <c r="L2462">
        <v>2021</v>
      </c>
      <c r="M2462" t="str">
        <f>UPPER(TEXT(_2020_2022[[#This Row],[Data da Venda]],"mmm"))</f>
        <v>OUT</v>
      </c>
    </row>
    <row r="2463" spans="1:13" x14ac:dyDescent="0.25">
      <c r="A2463" t="s">
        <v>15</v>
      </c>
      <c r="B2463">
        <v>1900</v>
      </c>
      <c r="C2463">
        <v>5</v>
      </c>
      <c r="D2463" t="s">
        <v>29</v>
      </c>
      <c r="E2463" t="s">
        <v>641</v>
      </c>
      <c r="F2463" t="s">
        <v>714</v>
      </c>
      <c r="G2463" t="s">
        <v>650</v>
      </c>
      <c r="H2463">
        <v>31</v>
      </c>
      <c r="I2463" t="s">
        <v>644</v>
      </c>
      <c r="J2463">
        <v>9500</v>
      </c>
      <c r="K2463" s="1">
        <v>44349</v>
      </c>
      <c r="L2463">
        <v>2021</v>
      </c>
      <c r="M2463" t="str">
        <f>UPPER(TEXT(_2020_2022[[#This Row],[Data da Venda]],"mmm"))</f>
        <v>JUN</v>
      </c>
    </row>
    <row r="2464" spans="1:13" x14ac:dyDescent="0.25">
      <c r="A2464" t="s">
        <v>1443</v>
      </c>
      <c r="B2464">
        <v>1550</v>
      </c>
      <c r="C2464">
        <v>5</v>
      </c>
      <c r="D2464" t="s">
        <v>31</v>
      </c>
      <c r="E2464" t="s">
        <v>645</v>
      </c>
      <c r="F2464" t="s">
        <v>1250</v>
      </c>
      <c r="G2464" t="s">
        <v>650</v>
      </c>
      <c r="H2464">
        <v>59</v>
      </c>
      <c r="I2464" t="s">
        <v>647</v>
      </c>
      <c r="J2464">
        <v>7750</v>
      </c>
      <c r="K2464" s="1">
        <v>44278</v>
      </c>
      <c r="L2464">
        <v>2021</v>
      </c>
      <c r="M2464" t="str">
        <f>UPPER(TEXT(_2020_2022[[#This Row],[Data da Venda]],"mmm"))</f>
        <v>MAR</v>
      </c>
    </row>
    <row r="2465" spans="1:13" x14ac:dyDescent="0.25">
      <c r="A2465" t="s">
        <v>11</v>
      </c>
      <c r="B2465">
        <v>4500</v>
      </c>
      <c r="C2465">
        <v>4</v>
      </c>
      <c r="D2465" t="s">
        <v>40</v>
      </c>
      <c r="E2465" t="s">
        <v>657</v>
      </c>
      <c r="F2465" t="s">
        <v>800</v>
      </c>
      <c r="G2465" t="s">
        <v>650</v>
      </c>
      <c r="H2465">
        <v>58</v>
      </c>
      <c r="I2465" t="s">
        <v>647</v>
      </c>
      <c r="J2465">
        <v>18000</v>
      </c>
      <c r="K2465" s="1">
        <v>44374</v>
      </c>
      <c r="L2465">
        <v>2021</v>
      </c>
      <c r="M2465" t="str">
        <f>UPPER(TEXT(_2020_2022[[#This Row],[Data da Venda]],"mmm"))</f>
        <v>JUN</v>
      </c>
    </row>
    <row r="2466" spans="1:13" x14ac:dyDescent="0.25">
      <c r="A2466" t="s">
        <v>20</v>
      </c>
      <c r="B2466">
        <v>2600</v>
      </c>
      <c r="C2466">
        <v>4</v>
      </c>
      <c r="D2466" t="s">
        <v>29</v>
      </c>
      <c r="E2466" t="s">
        <v>641</v>
      </c>
      <c r="F2466" t="s">
        <v>1102</v>
      </c>
      <c r="G2466" t="s">
        <v>643</v>
      </c>
      <c r="H2466">
        <v>44</v>
      </c>
      <c r="I2466" t="s">
        <v>644</v>
      </c>
      <c r="J2466">
        <v>10400</v>
      </c>
      <c r="K2466" s="1">
        <v>44280</v>
      </c>
      <c r="L2466">
        <v>2021</v>
      </c>
      <c r="M2466" t="str">
        <f>UPPER(TEXT(_2020_2022[[#This Row],[Data da Venda]],"mmm"))</f>
        <v>MAR</v>
      </c>
    </row>
    <row r="2467" spans="1:13" x14ac:dyDescent="0.25">
      <c r="A2467" t="s">
        <v>1442</v>
      </c>
      <c r="B2467">
        <v>1200</v>
      </c>
      <c r="C2467">
        <v>5</v>
      </c>
      <c r="D2467" t="s">
        <v>37</v>
      </c>
      <c r="E2467" t="s">
        <v>645</v>
      </c>
      <c r="F2467" t="s">
        <v>1113</v>
      </c>
      <c r="G2467" t="s">
        <v>643</v>
      </c>
      <c r="H2467">
        <v>70</v>
      </c>
      <c r="I2467" t="s">
        <v>647</v>
      </c>
      <c r="J2467">
        <v>6000</v>
      </c>
      <c r="K2467" s="1">
        <v>44255</v>
      </c>
      <c r="L2467">
        <v>2021</v>
      </c>
      <c r="M2467" t="str">
        <f>UPPER(TEXT(_2020_2022[[#This Row],[Data da Venda]],"mmm"))</f>
        <v>FEV</v>
      </c>
    </row>
    <row r="2468" spans="1:13" x14ac:dyDescent="0.25">
      <c r="A2468" t="s">
        <v>13</v>
      </c>
      <c r="B2468">
        <v>2300</v>
      </c>
      <c r="C2468">
        <v>1</v>
      </c>
      <c r="D2468" t="s">
        <v>38</v>
      </c>
      <c r="E2468" t="s">
        <v>648</v>
      </c>
      <c r="F2468" t="s">
        <v>1170</v>
      </c>
      <c r="G2468" t="s">
        <v>650</v>
      </c>
      <c r="H2468">
        <v>62</v>
      </c>
      <c r="I2468" t="s">
        <v>647</v>
      </c>
      <c r="J2468">
        <v>2300</v>
      </c>
      <c r="K2468" s="1">
        <v>44316</v>
      </c>
      <c r="L2468">
        <v>2021</v>
      </c>
      <c r="M2468" t="str">
        <f>UPPER(TEXT(_2020_2022[[#This Row],[Data da Venda]],"mmm"))</f>
        <v>ABR</v>
      </c>
    </row>
    <row r="2469" spans="1:13" x14ac:dyDescent="0.25">
      <c r="A2469" t="s">
        <v>13</v>
      </c>
      <c r="B2469">
        <v>2300</v>
      </c>
      <c r="C2469">
        <v>2</v>
      </c>
      <c r="D2469" t="s">
        <v>35</v>
      </c>
      <c r="E2469" t="s">
        <v>666</v>
      </c>
      <c r="F2469" t="s">
        <v>834</v>
      </c>
      <c r="G2469" t="s">
        <v>643</v>
      </c>
      <c r="H2469">
        <v>55</v>
      </c>
      <c r="I2469" t="s">
        <v>647</v>
      </c>
      <c r="J2469">
        <v>4600</v>
      </c>
      <c r="K2469" s="1">
        <v>44317</v>
      </c>
      <c r="L2469">
        <v>2021</v>
      </c>
      <c r="M2469" t="str">
        <f>UPPER(TEXT(_2020_2022[[#This Row],[Data da Venda]],"mmm"))</f>
        <v>MAI</v>
      </c>
    </row>
    <row r="2470" spans="1:13" x14ac:dyDescent="0.25">
      <c r="A2470" t="s">
        <v>5</v>
      </c>
      <c r="B2470">
        <v>1750</v>
      </c>
      <c r="C2470">
        <v>4</v>
      </c>
      <c r="D2470" t="s">
        <v>35</v>
      </c>
      <c r="E2470" t="s">
        <v>666</v>
      </c>
      <c r="F2470" t="s">
        <v>1171</v>
      </c>
      <c r="G2470" t="s">
        <v>650</v>
      </c>
      <c r="H2470">
        <v>59</v>
      </c>
      <c r="I2470" t="s">
        <v>647</v>
      </c>
      <c r="J2470">
        <v>7000</v>
      </c>
      <c r="K2470" s="1">
        <v>44348</v>
      </c>
      <c r="L2470">
        <v>2021</v>
      </c>
      <c r="M2470" t="str">
        <f>UPPER(TEXT(_2020_2022[[#This Row],[Data da Venda]],"mmm"))</f>
        <v>JUN</v>
      </c>
    </row>
    <row r="2471" spans="1:13" x14ac:dyDescent="0.25">
      <c r="A2471" t="s">
        <v>1441</v>
      </c>
      <c r="B2471">
        <v>1450</v>
      </c>
      <c r="C2471">
        <v>4</v>
      </c>
      <c r="D2471" t="s">
        <v>29</v>
      </c>
      <c r="E2471" t="s">
        <v>641</v>
      </c>
      <c r="F2471" t="s">
        <v>989</v>
      </c>
      <c r="G2471" t="s">
        <v>643</v>
      </c>
      <c r="H2471">
        <v>33</v>
      </c>
      <c r="I2471" t="s">
        <v>644</v>
      </c>
      <c r="J2471">
        <v>5800</v>
      </c>
      <c r="K2471" s="1">
        <v>44443</v>
      </c>
      <c r="L2471">
        <v>2021</v>
      </c>
      <c r="M2471" t="str">
        <f>UPPER(TEXT(_2020_2022[[#This Row],[Data da Venda]],"mmm"))</f>
        <v>SET</v>
      </c>
    </row>
    <row r="2472" spans="1:13" x14ac:dyDescent="0.25">
      <c r="A2472" t="s">
        <v>12</v>
      </c>
      <c r="B2472">
        <v>6500</v>
      </c>
      <c r="C2472">
        <v>5</v>
      </c>
      <c r="D2472" t="s">
        <v>41</v>
      </c>
      <c r="E2472" t="s">
        <v>681</v>
      </c>
      <c r="F2472" t="s">
        <v>1149</v>
      </c>
      <c r="G2472" t="s">
        <v>643</v>
      </c>
      <c r="H2472">
        <v>53</v>
      </c>
      <c r="I2472" t="s">
        <v>647</v>
      </c>
      <c r="J2472">
        <v>32500</v>
      </c>
      <c r="K2472" s="1">
        <v>44526</v>
      </c>
      <c r="L2472">
        <v>2021</v>
      </c>
      <c r="M2472" t="str">
        <f>UPPER(TEXT(_2020_2022[[#This Row],[Data da Venda]],"mmm"))</f>
        <v>NOV</v>
      </c>
    </row>
    <row r="2473" spans="1:13" x14ac:dyDescent="0.25">
      <c r="A2473" t="s">
        <v>7</v>
      </c>
      <c r="B2473">
        <v>750</v>
      </c>
      <c r="C2473">
        <v>4</v>
      </c>
      <c r="D2473" t="s">
        <v>35</v>
      </c>
      <c r="E2473" t="s">
        <v>666</v>
      </c>
      <c r="F2473" t="s">
        <v>878</v>
      </c>
      <c r="G2473" t="s">
        <v>650</v>
      </c>
      <c r="H2473">
        <v>26</v>
      </c>
      <c r="I2473" t="s">
        <v>651</v>
      </c>
      <c r="J2473">
        <v>3000</v>
      </c>
      <c r="K2473" s="1">
        <v>44294</v>
      </c>
      <c r="L2473">
        <v>2021</v>
      </c>
      <c r="M2473" t="str">
        <f>UPPER(TEXT(_2020_2022[[#This Row],[Data da Venda]],"mmm"))</f>
        <v>ABR</v>
      </c>
    </row>
    <row r="2474" spans="1:13" x14ac:dyDescent="0.25">
      <c r="A2474" t="s">
        <v>1445</v>
      </c>
      <c r="B2474">
        <v>1500</v>
      </c>
      <c r="C2474">
        <v>3</v>
      </c>
      <c r="D2474" t="s">
        <v>29</v>
      </c>
      <c r="E2474" t="s">
        <v>641</v>
      </c>
      <c r="F2474" t="s">
        <v>957</v>
      </c>
      <c r="G2474" t="s">
        <v>643</v>
      </c>
      <c r="H2474">
        <v>38</v>
      </c>
      <c r="I2474" t="s">
        <v>644</v>
      </c>
      <c r="J2474">
        <v>4500</v>
      </c>
      <c r="K2474" s="1">
        <v>44529</v>
      </c>
      <c r="L2474">
        <v>2021</v>
      </c>
      <c r="M2474" t="str">
        <f>UPPER(TEXT(_2020_2022[[#This Row],[Data da Venda]],"mmm"))</f>
        <v>NOV</v>
      </c>
    </row>
    <row r="2475" spans="1:13" x14ac:dyDescent="0.25">
      <c r="A2475" t="s">
        <v>22</v>
      </c>
      <c r="B2475">
        <v>5200</v>
      </c>
      <c r="C2475">
        <v>2</v>
      </c>
      <c r="D2475" t="s">
        <v>41</v>
      </c>
      <c r="E2475" t="s">
        <v>681</v>
      </c>
      <c r="F2475" t="s">
        <v>1276</v>
      </c>
      <c r="G2475" t="s">
        <v>643</v>
      </c>
      <c r="H2475">
        <v>47</v>
      </c>
      <c r="I2475" t="s">
        <v>644</v>
      </c>
      <c r="J2475">
        <v>10400</v>
      </c>
      <c r="K2475" s="1">
        <v>44494</v>
      </c>
      <c r="L2475">
        <v>2021</v>
      </c>
      <c r="M2475" t="str">
        <f>UPPER(TEXT(_2020_2022[[#This Row],[Data da Venda]],"mmm"))</f>
        <v>OUT</v>
      </c>
    </row>
    <row r="2476" spans="1:13" x14ac:dyDescent="0.25">
      <c r="A2476" t="s">
        <v>5</v>
      </c>
      <c r="B2476">
        <v>1750</v>
      </c>
      <c r="C2476">
        <v>4</v>
      </c>
      <c r="D2476" t="s">
        <v>41</v>
      </c>
      <c r="E2476" t="s">
        <v>681</v>
      </c>
      <c r="F2476" t="s">
        <v>1276</v>
      </c>
      <c r="G2476" t="s">
        <v>643</v>
      </c>
      <c r="H2476">
        <v>47</v>
      </c>
      <c r="I2476" t="s">
        <v>644</v>
      </c>
      <c r="J2476">
        <v>7000</v>
      </c>
      <c r="K2476" s="1">
        <v>44322</v>
      </c>
      <c r="L2476">
        <v>2021</v>
      </c>
      <c r="M2476" t="str">
        <f>UPPER(TEXT(_2020_2022[[#This Row],[Data da Venda]],"mmm"))</f>
        <v>MAI</v>
      </c>
    </row>
    <row r="2477" spans="1:13" x14ac:dyDescent="0.25">
      <c r="A2477" t="s">
        <v>15</v>
      </c>
      <c r="B2477">
        <v>1900</v>
      </c>
      <c r="C2477">
        <v>5</v>
      </c>
      <c r="D2477" t="s">
        <v>35</v>
      </c>
      <c r="E2477" t="s">
        <v>666</v>
      </c>
      <c r="F2477" t="s">
        <v>794</v>
      </c>
      <c r="G2477" t="s">
        <v>650</v>
      </c>
      <c r="H2477">
        <v>25</v>
      </c>
      <c r="I2477" t="s">
        <v>651</v>
      </c>
      <c r="J2477">
        <v>9500</v>
      </c>
      <c r="K2477" s="1">
        <v>44436</v>
      </c>
      <c r="L2477">
        <v>2021</v>
      </c>
      <c r="M2477" t="str">
        <f>UPPER(TEXT(_2020_2022[[#This Row],[Data da Venda]],"mmm"))</f>
        <v>AGO</v>
      </c>
    </row>
    <row r="2478" spans="1:13" x14ac:dyDescent="0.25">
      <c r="A2478" t="s">
        <v>1441</v>
      </c>
      <c r="B2478">
        <v>1450</v>
      </c>
      <c r="C2478">
        <v>4</v>
      </c>
      <c r="D2478" t="s">
        <v>35</v>
      </c>
      <c r="E2478" t="s">
        <v>666</v>
      </c>
      <c r="F2478" t="s">
        <v>884</v>
      </c>
      <c r="G2478" t="s">
        <v>650</v>
      </c>
      <c r="H2478">
        <v>58</v>
      </c>
      <c r="I2478" t="s">
        <v>647</v>
      </c>
      <c r="J2478">
        <v>5800</v>
      </c>
      <c r="K2478" s="1">
        <v>44455</v>
      </c>
      <c r="L2478">
        <v>2021</v>
      </c>
      <c r="M2478" t="str">
        <f>UPPER(TEXT(_2020_2022[[#This Row],[Data da Venda]],"mmm"))</f>
        <v>SET</v>
      </c>
    </row>
    <row r="2479" spans="1:13" x14ac:dyDescent="0.25">
      <c r="A2479" t="s">
        <v>1441</v>
      </c>
      <c r="B2479">
        <v>1450</v>
      </c>
      <c r="C2479">
        <v>5</v>
      </c>
      <c r="D2479" t="s">
        <v>36</v>
      </c>
      <c r="E2479" t="s">
        <v>677</v>
      </c>
      <c r="F2479" t="s">
        <v>936</v>
      </c>
      <c r="G2479" t="s">
        <v>643</v>
      </c>
      <c r="H2479">
        <v>35</v>
      </c>
      <c r="I2479" t="s">
        <v>644</v>
      </c>
      <c r="J2479">
        <v>7250</v>
      </c>
      <c r="K2479" s="1">
        <v>44353</v>
      </c>
      <c r="L2479">
        <v>2021</v>
      </c>
      <c r="M2479" t="str">
        <f>UPPER(TEXT(_2020_2022[[#This Row],[Data da Venda]],"mmm"))</f>
        <v>JUN</v>
      </c>
    </row>
    <row r="2480" spans="1:13" x14ac:dyDescent="0.25">
      <c r="A2480" t="s">
        <v>5</v>
      </c>
      <c r="B2480">
        <v>1750</v>
      </c>
      <c r="C2480">
        <v>4</v>
      </c>
      <c r="D2480" t="s">
        <v>36</v>
      </c>
      <c r="E2480" t="s">
        <v>677</v>
      </c>
      <c r="F2480" t="s">
        <v>1198</v>
      </c>
      <c r="G2480" t="s">
        <v>650</v>
      </c>
      <c r="H2480">
        <v>65</v>
      </c>
      <c r="I2480" t="s">
        <v>647</v>
      </c>
      <c r="J2480">
        <v>7000</v>
      </c>
      <c r="K2480" s="1">
        <v>44289</v>
      </c>
      <c r="L2480">
        <v>2021</v>
      </c>
      <c r="M2480" t="str">
        <f>UPPER(TEXT(_2020_2022[[#This Row],[Data da Venda]],"mmm"))</f>
        <v>ABR</v>
      </c>
    </row>
    <row r="2481" spans="1:13" x14ac:dyDescent="0.25">
      <c r="A2481" t="s">
        <v>1442</v>
      </c>
      <c r="B2481">
        <v>1200</v>
      </c>
      <c r="C2481">
        <v>4</v>
      </c>
      <c r="D2481" t="s">
        <v>34</v>
      </c>
      <c r="E2481" t="s">
        <v>679</v>
      </c>
      <c r="F2481" t="s">
        <v>873</v>
      </c>
      <c r="G2481" t="s">
        <v>643</v>
      </c>
      <c r="H2481">
        <v>62</v>
      </c>
      <c r="I2481" t="s">
        <v>647</v>
      </c>
      <c r="J2481">
        <v>4800</v>
      </c>
      <c r="K2481" s="1">
        <v>44478</v>
      </c>
      <c r="L2481">
        <v>2021</v>
      </c>
      <c r="M2481" t="str">
        <f>UPPER(TEXT(_2020_2022[[#This Row],[Data da Venda]],"mmm"))</f>
        <v>OUT</v>
      </c>
    </row>
    <row r="2482" spans="1:13" x14ac:dyDescent="0.25">
      <c r="A2482" t="s">
        <v>20</v>
      </c>
      <c r="B2482">
        <v>2600</v>
      </c>
      <c r="C2482">
        <v>1</v>
      </c>
      <c r="D2482" t="s">
        <v>32</v>
      </c>
      <c r="E2482" t="s">
        <v>652</v>
      </c>
      <c r="F2482" t="s">
        <v>808</v>
      </c>
      <c r="G2482" t="s">
        <v>650</v>
      </c>
      <c r="H2482">
        <v>57</v>
      </c>
      <c r="I2482" t="s">
        <v>647</v>
      </c>
      <c r="J2482">
        <v>2600</v>
      </c>
      <c r="K2482" s="1">
        <v>44525</v>
      </c>
      <c r="L2482">
        <v>2021</v>
      </c>
      <c r="M2482" t="str">
        <f>UPPER(TEXT(_2020_2022[[#This Row],[Data da Venda]],"mmm"))</f>
        <v>NOV</v>
      </c>
    </row>
    <row r="2483" spans="1:13" x14ac:dyDescent="0.25">
      <c r="A2483" t="s">
        <v>18</v>
      </c>
      <c r="B2483">
        <v>3000</v>
      </c>
      <c r="C2483">
        <v>1</v>
      </c>
      <c r="D2483" t="s">
        <v>36</v>
      </c>
      <c r="E2483" t="s">
        <v>677</v>
      </c>
      <c r="F2483" t="s">
        <v>1036</v>
      </c>
      <c r="G2483" t="s">
        <v>650</v>
      </c>
      <c r="H2483">
        <v>49</v>
      </c>
      <c r="I2483" t="s">
        <v>644</v>
      </c>
      <c r="J2483">
        <v>3000</v>
      </c>
      <c r="K2483" s="1">
        <v>44507</v>
      </c>
      <c r="L2483">
        <v>2021</v>
      </c>
      <c r="M2483" t="str">
        <f>UPPER(TEXT(_2020_2022[[#This Row],[Data da Venda]],"mmm"))</f>
        <v>NOV</v>
      </c>
    </row>
    <row r="2484" spans="1:13" x14ac:dyDescent="0.25">
      <c r="A2484" t="s">
        <v>18</v>
      </c>
      <c r="B2484">
        <v>3000</v>
      </c>
      <c r="C2484">
        <v>2</v>
      </c>
      <c r="D2484" t="s">
        <v>39</v>
      </c>
      <c r="E2484" t="s">
        <v>641</v>
      </c>
      <c r="F2484" t="s">
        <v>874</v>
      </c>
      <c r="G2484" t="s">
        <v>643</v>
      </c>
      <c r="H2484">
        <v>40</v>
      </c>
      <c r="I2484" t="s">
        <v>644</v>
      </c>
      <c r="J2484">
        <v>6000</v>
      </c>
      <c r="K2484" s="1">
        <v>44362</v>
      </c>
      <c r="L2484">
        <v>2021</v>
      </c>
      <c r="M2484" t="str">
        <f>UPPER(TEXT(_2020_2022[[#This Row],[Data da Venda]],"mmm"))</f>
        <v>JUN</v>
      </c>
    </row>
    <row r="2485" spans="1:13" x14ac:dyDescent="0.25">
      <c r="A2485" t="s">
        <v>11</v>
      </c>
      <c r="B2485">
        <v>4500</v>
      </c>
      <c r="C2485">
        <v>4</v>
      </c>
      <c r="D2485" t="s">
        <v>29</v>
      </c>
      <c r="E2485" t="s">
        <v>641</v>
      </c>
      <c r="F2485" t="s">
        <v>711</v>
      </c>
      <c r="G2485" t="s">
        <v>650</v>
      </c>
      <c r="H2485">
        <v>55</v>
      </c>
      <c r="I2485" t="s">
        <v>647</v>
      </c>
      <c r="J2485">
        <v>18000</v>
      </c>
      <c r="K2485" s="1">
        <v>44545</v>
      </c>
      <c r="L2485">
        <v>2021</v>
      </c>
      <c r="M2485" t="str">
        <f>UPPER(TEXT(_2020_2022[[#This Row],[Data da Venda]],"mmm"))</f>
        <v>DEZ</v>
      </c>
    </row>
    <row r="2486" spans="1:13" x14ac:dyDescent="0.25">
      <c r="A2486" t="s">
        <v>26</v>
      </c>
      <c r="B2486">
        <v>1100</v>
      </c>
      <c r="C2486">
        <v>2</v>
      </c>
      <c r="D2486" t="s">
        <v>31</v>
      </c>
      <c r="E2486" t="s">
        <v>645</v>
      </c>
      <c r="F2486" t="s">
        <v>980</v>
      </c>
      <c r="G2486" t="s">
        <v>643</v>
      </c>
      <c r="H2486">
        <v>47</v>
      </c>
      <c r="I2486" t="s">
        <v>644</v>
      </c>
      <c r="J2486">
        <v>2200</v>
      </c>
      <c r="K2486" s="1">
        <v>44403</v>
      </c>
      <c r="L2486">
        <v>2021</v>
      </c>
      <c r="M2486" t="str">
        <f>UPPER(TEXT(_2020_2022[[#This Row],[Data da Venda]],"mmm"))</f>
        <v>JUL</v>
      </c>
    </row>
    <row r="2487" spans="1:13" x14ac:dyDescent="0.25">
      <c r="A2487" t="s">
        <v>7</v>
      </c>
      <c r="B2487">
        <v>750</v>
      </c>
      <c r="C2487">
        <v>4</v>
      </c>
      <c r="D2487" t="s">
        <v>40</v>
      </c>
      <c r="E2487" t="s">
        <v>657</v>
      </c>
      <c r="F2487" t="s">
        <v>1222</v>
      </c>
      <c r="G2487" t="s">
        <v>643</v>
      </c>
      <c r="H2487">
        <v>52</v>
      </c>
      <c r="I2487" t="s">
        <v>647</v>
      </c>
      <c r="J2487">
        <v>3000</v>
      </c>
      <c r="K2487" s="1">
        <v>44376</v>
      </c>
      <c r="L2487">
        <v>2021</v>
      </c>
      <c r="M2487" t="str">
        <f>UPPER(TEXT(_2020_2022[[#This Row],[Data da Venda]],"mmm"))</f>
        <v>JUN</v>
      </c>
    </row>
    <row r="2488" spans="1:13" x14ac:dyDescent="0.25">
      <c r="A2488" t="s">
        <v>1443</v>
      </c>
      <c r="B2488">
        <v>1550</v>
      </c>
      <c r="C2488">
        <v>2</v>
      </c>
      <c r="D2488" t="s">
        <v>41</v>
      </c>
      <c r="E2488" t="s">
        <v>681</v>
      </c>
      <c r="F2488" t="s">
        <v>1246</v>
      </c>
      <c r="G2488" t="s">
        <v>650</v>
      </c>
      <c r="H2488">
        <v>42</v>
      </c>
      <c r="I2488" t="s">
        <v>644</v>
      </c>
      <c r="J2488">
        <v>3100</v>
      </c>
      <c r="K2488" s="1">
        <v>44382</v>
      </c>
      <c r="L2488">
        <v>2021</v>
      </c>
      <c r="M2488" t="str">
        <f>UPPER(TEXT(_2020_2022[[#This Row],[Data da Venda]],"mmm"))</f>
        <v>JUL</v>
      </c>
    </row>
    <row r="2489" spans="1:13" x14ac:dyDescent="0.25">
      <c r="A2489" t="s">
        <v>20</v>
      </c>
      <c r="B2489">
        <v>2600</v>
      </c>
      <c r="C2489">
        <v>3</v>
      </c>
      <c r="D2489" t="s">
        <v>29</v>
      </c>
      <c r="E2489" t="s">
        <v>641</v>
      </c>
      <c r="F2489" t="s">
        <v>994</v>
      </c>
      <c r="G2489" t="s">
        <v>643</v>
      </c>
      <c r="H2489">
        <v>46</v>
      </c>
      <c r="I2489" t="s">
        <v>644</v>
      </c>
      <c r="J2489">
        <v>7800</v>
      </c>
      <c r="K2489" s="1">
        <v>44257</v>
      </c>
      <c r="L2489">
        <v>2021</v>
      </c>
      <c r="M2489" t="str">
        <f>UPPER(TEXT(_2020_2022[[#This Row],[Data da Venda]],"mmm"))</f>
        <v>MAR</v>
      </c>
    </row>
    <row r="2490" spans="1:13" x14ac:dyDescent="0.25">
      <c r="A2490" t="s">
        <v>16</v>
      </c>
      <c r="B2490">
        <v>1400</v>
      </c>
      <c r="C2490">
        <v>3</v>
      </c>
      <c r="D2490" t="s">
        <v>30</v>
      </c>
      <c r="E2490" t="s">
        <v>645</v>
      </c>
      <c r="F2490" t="s">
        <v>1372</v>
      </c>
      <c r="G2490" t="s">
        <v>643</v>
      </c>
      <c r="H2490">
        <v>30</v>
      </c>
      <c r="I2490" t="s">
        <v>644</v>
      </c>
      <c r="J2490">
        <v>4200</v>
      </c>
      <c r="K2490" s="1">
        <v>44490</v>
      </c>
      <c r="L2490">
        <v>2021</v>
      </c>
      <c r="M2490" t="str">
        <f>UPPER(TEXT(_2020_2022[[#This Row],[Data da Venda]],"mmm"))</f>
        <v>OUT</v>
      </c>
    </row>
    <row r="2491" spans="1:13" x14ac:dyDescent="0.25">
      <c r="A2491" t="s">
        <v>5</v>
      </c>
      <c r="B2491">
        <v>1750</v>
      </c>
      <c r="C2491">
        <v>3</v>
      </c>
      <c r="D2491" t="s">
        <v>35</v>
      </c>
      <c r="E2491" t="s">
        <v>666</v>
      </c>
      <c r="F2491" t="s">
        <v>767</v>
      </c>
      <c r="G2491" t="s">
        <v>643</v>
      </c>
      <c r="H2491">
        <v>62</v>
      </c>
      <c r="I2491" t="s">
        <v>647</v>
      </c>
      <c r="J2491">
        <v>5250</v>
      </c>
      <c r="K2491" s="1">
        <v>44340</v>
      </c>
      <c r="L2491">
        <v>2021</v>
      </c>
      <c r="M2491" t="str">
        <f>UPPER(TEXT(_2020_2022[[#This Row],[Data da Venda]],"mmm"))</f>
        <v>MAI</v>
      </c>
    </row>
    <row r="2492" spans="1:13" x14ac:dyDescent="0.25">
      <c r="A2492" t="s">
        <v>8</v>
      </c>
      <c r="B2492">
        <v>5500</v>
      </c>
      <c r="C2492">
        <v>2</v>
      </c>
      <c r="D2492" t="s">
        <v>36</v>
      </c>
      <c r="E2492" t="s">
        <v>677</v>
      </c>
      <c r="F2492" t="s">
        <v>882</v>
      </c>
      <c r="G2492" t="s">
        <v>643</v>
      </c>
      <c r="H2492">
        <v>35</v>
      </c>
      <c r="I2492" t="s">
        <v>644</v>
      </c>
      <c r="J2492">
        <v>11000</v>
      </c>
      <c r="K2492" s="1">
        <v>44535</v>
      </c>
      <c r="L2492">
        <v>2021</v>
      </c>
      <c r="M2492" t="str">
        <f>UPPER(TEXT(_2020_2022[[#This Row],[Data da Venda]],"mmm"))</f>
        <v>DEZ</v>
      </c>
    </row>
    <row r="2493" spans="1:13" x14ac:dyDescent="0.25">
      <c r="A2493" t="s">
        <v>1444</v>
      </c>
      <c r="B2493">
        <v>1500</v>
      </c>
      <c r="C2493">
        <v>5</v>
      </c>
      <c r="D2493" t="s">
        <v>35</v>
      </c>
      <c r="E2493" t="s">
        <v>666</v>
      </c>
      <c r="F2493" t="s">
        <v>1134</v>
      </c>
      <c r="G2493" t="s">
        <v>650</v>
      </c>
      <c r="H2493">
        <v>68</v>
      </c>
      <c r="I2493" t="s">
        <v>647</v>
      </c>
      <c r="J2493">
        <v>7500</v>
      </c>
      <c r="K2493" s="1">
        <v>44313</v>
      </c>
      <c r="L2493">
        <v>2021</v>
      </c>
      <c r="M2493" t="str">
        <f>UPPER(TEXT(_2020_2022[[#This Row],[Data da Venda]],"mmm"))</f>
        <v>ABR</v>
      </c>
    </row>
    <row r="2494" spans="1:13" x14ac:dyDescent="0.25">
      <c r="A2494" t="s">
        <v>13</v>
      </c>
      <c r="B2494">
        <v>2300</v>
      </c>
      <c r="C2494">
        <v>4</v>
      </c>
      <c r="D2494" t="s">
        <v>30</v>
      </c>
      <c r="E2494" t="s">
        <v>645</v>
      </c>
      <c r="F2494" t="s">
        <v>1266</v>
      </c>
      <c r="G2494" t="s">
        <v>650</v>
      </c>
      <c r="H2494">
        <v>39</v>
      </c>
      <c r="I2494" t="s">
        <v>644</v>
      </c>
      <c r="J2494">
        <v>9200</v>
      </c>
      <c r="K2494" s="1">
        <v>44526</v>
      </c>
      <c r="L2494">
        <v>2021</v>
      </c>
      <c r="M2494" t="str">
        <f>UPPER(TEXT(_2020_2022[[#This Row],[Data da Venda]],"mmm"))</f>
        <v>NOV</v>
      </c>
    </row>
    <row r="2495" spans="1:13" x14ac:dyDescent="0.25">
      <c r="A2495" t="s">
        <v>22</v>
      </c>
      <c r="B2495">
        <v>5200</v>
      </c>
      <c r="C2495">
        <v>1</v>
      </c>
      <c r="D2495" t="s">
        <v>31</v>
      </c>
      <c r="E2495" t="s">
        <v>645</v>
      </c>
      <c r="F2495" t="s">
        <v>1004</v>
      </c>
      <c r="G2495" t="s">
        <v>643</v>
      </c>
      <c r="H2495">
        <v>28</v>
      </c>
      <c r="I2495" t="s">
        <v>651</v>
      </c>
      <c r="J2495">
        <v>5200</v>
      </c>
      <c r="K2495" s="1">
        <v>44383</v>
      </c>
      <c r="L2495">
        <v>2021</v>
      </c>
      <c r="M2495" t="str">
        <f>UPPER(TEXT(_2020_2022[[#This Row],[Data da Venda]],"mmm"))</f>
        <v>JUL</v>
      </c>
    </row>
    <row r="2496" spans="1:13" x14ac:dyDescent="0.25">
      <c r="A2496" t="s">
        <v>26</v>
      </c>
      <c r="B2496">
        <v>1100</v>
      </c>
      <c r="C2496">
        <v>4</v>
      </c>
      <c r="D2496" t="s">
        <v>32</v>
      </c>
      <c r="E2496" t="s">
        <v>652</v>
      </c>
      <c r="F2496" t="s">
        <v>1058</v>
      </c>
      <c r="G2496" t="s">
        <v>650</v>
      </c>
      <c r="H2496">
        <v>59</v>
      </c>
      <c r="I2496" t="s">
        <v>647</v>
      </c>
      <c r="J2496">
        <v>4400</v>
      </c>
      <c r="K2496" s="1">
        <v>44243</v>
      </c>
      <c r="L2496">
        <v>2021</v>
      </c>
      <c r="M2496" t="str">
        <f>UPPER(TEXT(_2020_2022[[#This Row],[Data da Venda]],"mmm"))</f>
        <v>FEV</v>
      </c>
    </row>
    <row r="2497" spans="1:13" x14ac:dyDescent="0.25">
      <c r="A2497" t="s">
        <v>22</v>
      </c>
      <c r="B2497">
        <v>5200</v>
      </c>
      <c r="C2497">
        <v>4</v>
      </c>
      <c r="D2497" t="s">
        <v>34</v>
      </c>
      <c r="E2497" t="s">
        <v>679</v>
      </c>
      <c r="F2497" t="s">
        <v>1139</v>
      </c>
      <c r="G2497" t="s">
        <v>643</v>
      </c>
      <c r="H2497">
        <v>41</v>
      </c>
      <c r="I2497" t="s">
        <v>644</v>
      </c>
      <c r="J2497">
        <v>20800</v>
      </c>
      <c r="K2497" s="1">
        <v>44434</v>
      </c>
      <c r="L2497">
        <v>2021</v>
      </c>
      <c r="M2497" t="str">
        <f>UPPER(TEXT(_2020_2022[[#This Row],[Data da Venda]],"mmm"))</f>
        <v>AGO</v>
      </c>
    </row>
    <row r="2498" spans="1:13" x14ac:dyDescent="0.25">
      <c r="A2498" t="s">
        <v>8</v>
      </c>
      <c r="B2498">
        <v>5500</v>
      </c>
      <c r="C2498">
        <v>2</v>
      </c>
      <c r="D2498" t="s">
        <v>35</v>
      </c>
      <c r="E2498" t="s">
        <v>666</v>
      </c>
      <c r="F2498" t="s">
        <v>1118</v>
      </c>
      <c r="G2498" t="s">
        <v>643</v>
      </c>
      <c r="H2498">
        <v>56</v>
      </c>
      <c r="I2498" t="s">
        <v>647</v>
      </c>
      <c r="J2498">
        <v>11000</v>
      </c>
      <c r="K2498" s="1">
        <v>44527</v>
      </c>
      <c r="L2498">
        <v>2021</v>
      </c>
      <c r="M2498" t="str">
        <f>UPPER(TEXT(_2020_2022[[#This Row],[Data da Venda]],"mmm"))</f>
        <v>NOV</v>
      </c>
    </row>
    <row r="2499" spans="1:13" x14ac:dyDescent="0.25">
      <c r="A2499" t="s">
        <v>21</v>
      </c>
      <c r="B2499">
        <v>2400</v>
      </c>
      <c r="C2499">
        <v>4</v>
      </c>
      <c r="D2499" t="s">
        <v>29</v>
      </c>
      <c r="E2499" t="s">
        <v>641</v>
      </c>
      <c r="F2499" t="s">
        <v>816</v>
      </c>
      <c r="G2499" t="s">
        <v>643</v>
      </c>
      <c r="H2499">
        <v>27</v>
      </c>
      <c r="I2499" t="s">
        <v>651</v>
      </c>
      <c r="J2499">
        <v>9600</v>
      </c>
      <c r="K2499" s="1">
        <v>44287</v>
      </c>
      <c r="L2499">
        <v>2021</v>
      </c>
      <c r="M2499" t="str">
        <f>UPPER(TEXT(_2020_2022[[#This Row],[Data da Venda]],"mmm"))</f>
        <v>ABR</v>
      </c>
    </row>
    <row r="2500" spans="1:13" x14ac:dyDescent="0.25">
      <c r="A2500" t="s">
        <v>15</v>
      </c>
      <c r="B2500">
        <v>1900</v>
      </c>
      <c r="C2500">
        <v>4</v>
      </c>
      <c r="D2500" t="s">
        <v>32</v>
      </c>
      <c r="E2500" t="s">
        <v>652</v>
      </c>
      <c r="F2500" t="s">
        <v>804</v>
      </c>
      <c r="G2500" t="s">
        <v>643</v>
      </c>
      <c r="H2500">
        <v>75</v>
      </c>
      <c r="I2500" t="s">
        <v>647</v>
      </c>
      <c r="J2500">
        <v>7600</v>
      </c>
      <c r="K2500" s="1">
        <v>44294</v>
      </c>
      <c r="L2500">
        <v>2021</v>
      </c>
      <c r="M2500" t="str">
        <f>UPPER(TEXT(_2020_2022[[#This Row],[Data da Venda]],"mmm"))</f>
        <v>ABR</v>
      </c>
    </row>
    <row r="2501" spans="1:13" x14ac:dyDescent="0.25">
      <c r="A2501" t="s">
        <v>18</v>
      </c>
      <c r="B2501">
        <v>3000</v>
      </c>
      <c r="C2501">
        <v>1</v>
      </c>
      <c r="D2501" t="s">
        <v>32</v>
      </c>
      <c r="E2501" t="s">
        <v>652</v>
      </c>
      <c r="F2501" t="s">
        <v>750</v>
      </c>
      <c r="G2501" t="s">
        <v>650</v>
      </c>
      <c r="H2501">
        <v>43</v>
      </c>
      <c r="I2501" t="s">
        <v>644</v>
      </c>
      <c r="J2501">
        <v>3000</v>
      </c>
      <c r="K2501" s="1">
        <v>44555</v>
      </c>
      <c r="L2501">
        <v>2021</v>
      </c>
      <c r="M2501" t="str">
        <f>UPPER(TEXT(_2020_2022[[#This Row],[Data da Venda]],"mmm"))</f>
        <v>DEZ</v>
      </c>
    </row>
    <row r="2502" spans="1:13" x14ac:dyDescent="0.25">
      <c r="A2502" t="s">
        <v>21</v>
      </c>
      <c r="B2502">
        <v>2400</v>
      </c>
      <c r="C2502">
        <v>1</v>
      </c>
      <c r="D2502" t="s">
        <v>31</v>
      </c>
      <c r="E2502" t="s">
        <v>645</v>
      </c>
      <c r="F2502" t="s">
        <v>895</v>
      </c>
      <c r="G2502" t="s">
        <v>643</v>
      </c>
      <c r="H2502">
        <v>69</v>
      </c>
      <c r="I2502" t="s">
        <v>647</v>
      </c>
      <c r="J2502">
        <v>2400</v>
      </c>
      <c r="K2502" s="1">
        <v>44463</v>
      </c>
      <c r="L2502">
        <v>2021</v>
      </c>
      <c r="M2502" t="str">
        <f>UPPER(TEXT(_2020_2022[[#This Row],[Data da Venda]],"mmm"))</f>
        <v>SET</v>
      </c>
    </row>
    <row r="2503" spans="1:13" x14ac:dyDescent="0.25">
      <c r="A2503" t="s">
        <v>24</v>
      </c>
      <c r="B2503">
        <v>2000</v>
      </c>
      <c r="C2503">
        <v>3</v>
      </c>
      <c r="D2503" t="s">
        <v>32</v>
      </c>
      <c r="E2503" t="s">
        <v>652</v>
      </c>
      <c r="F2503" t="s">
        <v>662</v>
      </c>
      <c r="G2503" t="s">
        <v>650</v>
      </c>
      <c r="H2503">
        <v>59</v>
      </c>
      <c r="I2503" t="s">
        <v>647</v>
      </c>
      <c r="J2503">
        <v>6000</v>
      </c>
      <c r="K2503" s="1">
        <v>44243</v>
      </c>
      <c r="L2503">
        <v>2021</v>
      </c>
      <c r="M2503" t="str">
        <f>UPPER(TEXT(_2020_2022[[#This Row],[Data da Venda]],"mmm"))</f>
        <v>FEV</v>
      </c>
    </row>
    <row r="2504" spans="1:13" x14ac:dyDescent="0.25">
      <c r="A2504" t="s">
        <v>8</v>
      </c>
      <c r="B2504">
        <v>5500</v>
      </c>
      <c r="C2504">
        <v>2</v>
      </c>
      <c r="D2504" t="s">
        <v>29</v>
      </c>
      <c r="E2504" t="s">
        <v>641</v>
      </c>
      <c r="F2504" t="s">
        <v>803</v>
      </c>
      <c r="G2504" t="s">
        <v>650</v>
      </c>
      <c r="H2504">
        <v>35</v>
      </c>
      <c r="I2504" t="s">
        <v>644</v>
      </c>
      <c r="J2504">
        <v>11000</v>
      </c>
      <c r="K2504" s="1">
        <v>44366</v>
      </c>
      <c r="L2504">
        <v>2021</v>
      </c>
      <c r="M2504" t="str">
        <f>UPPER(TEXT(_2020_2022[[#This Row],[Data da Venda]],"mmm"))</f>
        <v>JUN</v>
      </c>
    </row>
    <row r="2505" spans="1:13" x14ac:dyDescent="0.25">
      <c r="A2505" t="s">
        <v>9</v>
      </c>
      <c r="B2505">
        <v>1500</v>
      </c>
      <c r="C2505">
        <v>2</v>
      </c>
      <c r="D2505" t="s">
        <v>40</v>
      </c>
      <c r="E2505" t="s">
        <v>657</v>
      </c>
      <c r="F2505" t="s">
        <v>1186</v>
      </c>
      <c r="G2505" t="s">
        <v>643</v>
      </c>
      <c r="H2505">
        <v>41</v>
      </c>
      <c r="I2505" t="s">
        <v>644</v>
      </c>
      <c r="J2505">
        <v>3000</v>
      </c>
      <c r="K2505" s="1">
        <v>44526</v>
      </c>
      <c r="L2505">
        <v>2021</v>
      </c>
      <c r="M2505" t="str">
        <f>UPPER(TEXT(_2020_2022[[#This Row],[Data da Venda]],"mmm"))</f>
        <v>NOV</v>
      </c>
    </row>
    <row r="2506" spans="1:13" x14ac:dyDescent="0.25">
      <c r="A2506" t="s">
        <v>1442</v>
      </c>
      <c r="B2506">
        <v>1200</v>
      </c>
      <c r="C2506">
        <v>5</v>
      </c>
      <c r="D2506" t="s">
        <v>30</v>
      </c>
      <c r="E2506" t="s">
        <v>645</v>
      </c>
      <c r="F2506" t="s">
        <v>736</v>
      </c>
      <c r="G2506" t="s">
        <v>643</v>
      </c>
      <c r="H2506">
        <v>37</v>
      </c>
      <c r="I2506" t="s">
        <v>644</v>
      </c>
      <c r="J2506">
        <v>6000</v>
      </c>
      <c r="K2506" s="1">
        <v>44360</v>
      </c>
      <c r="L2506">
        <v>2021</v>
      </c>
      <c r="M2506" t="str">
        <f>UPPER(TEXT(_2020_2022[[#This Row],[Data da Venda]],"mmm"))</f>
        <v>JUN</v>
      </c>
    </row>
    <row r="2507" spans="1:13" x14ac:dyDescent="0.25">
      <c r="A2507" t="s">
        <v>24</v>
      </c>
      <c r="B2507">
        <v>2000</v>
      </c>
      <c r="C2507">
        <v>5</v>
      </c>
      <c r="D2507" t="s">
        <v>38</v>
      </c>
      <c r="E2507" t="s">
        <v>648</v>
      </c>
      <c r="F2507" t="s">
        <v>1100</v>
      </c>
      <c r="G2507" t="s">
        <v>650</v>
      </c>
      <c r="H2507">
        <v>35</v>
      </c>
      <c r="I2507" t="s">
        <v>644</v>
      </c>
      <c r="J2507">
        <v>10000</v>
      </c>
      <c r="K2507" s="1">
        <v>44361</v>
      </c>
      <c r="L2507">
        <v>2021</v>
      </c>
      <c r="M2507" t="str">
        <f>UPPER(TEXT(_2020_2022[[#This Row],[Data da Venda]],"mmm"))</f>
        <v>JUN</v>
      </c>
    </row>
    <row r="2508" spans="1:13" x14ac:dyDescent="0.25">
      <c r="A2508" t="s">
        <v>1445</v>
      </c>
      <c r="B2508">
        <v>1500</v>
      </c>
      <c r="C2508">
        <v>2</v>
      </c>
      <c r="D2508" t="s">
        <v>41</v>
      </c>
      <c r="E2508" t="s">
        <v>681</v>
      </c>
      <c r="F2508" t="s">
        <v>1268</v>
      </c>
      <c r="G2508" t="s">
        <v>643</v>
      </c>
      <c r="H2508">
        <v>30</v>
      </c>
      <c r="I2508" t="s">
        <v>644</v>
      </c>
      <c r="J2508">
        <v>3000</v>
      </c>
      <c r="K2508" s="1">
        <v>44228</v>
      </c>
      <c r="L2508">
        <v>2021</v>
      </c>
      <c r="M2508" t="str">
        <f>UPPER(TEXT(_2020_2022[[#This Row],[Data da Venda]],"mmm"))</f>
        <v>FEV</v>
      </c>
    </row>
    <row r="2509" spans="1:13" x14ac:dyDescent="0.25">
      <c r="A2509" t="s">
        <v>5</v>
      </c>
      <c r="B2509">
        <v>1750</v>
      </c>
      <c r="C2509">
        <v>1</v>
      </c>
      <c r="D2509" t="s">
        <v>38</v>
      </c>
      <c r="E2509" t="s">
        <v>648</v>
      </c>
      <c r="F2509" t="s">
        <v>1223</v>
      </c>
      <c r="G2509" t="s">
        <v>643</v>
      </c>
      <c r="H2509">
        <v>50</v>
      </c>
      <c r="I2509" t="s">
        <v>644</v>
      </c>
      <c r="J2509">
        <v>1750</v>
      </c>
      <c r="K2509" s="1">
        <v>44466</v>
      </c>
      <c r="L2509">
        <v>2021</v>
      </c>
      <c r="M2509" t="str">
        <f>UPPER(TEXT(_2020_2022[[#This Row],[Data da Venda]],"mmm"))</f>
        <v>SET</v>
      </c>
    </row>
    <row r="2510" spans="1:13" x14ac:dyDescent="0.25">
      <c r="A2510" t="s">
        <v>9</v>
      </c>
      <c r="B2510">
        <v>1500</v>
      </c>
      <c r="C2510">
        <v>4</v>
      </c>
      <c r="D2510" t="s">
        <v>37</v>
      </c>
      <c r="E2510" t="s">
        <v>645</v>
      </c>
      <c r="F2510" t="s">
        <v>1116</v>
      </c>
      <c r="G2510" t="s">
        <v>643</v>
      </c>
      <c r="H2510">
        <v>34</v>
      </c>
      <c r="I2510" t="s">
        <v>644</v>
      </c>
      <c r="J2510">
        <v>6000</v>
      </c>
      <c r="K2510" s="1">
        <v>44197</v>
      </c>
      <c r="L2510">
        <v>2021</v>
      </c>
      <c r="M2510" t="str">
        <f>UPPER(TEXT(_2020_2022[[#This Row],[Data da Venda]],"mmm"))</f>
        <v>JAN</v>
      </c>
    </row>
    <row r="2511" spans="1:13" x14ac:dyDescent="0.25">
      <c r="A2511" t="s">
        <v>26</v>
      </c>
      <c r="B2511">
        <v>1100</v>
      </c>
      <c r="C2511">
        <v>3</v>
      </c>
      <c r="D2511" t="s">
        <v>31</v>
      </c>
      <c r="E2511" t="s">
        <v>645</v>
      </c>
      <c r="F2511" t="s">
        <v>1078</v>
      </c>
      <c r="G2511" t="s">
        <v>650</v>
      </c>
      <c r="H2511">
        <v>45</v>
      </c>
      <c r="I2511" t="s">
        <v>644</v>
      </c>
      <c r="J2511">
        <v>3300</v>
      </c>
      <c r="K2511" s="1">
        <v>44336</v>
      </c>
      <c r="L2511">
        <v>2021</v>
      </c>
      <c r="M2511" t="str">
        <f>UPPER(TEXT(_2020_2022[[#This Row],[Data da Venda]],"mmm"))</f>
        <v>MAI</v>
      </c>
    </row>
    <row r="2512" spans="1:13" x14ac:dyDescent="0.25">
      <c r="A2512" t="s">
        <v>1443</v>
      </c>
      <c r="B2512">
        <v>1550</v>
      </c>
      <c r="C2512">
        <v>4</v>
      </c>
      <c r="D2512" t="s">
        <v>41</v>
      </c>
      <c r="E2512" t="s">
        <v>681</v>
      </c>
      <c r="F2512" t="s">
        <v>1398</v>
      </c>
      <c r="G2512" t="s">
        <v>643</v>
      </c>
      <c r="H2512">
        <v>46</v>
      </c>
      <c r="I2512" t="s">
        <v>644</v>
      </c>
      <c r="J2512">
        <v>6200</v>
      </c>
      <c r="K2512" s="1">
        <v>44401</v>
      </c>
      <c r="L2512">
        <v>2021</v>
      </c>
      <c r="M2512" t="str">
        <f>UPPER(TEXT(_2020_2022[[#This Row],[Data da Venda]],"mmm"))</f>
        <v>JUL</v>
      </c>
    </row>
    <row r="2513" spans="1:13" x14ac:dyDescent="0.25">
      <c r="A2513" t="s">
        <v>20</v>
      </c>
      <c r="B2513">
        <v>2600</v>
      </c>
      <c r="C2513">
        <v>1</v>
      </c>
      <c r="D2513" t="s">
        <v>35</v>
      </c>
      <c r="E2513" t="s">
        <v>666</v>
      </c>
      <c r="F2513" t="s">
        <v>1014</v>
      </c>
      <c r="G2513" t="s">
        <v>643</v>
      </c>
      <c r="H2513">
        <v>53</v>
      </c>
      <c r="I2513" t="s">
        <v>647</v>
      </c>
      <c r="J2513">
        <v>2600</v>
      </c>
      <c r="K2513" s="1">
        <v>44498</v>
      </c>
      <c r="L2513">
        <v>2021</v>
      </c>
      <c r="M2513" t="str">
        <f>UPPER(TEXT(_2020_2022[[#This Row],[Data da Venda]],"mmm"))</f>
        <v>OUT</v>
      </c>
    </row>
    <row r="2514" spans="1:13" x14ac:dyDescent="0.25">
      <c r="A2514" t="s">
        <v>1443</v>
      </c>
      <c r="B2514">
        <v>1550</v>
      </c>
      <c r="C2514">
        <v>2</v>
      </c>
      <c r="D2514" t="s">
        <v>33</v>
      </c>
      <c r="E2514" t="s">
        <v>641</v>
      </c>
      <c r="F2514" t="s">
        <v>1399</v>
      </c>
      <c r="G2514" t="s">
        <v>650</v>
      </c>
      <c r="H2514">
        <v>31</v>
      </c>
      <c r="I2514" t="s">
        <v>644</v>
      </c>
      <c r="J2514">
        <v>3100</v>
      </c>
      <c r="K2514" s="1">
        <v>44320</v>
      </c>
      <c r="L2514">
        <v>2021</v>
      </c>
      <c r="M2514" t="str">
        <f>UPPER(TEXT(_2020_2022[[#This Row],[Data da Venda]],"mmm"))</f>
        <v>MAI</v>
      </c>
    </row>
    <row r="2515" spans="1:13" x14ac:dyDescent="0.25">
      <c r="A2515" t="s">
        <v>12</v>
      </c>
      <c r="B2515">
        <v>6500</v>
      </c>
      <c r="C2515">
        <v>1</v>
      </c>
      <c r="D2515" t="s">
        <v>33</v>
      </c>
      <c r="E2515" t="s">
        <v>641</v>
      </c>
      <c r="F2515" t="s">
        <v>1263</v>
      </c>
      <c r="G2515" t="s">
        <v>650</v>
      </c>
      <c r="H2515">
        <v>51</v>
      </c>
      <c r="I2515" t="s">
        <v>647</v>
      </c>
      <c r="J2515">
        <v>6500</v>
      </c>
      <c r="K2515" s="1">
        <v>44277</v>
      </c>
      <c r="L2515">
        <v>2021</v>
      </c>
      <c r="M2515" t="str">
        <f>UPPER(TEXT(_2020_2022[[#This Row],[Data da Venda]],"mmm"))</f>
        <v>MAR</v>
      </c>
    </row>
    <row r="2516" spans="1:13" x14ac:dyDescent="0.25">
      <c r="A2516" t="s">
        <v>7</v>
      </c>
      <c r="B2516">
        <v>750</v>
      </c>
      <c r="C2516">
        <v>2</v>
      </c>
      <c r="D2516" t="s">
        <v>31</v>
      </c>
      <c r="E2516" t="s">
        <v>645</v>
      </c>
      <c r="F2516" t="s">
        <v>1256</v>
      </c>
      <c r="G2516" t="s">
        <v>650</v>
      </c>
      <c r="H2516">
        <v>67</v>
      </c>
      <c r="I2516" t="s">
        <v>647</v>
      </c>
      <c r="J2516">
        <v>1500</v>
      </c>
      <c r="K2516" s="1">
        <v>44395</v>
      </c>
      <c r="L2516">
        <v>2021</v>
      </c>
      <c r="M2516" t="str">
        <f>UPPER(TEXT(_2020_2022[[#This Row],[Data da Venda]],"mmm"))</f>
        <v>JUL</v>
      </c>
    </row>
    <row r="2517" spans="1:13" x14ac:dyDescent="0.25">
      <c r="A2517" t="s">
        <v>24</v>
      </c>
      <c r="B2517">
        <v>2000</v>
      </c>
      <c r="C2517">
        <v>4</v>
      </c>
      <c r="D2517" t="s">
        <v>41</v>
      </c>
      <c r="E2517" t="s">
        <v>681</v>
      </c>
      <c r="F2517" t="s">
        <v>1039</v>
      </c>
      <c r="G2517" t="s">
        <v>643</v>
      </c>
      <c r="H2517">
        <v>70</v>
      </c>
      <c r="I2517" t="s">
        <v>647</v>
      </c>
      <c r="J2517">
        <v>8000</v>
      </c>
      <c r="K2517" s="1">
        <v>44400</v>
      </c>
      <c r="L2517">
        <v>2021</v>
      </c>
      <c r="M2517" t="str">
        <f>UPPER(TEXT(_2020_2022[[#This Row],[Data da Venda]],"mmm"))</f>
        <v>JUL</v>
      </c>
    </row>
    <row r="2518" spans="1:13" x14ac:dyDescent="0.25">
      <c r="A2518" t="s">
        <v>1440</v>
      </c>
      <c r="B2518">
        <v>700</v>
      </c>
      <c r="C2518">
        <v>1</v>
      </c>
      <c r="D2518" t="s">
        <v>30</v>
      </c>
      <c r="E2518" t="s">
        <v>645</v>
      </c>
      <c r="F2518" t="s">
        <v>1061</v>
      </c>
      <c r="G2518" t="s">
        <v>643</v>
      </c>
      <c r="H2518">
        <v>32</v>
      </c>
      <c r="I2518" t="s">
        <v>644</v>
      </c>
      <c r="J2518">
        <v>700</v>
      </c>
      <c r="K2518" s="1">
        <v>44478</v>
      </c>
      <c r="L2518">
        <v>2021</v>
      </c>
      <c r="M2518" t="str">
        <f>UPPER(TEXT(_2020_2022[[#This Row],[Data da Venda]],"mmm"))</f>
        <v>OUT</v>
      </c>
    </row>
    <row r="2519" spans="1:13" x14ac:dyDescent="0.25">
      <c r="A2519" t="s">
        <v>16</v>
      </c>
      <c r="B2519">
        <v>1400</v>
      </c>
      <c r="C2519">
        <v>3</v>
      </c>
      <c r="D2519" t="s">
        <v>35</v>
      </c>
      <c r="E2519" t="s">
        <v>666</v>
      </c>
      <c r="F2519" t="s">
        <v>1171</v>
      </c>
      <c r="G2519" t="s">
        <v>650</v>
      </c>
      <c r="H2519">
        <v>59</v>
      </c>
      <c r="I2519" t="s">
        <v>647</v>
      </c>
      <c r="J2519">
        <v>4200</v>
      </c>
      <c r="K2519" s="1">
        <v>44258</v>
      </c>
      <c r="L2519">
        <v>2021</v>
      </c>
      <c r="M2519" t="str">
        <f>UPPER(TEXT(_2020_2022[[#This Row],[Data da Venda]],"mmm"))</f>
        <v>MAR</v>
      </c>
    </row>
    <row r="2520" spans="1:13" x14ac:dyDescent="0.25">
      <c r="A2520" t="s">
        <v>1442</v>
      </c>
      <c r="B2520">
        <v>1200</v>
      </c>
      <c r="C2520">
        <v>2</v>
      </c>
      <c r="D2520" t="s">
        <v>29</v>
      </c>
      <c r="E2520" t="s">
        <v>641</v>
      </c>
      <c r="F2520" t="s">
        <v>1070</v>
      </c>
      <c r="G2520" t="s">
        <v>643</v>
      </c>
      <c r="H2520">
        <v>49</v>
      </c>
      <c r="I2520" t="s">
        <v>644</v>
      </c>
      <c r="J2520">
        <v>2400</v>
      </c>
      <c r="K2520" s="1">
        <v>44484</v>
      </c>
      <c r="L2520">
        <v>2021</v>
      </c>
      <c r="M2520" t="str">
        <f>UPPER(TEXT(_2020_2022[[#This Row],[Data da Venda]],"mmm"))</f>
        <v>OUT</v>
      </c>
    </row>
    <row r="2521" spans="1:13" x14ac:dyDescent="0.25">
      <c r="A2521" t="s">
        <v>22</v>
      </c>
      <c r="B2521">
        <v>5200</v>
      </c>
      <c r="C2521">
        <v>1</v>
      </c>
      <c r="D2521" t="s">
        <v>31</v>
      </c>
      <c r="E2521" t="s">
        <v>645</v>
      </c>
      <c r="F2521" t="s">
        <v>811</v>
      </c>
      <c r="G2521" t="s">
        <v>650</v>
      </c>
      <c r="H2521">
        <v>56</v>
      </c>
      <c r="I2521" t="s">
        <v>647</v>
      </c>
      <c r="J2521">
        <v>5200</v>
      </c>
      <c r="K2521" s="1">
        <v>44271</v>
      </c>
      <c r="L2521">
        <v>2021</v>
      </c>
      <c r="M2521" t="str">
        <f>UPPER(TEXT(_2020_2022[[#This Row],[Data da Venda]],"mmm"))</f>
        <v>MAR</v>
      </c>
    </row>
    <row r="2522" spans="1:13" x14ac:dyDescent="0.25">
      <c r="A2522" t="s">
        <v>15</v>
      </c>
      <c r="B2522">
        <v>1900</v>
      </c>
      <c r="C2522">
        <v>2</v>
      </c>
      <c r="D2522" t="s">
        <v>32</v>
      </c>
      <c r="E2522" t="s">
        <v>652</v>
      </c>
      <c r="F2522" t="s">
        <v>1396</v>
      </c>
      <c r="G2522" t="s">
        <v>643</v>
      </c>
      <c r="H2522">
        <v>45</v>
      </c>
      <c r="I2522" t="s">
        <v>644</v>
      </c>
      <c r="J2522">
        <v>3800</v>
      </c>
      <c r="K2522" s="1">
        <v>44415</v>
      </c>
      <c r="L2522">
        <v>2021</v>
      </c>
      <c r="M2522" t="str">
        <f>UPPER(TEXT(_2020_2022[[#This Row],[Data da Venda]],"mmm"))</f>
        <v>AGO</v>
      </c>
    </row>
    <row r="2523" spans="1:13" x14ac:dyDescent="0.25">
      <c r="A2523" t="s">
        <v>28</v>
      </c>
      <c r="B2523">
        <v>1400</v>
      </c>
      <c r="C2523">
        <v>2</v>
      </c>
      <c r="D2523" t="s">
        <v>40</v>
      </c>
      <c r="E2523" t="s">
        <v>657</v>
      </c>
      <c r="F2523" t="s">
        <v>913</v>
      </c>
      <c r="G2523" t="s">
        <v>650</v>
      </c>
      <c r="H2523">
        <v>27</v>
      </c>
      <c r="I2523" t="s">
        <v>651</v>
      </c>
      <c r="J2523">
        <v>2800</v>
      </c>
      <c r="K2523" s="1">
        <v>44326</v>
      </c>
      <c r="L2523">
        <v>2021</v>
      </c>
      <c r="M2523" t="str">
        <f>UPPER(TEXT(_2020_2022[[#This Row],[Data da Venda]],"mmm"))</f>
        <v>MAI</v>
      </c>
    </row>
    <row r="2524" spans="1:13" x14ac:dyDescent="0.25">
      <c r="A2524" t="s">
        <v>24</v>
      </c>
      <c r="B2524">
        <v>2000</v>
      </c>
      <c r="C2524">
        <v>2</v>
      </c>
      <c r="D2524" t="s">
        <v>37</v>
      </c>
      <c r="E2524" t="s">
        <v>645</v>
      </c>
      <c r="F2524" t="s">
        <v>848</v>
      </c>
      <c r="G2524" t="s">
        <v>650</v>
      </c>
      <c r="H2524">
        <v>26</v>
      </c>
      <c r="I2524" t="s">
        <v>651</v>
      </c>
      <c r="J2524">
        <v>4000</v>
      </c>
      <c r="K2524" s="1">
        <v>44452</v>
      </c>
      <c r="L2524">
        <v>2021</v>
      </c>
      <c r="M2524" t="str">
        <f>UPPER(TEXT(_2020_2022[[#This Row],[Data da Venda]],"mmm"))</f>
        <v>SET</v>
      </c>
    </row>
    <row r="2525" spans="1:13" x14ac:dyDescent="0.25">
      <c r="A2525" t="s">
        <v>13</v>
      </c>
      <c r="B2525">
        <v>2300</v>
      </c>
      <c r="C2525">
        <v>4</v>
      </c>
      <c r="D2525" t="s">
        <v>29</v>
      </c>
      <c r="E2525" t="s">
        <v>641</v>
      </c>
      <c r="F2525" t="s">
        <v>1313</v>
      </c>
      <c r="G2525" t="s">
        <v>650</v>
      </c>
      <c r="H2525">
        <v>30</v>
      </c>
      <c r="I2525" t="s">
        <v>644</v>
      </c>
      <c r="J2525">
        <v>9200</v>
      </c>
      <c r="K2525" s="1">
        <v>44241</v>
      </c>
      <c r="L2525">
        <v>2021</v>
      </c>
      <c r="M2525" t="str">
        <f>UPPER(TEXT(_2020_2022[[#This Row],[Data da Venda]],"mmm"))</f>
        <v>FEV</v>
      </c>
    </row>
    <row r="2526" spans="1:13" x14ac:dyDescent="0.25">
      <c r="A2526" t="s">
        <v>14</v>
      </c>
      <c r="B2526">
        <v>2000</v>
      </c>
      <c r="C2526">
        <v>3</v>
      </c>
      <c r="D2526" t="s">
        <v>40</v>
      </c>
      <c r="E2526" t="s">
        <v>657</v>
      </c>
      <c r="F2526" t="s">
        <v>1157</v>
      </c>
      <c r="G2526" t="s">
        <v>643</v>
      </c>
      <c r="H2526">
        <v>36</v>
      </c>
      <c r="I2526" t="s">
        <v>644</v>
      </c>
      <c r="J2526">
        <v>6000</v>
      </c>
      <c r="K2526" s="1">
        <v>44265</v>
      </c>
      <c r="L2526">
        <v>2021</v>
      </c>
      <c r="M2526" t="str">
        <f>UPPER(TEXT(_2020_2022[[#This Row],[Data da Venda]],"mmm"))</f>
        <v>MAR</v>
      </c>
    </row>
    <row r="2527" spans="1:13" x14ac:dyDescent="0.25">
      <c r="A2527" t="s">
        <v>28</v>
      </c>
      <c r="B2527">
        <v>1400</v>
      </c>
      <c r="C2527">
        <v>5</v>
      </c>
      <c r="D2527" t="s">
        <v>39</v>
      </c>
      <c r="E2527" t="s">
        <v>641</v>
      </c>
      <c r="F2527" t="s">
        <v>1374</v>
      </c>
      <c r="G2527" t="s">
        <v>643</v>
      </c>
      <c r="H2527">
        <v>43</v>
      </c>
      <c r="I2527" t="s">
        <v>644</v>
      </c>
      <c r="J2527">
        <v>7000</v>
      </c>
      <c r="K2527" s="1">
        <v>44376</v>
      </c>
      <c r="L2527">
        <v>2021</v>
      </c>
      <c r="M2527" t="str">
        <f>UPPER(TEXT(_2020_2022[[#This Row],[Data da Venda]],"mmm"))</f>
        <v>JUN</v>
      </c>
    </row>
    <row r="2528" spans="1:13" x14ac:dyDescent="0.25">
      <c r="A2528" t="s">
        <v>24</v>
      </c>
      <c r="B2528">
        <v>2000</v>
      </c>
      <c r="C2528">
        <v>5</v>
      </c>
      <c r="D2528" t="s">
        <v>36</v>
      </c>
      <c r="E2528" t="s">
        <v>677</v>
      </c>
      <c r="F2528" t="s">
        <v>801</v>
      </c>
      <c r="G2528" t="s">
        <v>650</v>
      </c>
      <c r="H2528">
        <v>64</v>
      </c>
      <c r="I2528" t="s">
        <v>647</v>
      </c>
      <c r="J2528">
        <v>10000</v>
      </c>
      <c r="K2528" s="1">
        <v>44363</v>
      </c>
      <c r="L2528">
        <v>2021</v>
      </c>
      <c r="M2528" t="str">
        <f>UPPER(TEXT(_2020_2022[[#This Row],[Data da Venda]],"mmm"))</f>
        <v>JUN</v>
      </c>
    </row>
    <row r="2529" spans="1:13" x14ac:dyDescent="0.25">
      <c r="A2529" t="s">
        <v>18</v>
      </c>
      <c r="B2529">
        <v>3000</v>
      </c>
      <c r="C2529">
        <v>3</v>
      </c>
      <c r="D2529" t="s">
        <v>40</v>
      </c>
      <c r="E2529" t="s">
        <v>657</v>
      </c>
      <c r="F2529" t="s">
        <v>770</v>
      </c>
      <c r="G2529" t="s">
        <v>643</v>
      </c>
      <c r="H2529">
        <v>31</v>
      </c>
      <c r="I2529" t="s">
        <v>644</v>
      </c>
      <c r="J2529">
        <v>9000</v>
      </c>
      <c r="K2529" s="1">
        <v>44370</v>
      </c>
      <c r="L2529">
        <v>2021</v>
      </c>
      <c r="M2529" t="str">
        <f>UPPER(TEXT(_2020_2022[[#This Row],[Data da Venda]],"mmm"))</f>
        <v>JUN</v>
      </c>
    </row>
    <row r="2530" spans="1:13" x14ac:dyDescent="0.25">
      <c r="A2530" t="s">
        <v>1444</v>
      </c>
      <c r="B2530">
        <v>1500</v>
      </c>
      <c r="C2530">
        <v>1</v>
      </c>
      <c r="D2530" t="s">
        <v>31</v>
      </c>
      <c r="E2530" t="s">
        <v>645</v>
      </c>
      <c r="F2530" t="s">
        <v>695</v>
      </c>
      <c r="G2530" t="s">
        <v>650</v>
      </c>
      <c r="H2530">
        <v>73</v>
      </c>
      <c r="I2530" t="s">
        <v>647</v>
      </c>
      <c r="J2530">
        <v>1500</v>
      </c>
      <c r="K2530" s="1">
        <v>44428</v>
      </c>
      <c r="L2530">
        <v>2021</v>
      </c>
      <c r="M2530" t="str">
        <f>UPPER(TEXT(_2020_2022[[#This Row],[Data da Venda]],"mmm"))</f>
        <v>AGO</v>
      </c>
    </row>
    <row r="2531" spans="1:13" x14ac:dyDescent="0.25">
      <c r="A2531" t="s">
        <v>1443</v>
      </c>
      <c r="B2531">
        <v>1550</v>
      </c>
      <c r="C2531">
        <v>3</v>
      </c>
      <c r="D2531" t="s">
        <v>32</v>
      </c>
      <c r="E2531" t="s">
        <v>652</v>
      </c>
      <c r="F2531" t="s">
        <v>1359</v>
      </c>
      <c r="G2531" t="s">
        <v>650</v>
      </c>
      <c r="H2531">
        <v>54</v>
      </c>
      <c r="I2531" t="s">
        <v>647</v>
      </c>
      <c r="J2531">
        <v>4650</v>
      </c>
      <c r="K2531" s="1">
        <v>44329</v>
      </c>
      <c r="L2531">
        <v>2021</v>
      </c>
      <c r="M2531" t="str">
        <f>UPPER(TEXT(_2020_2022[[#This Row],[Data da Venda]],"mmm"))</f>
        <v>MAI</v>
      </c>
    </row>
    <row r="2532" spans="1:13" x14ac:dyDescent="0.25">
      <c r="A2532" t="s">
        <v>9</v>
      </c>
      <c r="B2532">
        <v>1500</v>
      </c>
      <c r="C2532">
        <v>3</v>
      </c>
      <c r="D2532" t="s">
        <v>41</v>
      </c>
      <c r="E2532" t="s">
        <v>681</v>
      </c>
      <c r="F2532" t="s">
        <v>1066</v>
      </c>
      <c r="G2532" t="s">
        <v>643</v>
      </c>
      <c r="H2532">
        <v>61</v>
      </c>
      <c r="I2532" t="s">
        <v>647</v>
      </c>
      <c r="J2532">
        <v>4500</v>
      </c>
      <c r="K2532" s="1">
        <v>44554</v>
      </c>
      <c r="L2532">
        <v>2021</v>
      </c>
      <c r="M2532" t="str">
        <f>UPPER(TEXT(_2020_2022[[#This Row],[Data da Venda]],"mmm"))</f>
        <v>DEZ</v>
      </c>
    </row>
    <row r="2533" spans="1:13" x14ac:dyDescent="0.25">
      <c r="A2533" t="s">
        <v>24</v>
      </c>
      <c r="B2533">
        <v>2000</v>
      </c>
      <c r="C2533">
        <v>5</v>
      </c>
      <c r="D2533" t="s">
        <v>40</v>
      </c>
      <c r="E2533" t="s">
        <v>657</v>
      </c>
      <c r="F2533" t="s">
        <v>913</v>
      </c>
      <c r="G2533" t="s">
        <v>650</v>
      </c>
      <c r="H2533">
        <v>27</v>
      </c>
      <c r="I2533" t="s">
        <v>651</v>
      </c>
      <c r="J2533">
        <v>10000</v>
      </c>
      <c r="K2533" s="1">
        <v>44440</v>
      </c>
      <c r="L2533">
        <v>2021</v>
      </c>
      <c r="M2533" t="str">
        <f>UPPER(TEXT(_2020_2022[[#This Row],[Data da Venda]],"mmm"))</f>
        <v>SET</v>
      </c>
    </row>
    <row r="2534" spans="1:13" x14ac:dyDescent="0.25">
      <c r="A2534" t="s">
        <v>26</v>
      </c>
      <c r="B2534">
        <v>1100</v>
      </c>
      <c r="C2534">
        <v>5</v>
      </c>
      <c r="D2534" t="s">
        <v>32</v>
      </c>
      <c r="E2534" t="s">
        <v>652</v>
      </c>
      <c r="F2534" t="s">
        <v>1112</v>
      </c>
      <c r="G2534" t="s">
        <v>650</v>
      </c>
      <c r="H2534">
        <v>55</v>
      </c>
      <c r="I2534" t="s">
        <v>647</v>
      </c>
      <c r="J2534">
        <v>5500</v>
      </c>
      <c r="K2534" s="1">
        <v>44510</v>
      </c>
      <c r="L2534">
        <v>2021</v>
      </c>
      <c r="M2534" t="str">
        <f>UPPER(TEXT(_2020_2022[[#This Row],[Data da Venda]],"mmm"))</f>
        <v>NOV</v>
      </c>
    </row>
    <row r="2535" spans="1:13" x14ac:dyDescent="0.25">
      <c r="A2535" t="s">
        <v>7</v>
      </c>
      <c r="B2535">
        <v>750</v>
      </c>
      <c r="C2535">
        <v>3</v>
      </c>
      <c r="D2535" t="s">
        <v>37</v>
      </c>
      <c r="E2535" t="s">
        <v>645</v>
      </c>
      <c r="F2535" t="s">
        <v>1400</v>
      </c>
      <c r="G2535" t="s">
        <v>650</v>
      </c>
      <c r="H2535">
        <v>44</v>
      </c>
      <c r="I2535" t="s">
        <v>644</v>
      </c>
      <c r="J2535">
        <v>2250</v>
      </c>
      <c r="K2535" s="1">
        <v>44550</v>
      </c>
      <c r="L2535">
        <v>2021</v>
      </c>
      <c r="M2535" t="str">
        <f>UPPER(TEXT(_2020_2022[[#This Row],[Data da Venda]],"mmm"))</f>
        <v>DEZ</v>
      </c>
    </row>
    <row r="2536" spans="1:13" x14ac:dyDescent="0.25">
      <c r="A2536" t="s">
        <v>22</v>
      </c>
      <c r="B2536">
        <v>5200</v>
      </c>
      <c r="C2536">
        <v>4</v>
      </c>
      <c r="D2536" t="s">
        <v>40</v>
      </c>
      <c r="E2536" t="s">
        <v>657</v>
      </c>
      <c r="F2536" t="s">
        <v>713</v>
      </c>
      <c r="G2536" t="s">
        <v>643</v>
      </c>
      <c r="H2536">
        <v>58</v>
      </c>
      <c r="I2536" t="s">
        <v>647</v>
      </c>
      <c r="J2536">
        <v>20800</v>
      </c>
      <c r="K2536" s="1">
        <v>44261</v>
      </c>
      <c r="L2536">
        <v>2021</v>
      </c>
      <c r="M2536" t="str">
        <f>UPPER(TEXT(_2020_2022[[#This Row],[Data da Venda]],"mmm"))</f>
        <v>MAR</v>
      </c>
    </row>
    <row r="2537" spans="1:13" x14ac:dyDescent="0.25">
      <c r="A2537" t="s">
        <v>5</v>
      </c>
      <c r="B2537">
        <v>1750</v>
      </c>
      <c r="C2537">
        <v>2</v>
      </c>
      <c r="D2537" t="s">
        <v>29</v>
      </c>
      <c r="E2537" t="s">
        <v>641</v>
      </c>
      <c r="F2537" t="s">
        <v>785</v>
      </c>
      <c r="G2537" t="s">
        <v>643</v>
      </c>
      <c r="H2537">
        <v>41</v>
      </c>
      <c r="I2537" t="s">
        <v>644</v>
      </c>
      <c r="J2537">
        <v>3500</v>
      </c>
      <c r="K2537" s="1">
        <v>44209</v>
      </c>
      <c r="L2537">
        <v>2021</v>
      </c>
      <c r="M2537" t="str">
        <f>UPPER(TEXT(_2020_2022[[#This Row],[Data da Venda]],"mmm"))</f>
        <v>JAN</v>
      </c>
    </row>
    <row r="2538" spans="1:13" x14ac:dyDescent="0.25">
      <c r="A2538" t="s">
        <v>21</v>
      </c>
      <c r="B2538">
        <v>2400</v>
      </c>
      <c r="C2538">
        <v>1</v>
      </c>
      <c r="D2538" t="s">
        <v>40</v>
      </c>
      <c r="E2538" t="s">
        <v>657</v>
      </c>
      <c r="F2538" t="s">
        <v>1034</v>
      </c>
      <c r="G2538" t="s">
        <v>643</v>
      </c>
      <c r="H2538">
        <v>75</v>
      </c>
      <c r="I2538" t="s">
        <v>647</v>
      </c>
      <c r="J2538">
        <v>2400</v>
      </c>
      <c r="K2538" s="1">
        <v>44470</v>
      </c>
      <c r="L2538">
        <v>2021</v>
      </c>
      <c r="M2538" t="str">
        <f>UPPER(TEXT(_2020_2022[[#This Row],[Data da Venda]],"mmm"))</f>
        <v>OUT</v>
      </c>
    </row>
    <row r="2539" spans="1:13" x14ac:dyDescent="0.25">
      <c r="A2539" t="s">
        <v>20</v>
      </c>
      <c r="B2539">
        <v>2600</v>
      </c>
      <c r="C2539">
        <v>4</v>
      </c>
      <c r="D2539" t="s">
        <v>36</v>
      </c>
      <c r="E2539" t="s">
        <v>677</v>
      </c>
      <c r="F2539" t="s">
        <v>796</v>
      </c>
      <c r="G2539" t="s">
        <v>643</v>
      </c>
      <c r="H2539">
        <v>33</v>
      </c>
      <c r="I2539" t="s">
        <v>644</v>
      </c>
      <c r="J2539">
        <v>10400</v>
      </c>
      <c r="K2539" s="1">
        <v>44365</v>
      </c>
      <c r="L2539">
        <v>2021</v>
      </c>
      <c r="M2539" t="str">
        <f>UPPER(TEXT(_2020_2022[[#This Row],[Data da Venda]],"mmm"))</f>
        <v>JUN</v>
      </c>
    </row>
    <row r="2540" spans="1:13" x14ac:dyDescent="0.25">
      <c r="A2540" t="s">
        <v>7</v>
      </c>
      <c r="B2540">
        <v>750</v>
      </c>
      <c r="C2540">
        <v>3</v>
      </c>
      <c r="D2540" t="s">
        <v>32</v>
      </c>
      <c r="E2540" t="s">
        <v>652</v>
      </c>
      <c r="F2540" t="s">
        <v>909</v>
      </c>
      <c r="G2540" t="s">
        <v>650</v>
      </c>
      <c r="H2540">
        <v>67</v>
      </c>
      <c r="I2540" t="s">
        <v>647</v>
      </c>
      <c r="J2540">
        <v>2250</v>
      </c>
      <c r="K2540" s="1">
        <v>44402</v>
      </c>
      <c r="L2540">
        <v>2021</v>
      </c>
      <c r="M2540" t="str">
        <f>UPPER(TEXT(_2020_2022[[#This Row],[Data da Venda]],"mmm"))</f>
        <v>JUL</v>
      </c>
    </row>
    <row r="2541" spans="1:13" x14ac:dyDescent="0.25">
      <c r="A2541" t="s">
        <v>21</v>
      </c>
      <c r="B2541">
        <v>2400</v>
      </c>
      <c r="C2541">
        <v>5</v>
      </c>
      <c r="D2541" t="s">
        <v>31</v>
      </c>
      <c r="E2541" t="s">
        <v>645</v>
      </c>
      <c r="F2541" t="s">
        <v>1064</v>
      </c>
      <c r="G2541" t="s">
        <v>643</v>
      </c>
      <c r="H2541">
        <v>64</v>
      </c>
      <c r="I2541" t="s">
        <v>647</v>
      </c>
      <c r="J2541">
        <v>12000</v>
      </c>
      <c r="K2541" s="1">
        <v>44260</v>
      </c>
      <c r="L2541">
        <v>2021</v>
      </c>
      <c r="M2541" t="str">
        <f>UPPER(TEXT(_2020_2022[[#This Row],[Data da Venda]],"mmm"))</f>
        <v>MAR</v>
      </c>
    </row>
    <row r="2542" spans="1:13" x14ac:dyDescent="0.25">
      <c r="A2542" t="s">
        <v>12</v>
      </c>
      <c r="B2542">
        <v>6500</v>
      </c>
      <c r="C2542">
        <v>3</v>
      </c>
      <c r="D2542" t="s">
        <v>38</v>
      </c>
      <c r="E2542" t="s">
        <v>648</v>
      </c>
      <c r="F2542" t="s">
        <v>1107</v>
      </c>
      <c r="G2542" t="s">
        <v>650</v>
      </c>
      <c r="H2542">
        <v>40</v>
      </c>
      <c r="I2542" t="s">
        <v>644</v>
      </c>
      <c r="J2542">
        <v>19500</v>
      </c>
      <c r="K2542" s="1">
        <v>44451</v>
      </c>
      <c r="L2542">
        <v>2021</v>
      </c>
      <c r="M2542" t="str">
        <f>UPPER(TEXT(_2020_2022[[#This Row],[Data da Venda]],"mmm"))</f>
        <v>SET</v>
      </c>
    </row>
    <row r="2543" spans="1:13" x14ac:dyDescent="0.25">
      <c r="A2543" t="s">
        <v>16</v>
      </c>
      <c r="B2543">
        <v>1400</v>
      </c>
      <c r="C2543">
        <v>2</v>
      </c>
      <c r="D2543" t="s">
        <v>40</v>
      </c>
      <c r="E2543" t="s">
        <v>657</v>
      </c>
      <c r="F2543" t="s">
        <v>713</v>
      </c>
      <c r="G2543" t="s">
        <v>643</v>
      </c>
      <c r="H2543">
        <v>58</v>
      </c>
      <c r="I2543" t="s">
        <v>647</v>
      </c>
      <c r="J2543">
        <v>2800</v>
      </c>
      <c r="K2543" s="1">
        <v>44357</v>
      </c>
      <c r="L2543">
        <v>2021</v>
      </c>
      <c r="M2543" t="str">
        <f>UPPER(TEXT(_2020_2022[[#This Row],[Data da Venda]],"mmm"))</f>
        <v>JUN</v>
      </c>
    </row>
    <row r="2544" spans="1:13" x14ac:dyDescent="0.25">
      <c r="A2544" t="s">
        <v>7</v>
      </c>
      <c r="B2544">
        <v>750</v>
      </c>
      <c r="C2544">
        <v>3</v>
      </c>
      <c r="D2544" t="s">
        <v>40</v>
      </c>
      <c r="E2544" t="s">
        <v>657</v>
      </c>
      <c r="F2544" t="s">
        <v>713</v>
      </c>
      <c r="G2544" t="s">
        <v>643</v>
      </c>
      <c r="H2544">
        <v>58</v>
      </c>
      <c r="I2544" t="s">
        <v>647</v>
      </c>
      <c r="J2544">
        <v>2250</v>
      </c>
      <c r="K2544" s="1">
        <v>44374</v>
      </c>
      <c r="L2544">
        <v>2021</v>
      </c>
      <c r="M2544" t="str">
        <f>UPPER(TEXT(_2020_2022[[#This Row],[Data da Venda]],"mmm"))</f>
        <v>JUN</v>
      </c>
    </row>
    <row r="2545" spans="1:13" x14ac:dyDescent="0.25">
      <c r="A2545" t="s">
        <v>5</v>
      </c>
      <c r="B2545">
        <v>1750</v>
      </c>
      <c r="C2545">
        <v>1</v>
      </c>
      <c r="D2545" t="s">
        <v>31</v>
      </c>
      <c r="E2545" t="s">
        <v>645</v>
      </c>
      <c r="F2545" t="s">
        <v>776</v>
      </c>
      <c r="G2545" t="s">
        <v>643</v>
      </c>
      <c r="H2545">
        <v>29</v>
      </c>
      <c r="I2545" t="s">
        <v>651</v>
      </c>
      <c r="J2545">
        <v>1750</v>
      </c>
      <c r="K2545" s="1">
        <v>44321</v>
      </c>
      <c r="L2545">
        <v>2021</v>
      </c>
      <c r="M2545" t="str">
        <f>UPPER(TEXT(_2020_2022[[#This Row],[Data da Venda]],"mmm"))</f>
        <v>MAI</v>
      </c>
    </row>
    <row r="2546" spans="1:13" x14ac:dyDescent="0.25">
      <c r="A2546" t="s">
        <v>22</v>
      </c>
      <c r="B2546">
        <v>5200</v>
      </c>
      <c r="C2546">
        <v>4</v>
      </c>
      <c r="D2546" t="s">
        <v>31</v>
      </c>
      <c r="E2546" t="s">
        <v>645</v>
      </c>
      <c r="F2546" t="s">
        <v>967</v>
      </c>
      <c r="G2546" t="s">
        <v>643</v>
      </c>
      <c r="H2546">
        <v>38</v>
      </c>
      <c r="I2546" t="s">
        <v>644</v>
      </c>
      <c r="J2546">
        <v>20800</v>
      </c>
      <c r="K2546" s="1">
        <v>44246</v>
      </c>
      <c r="L2546">
        <v>2021</v>
      </c>
      <c r="M2546" t="str">
        <f>UPPER(TEXT(_2020_2022[[#This Row],[Data da Venda]],"mmm"))</f>
        <v>FEV</v>
      </c>
    </row>
    <row r="2547" spans="1:13" x14ac:dyDescent="0.25">
      <c r="A2547" t="s">
        <v>1444</v>
      </c>
      <c r="B2547">
        <v>1500</v>
      </c>
      <c r="C2547">
        <v>4</v>
      </c>
      <c r="D2547" t="s">
        <v>30</v>
      </c>
      <c r="E2547" t="s">
        <v>645</v>
      </c>
      <c r="F2547" t="s">
        <v>765</v>
      </c>
      <c r="G2547" t="s">
        <v>650</v>
      </c>
      <c r="H2547">
        <v>73</v>
      </c>
      <c r="I2547" t="s">
        <v>647</v>
      </c>
      <c r="J2547">
        <v>6000</v>
      </c>
      <c r="K2547" s="1">
        <v>44329</v>
      </c>
      <c r="L2547">
        <v>2021</v>
      </c>
      <c r="M2547" t="str">
        <f>UPPER(TEXT(_2020_2022[[#This Row],[Data da Venda]],"mmm"))</f>
        <v>MAI</v>
      </c>
    </row>
    <row r="2548" spans="1:13" x14ac:dyDescent="0.25">
      <c r="A2548" t="s">
        <v>26</v>
      </c>
      <c r="B2548">
        <v>1100</v>
      </c>
      <c r="C2548">
        <v>2</v>
      </c>
      <c r="D2548" t="s">
        <v>31</v>
      </c>
      <c r="E2548" t="s">
        <v>645</v>
      </c>
      <c r="F2548" t="s">
        <v>1293</v>
      </c>
      <c r="G2548" t="s">
        <v>650</v>
      </c>
      <c r="H2548">
        <v>38</v>
      </c>
      <c r="I2548" t="s">
        <v>644</v>
      </c>
      <c r="J2548">
        <v>2200</v>
      </c>
      <c r="K2548" s="1">
        <v>44512</v>
      </c>
      <c r="L2548">
        <v>2021</v>
      </c>
      <c r="M2548" t="str">
        <f>UPPER(TEXT(_2020_2022[[#This Row],[Data da Venda]],"mmm"))</f>
        <v>NOV</v>
      </c>
    </row>
    <row r="2549" spans="1:13" x14ac:dyDescent="0.25">
      <c r="A2549" t="s">
        <v>13</v>
      </c>
      <c r="B2549">
        <v>2300</v>
      </c>
      <c r="C2549">
        <v>4</v>
      </c>
      <c r="D2549" t="s">
        <v>33</v>
      </c>
      <c r="E2549" t="s">
        <v>641</v>
      </c>
      <c r="F2549" t="s">
        <v>1337</v>
      </c>
      <c r="G2549" t="s">
        <v>643</v>
      </c>
      <c r="H2549">
        <v>29</v>
      </c>
      <c r="I2549" t="s">
        <v>651</v>
      </c>
      <c r="J2549">
        <v>9200</v>
      </c>
      <c r="K2549" s="1">
        <v>44252</v>
      </c>
      <c r="L2549">
        <v>2021</v>
      </c>
      <c r="M2549" t="str">
        <f>UPPER(TEXT(_2020_2022[[#This Row],[Data da Venda]],"mmm"))</f>
        <v>FEV</v>
      </c>
    </row>
    <row r="2550" spans="1:13" x14ac:dyDescent="0.25">
      <c r="A2550" t="s">
        <v>9</v>
      </c>
      <c r="B2550">
        <v>1500</v>
      </c>
      <c r="C2550">
        <v>1</v>
      </c>
      <c r="D2550" t="s">
        <v>34</v>
      </c>
      <c r="E2550" t="s">
        <v>679</v>
      </c>
      <c r="F2550" t="s">
        <v>873</v>
      </c>
      <c r="G2550" t="s">
        <v>643</v>
      </c>
      <c r="H2550">
        <v>62</v>
      </c>
      <c r="I2550" t="s">
        <v>647</v>
      </c>
      <c r="J2550">
        <v>1500</v>
      </c>
      <c r="K2550" s="1">
        <v>44207</v>
      </c>
      <c r="L2550">
        <v>2021</v>
      </c>
      <c r="M2550" t="str">
        <f>UPPER(TEXT(_2020_2022[[#This Row],[Data da Venda]],"mmm"))</f>
        <v>JAN</v>
      </c>
    </row>
    <row r="2551" spans="1:13" x14ac:dyDescent="0.25">
      <c r="A2551" t="s">
        <v>11</v>
      </c>
      <c r="B2551">
        <v>4500</v>
      </c>
      <c r="C2551">
        <v>4</v>
      </c>
      <c r="D2551" t="s">
        <v>40</v>
      </c>
      <c r="E2551" t="s">
        <v>657</v>
      </c>
      <c r="F2551" t="s">
        <v>1013</v>
      </c>
      <c r="G2551" t="s">
        <v>643</v>
      </c>
      <c r="H2551">
        <v>38</v>
      </c>
      <c r="I2551" t="s">
        <v>644</v>
      </c>
      <c r="J2551">
        <v>18000</v>
      </c>
      <c r="K2551" s="1">
        <v>44311</v>
      </c>
      <c r="L2551">
        <v>2021</v>
      </c>
      <c r="M2551" t="str">
        <f>UPPER(TEXT(_2020_2022[[#This Row],[Data da Venda]],"mmm"))</f>
        <v>ABR</v>
      </c>
    </row>
    <row r="2552" spans="1:13" x14ac:dyDescent="0.25">
      <c r="A2552" t="s">
        <v>24</v>
      </c>
      <c r="B2552">
        <v>2000</v>
      </c>
      <c r="C2552">
        <v>3</v>
      </c>
      <c r="D2552" t="s">
        <v>40</v>
      </c>
      <c r="E2552" t="s">
        <v>657</v>
      </c>
      <c r="F2552" t="s">
        <v>1150</v>
      </c>
      <c r="G2552" t="s">
        <v>643</v>
      </c>
      <c r="H2552">
        <v>25</v>
      </c>
      <c r="I2552" t="s">
        <v>651</v>
      </c>
      <c r="J2552">
        <v>6000</v>
      </c>
      <c r="K2552" s="1">
        <v>44479</v>
      </c>
      <c r="L2552">
        <v>2021</v>
      </c>
      <c r="M2552" t="str">
        <f>UPPER(TEXT(_2020_2022[[#This Row],[Data da Venda]],"mmm"))</f>
        <v>OUT</v>
      </c>
    </row>
    <row r="2553" spans="1:13" x14ac:dyDescent="0.25">
      <c r="A2553" t="s">
        <v>22</v>
      </c>
      <c r="B2553">
        <v>5200</v>
      </c>
      <c r="C2553">
        <v>3</v>
      </c>
      <c r="D2553" t="s">
        <v>29</v>
      </c>
      <c r="E2553" t="s">
        <v>641</v>
      </c>
      <c r="F2553" t="s">
        <v>714</v>
      </c>
      <c r="G2553" t="s">
        <v>650</v>
      </c>
      <c r="H2553">
        <v>31</v>
      </c>
      <c r="I2553" t="s">
        <v>644</v>
      </c>
      <c r="J2553">
        <v>15600</v>
      </c>
      <c r="K2553" s="1">
        <v>44533</v>
      </c>
      <c r="L2553">
        <v>2021</v>
      </c>
      <c r="M2553" t="str">
        <f>UPPER(TEXT(_2020_2022[[#This Row],[Data da Venda]],"mmm"))</f>
        <v>DEZ</v>
      </c>
    </row>
    <row r="2554" spans="1:13" x14ac:dyDescent="0.25">
      <c r="A2554" t="s">
        <v>22</v>
      </c>
      <c r="B2554">
        <v>5200</v>
      </c>
      <c r="C2554">
        <v>3</v>
      </c>
      <c r="D2554" t="s">
        <v>37</v>
      </c>
      <c r="E2554" t="s">
        <v>645</v>
      </c>
      <c r="F2554" t="s">
        <v>1116</v>
      </c>
      <c r="G2554" t="s">
        <v>643</v>
      </c>
      <c r="H2554">
        <v>34</v>
      </c>
      <c r="I2554" t="s">
        <v>644</v>
      </c>
      <c r="J2554">
        <v>15600</v>
      </c>
      <c r="K2554" s="1">
        <v>44421</v>
      </c>
      <c r="L2554">
        <v>2021</v>
      </c>
      <c r="M2554" t="str">
        <f>UPPER(TEXT(_2020_2022[[#This Row],[Data da Venda]],"mmm"))</f>
        <v>AGO</v>
      </c>
    </row>
    <row r="2555" spans="1:13" x14ac:dyDescent="0.25">
      <c r="A2555" t="s">
        <v>1442</v>
      </c>
      <c r="B2555">
        <v>1200</v>
      </c>
      <c r="C2555">
        <v>3</v>
      </c>
      <c r="D2555" t="s">
        <v>40</v>
      </c>
      <c r="E2555" t="s">
        <v>657</v>
      </c>
      <c r="F2555" t="s">
        <v>926</v>
      </c>
      <c r="G2555" t="s">
        <v>643</v>
      </c>
      <c r="H2555">
        <v>50</v>
      </c>
      <c r="I2555" t="s">
        <v>644</v>
      </c>
      <c r="J2555">
        <v>3600</v>
      </c>
      <c r="K2555" s="1">
        <v>44207</v>
      </c>
      <c r="L2555">
        <v>2021</v>
      </c>
      <c r="M2555" t="str">
        <f>UPPER(TEXT(_2020_2022[[#This Row],[Data da Venda]],"mmm"))</f>
        <v>JAN</v>
      </c>
    </row>
    <row r="2556" spans="1:13" x14ac:dyDescent="0.25">
      <c r="A2556" t="s">
        <v>18</v>
      </c>
      <c r="B2556">
        <v>3000</v>
      </c>
      <c r="C2556">
        <v>4</v>
      </c>
      <c r="D2556" t="s">
        <v>32</v>
      </c>
      <c r="E2556" t="s">
        <v>652</v>
      </c>
      <c r="F2556" t="s">
        <v>1024</v>
      </c>
      <c r="G2556" t="s">
        <v>643</v>
      </c>
      <c r="H2556">
        <v>76</v>
      </c>
      <c r="I2556" t="s">
        <v>647</v>
      </c>
      <c r="J2556">
        <v>12000</v>
      </c>
      <c r="K2556" s="1">
        <v>44398</v>
      </c>
      <c r="L2556">
        <v>2021</v>
      </c>
      <c r="M2556" t="str">
        <f>UPPER(TEXT(_2020_2022[[#This Row],[Data da Venda]],"mmm"))</f>
        <v>JUL</v>
      </c>
    </row>
    <row r="2557" spans="1:13" x14ac:dyDescent="0.25">
      <c r="A2557" t="s">
        <v>5</v>
      </c>
      <c r="B2557">
        <v>1750</v>
      </c>
      <c r="C2557">
        <v>2</v>
      </c>
      <c r="D2557" t="s">
        <v>31</v>
      </c>
      <c r="E2557" t="s">
        <v>645</v>
      </c>
      <c r="F2557" t="s">
        <v>923</v>
      </c>
      <c r="G2557" t="s">
        <v>650</v>
      </c>
      <c r="H2557">
        <v>57</v>
      </c>
      <c r="I2557" t="s">
        <v>647</v>
      </c>
      <c r="J2557">
        <v>3500</v>
      </c>
      <c r="K2557" s="1">
        <v>44361</v>
      </c>
      <c r="L2557">
        <v>2021</v>
      </c>
      <c r="M2557" t="str">
        <f>UPPER(TEXT(_2020_2022[[#This Row],[Data da Venda]],"mmm"))</f>
        <v>JUN</v>
      </c>
    </row>
    <row r="2558" spans="1:13" x14ac:dyDescent="0.25">
      <c r="A2558" t="s">
        <v>26</v>
      </c>
      <c r="B2558">
        <v>1100</v>
      </c>
      <c r="C2558">
        <v>2</v>
      </c>
      <c r="D2558" t="s">
        <v>29</v>
      </c>
      <c r="E2558" t="s">
        <v>641</v>
      </c>
      <c r="F2558" t="s">
        <v>1364</v>
      </c>
      <c r="G2558" t="s">
        <v>643</v>
      </c>
      <c r="H2558">
        <v>60</v>
      </c>
      <c r="I2558" t="s">
        <v>647</v>
      </c>
      <c r="J2558">
        <v>2200</v>
      </c>
      <c r="K2558" s="1">
        <v>44391</v>
      </c>
      <c r="L2558">
        <v>2021</v>
      </c>
      <c r="M2558" t="str">
        <f>UPPER(TEXT(_2020_2022[[#This Row],[Data da Venda]],"mmm"))</f>
        <v>JUL</v>
      </c>
    </row>
    <row r="2559" spans="1:13" x14ac:dyDescent="0.25">
      <c r="A2559" t="s">
        <v>1440</v>
      </c>
      <c r="B2559">
        <v>700</v>
      </c>
      <c r="C2559">
        <v>5</v>
      </c>
      <c r="D2559" t="s">
        <v>35</v>
      </c>
      <c r="E2559" t="s">
        <v>666</v>
      </c>
      <c r="F2559" t="s">
        <v>961</v>
      </c>
      <c r="G2559" t="s">
        <v>650</v>
      </c>
      <c r="H2559">
        <v>25</v>
      </c>
      <c r="I2559" t="s">
        <v>651</v>
      </c>
      <c r="J2559">
        <v>3500</v>
      </c>
      <c r="K2559" s="1">
        <v>44384</v>
      </c>
      <c r="L2559">
        <v>2021</v>
      </c>
      <c r="M2559" t="str">
        <f>UPPER(TEXT(_2020_2022[[#This Row],[Data da Venda]],"mmm"))</f>
        <v>JUL</v>
      </c>
    </row>
    <row r="2560" spans="1:13" x14ac:dyDescent="0.25">
      <c r="A2560" t="s">
        <v>25</v>
      </c>
      <c r="B2560">
        <v>2500</v>
      </c>
      <c r="C2560">
        <v>1</v>
      </c>
      <c r="D2560" t="s">
        <v>30</v>
      </c>
      <c r="E2560" t="s">
        <v>645</v>
      </c>
      <c r="F2560" t="s">
        <v>1047</v>
      </c>
      <c r="G2560" t="s">
        <v>650</v>
      </c>
      <c r="H2560">
        <v>29</v>
      </c>
      <c r="I2560" t="s">
        <v>651</v>
      </c>
      <c r="J2560">
        <v>2500</v>
      </c>
      <c r="K2560" s="1">
        <v>44452</v>
      </c>
      <c r="L2560">
        <v>2021</v>
      </c>
      <c r="M2560" t="str">
        <f>UPPER(TEXT(_2020_2022[[#This Row],[Data da Venda]],"mmm"))</f>
        <v>SET</v>
      </c>
    </row>
    <row r="2561" spans="1:13" x14ac:dyDescent="0.25">
      <c r="A2561" t="s">
        <v>22</v>
      </c>
      <c r="B2561">
        <v>5200</v>
      </c>
      <c r="C2561">
        <v>2</v>
      </c>
      <c r="D2561" t="s">
        <v>36</v>
      </c>
      <c r="E2561" t="s">
        <v>677</v>
      </c>
      <c r="F2561" t="s">
        <v>976</v>
      </c>
      <c r="G2561" t="s">
        <v>643</v>
      </c>
      <c r="H2561">
        <v>34</v>
      </c>
      <c r="I2561" t="s">
        <v>644</v>
      </c>
      <c r="J2561">
        <v>10400</v>
      </c>
      <c r="K2561" s="1">
        <v>44368</v>
      </c>
      <c r="L2561">
        <v>2021</v>
      </c>
      <c r="M2561" t="str">
        <f>UPPER(TEXT(_2020_2022[[#This Row],[Data da Venda]],"mmm"))</f>
        <v>JUN</v>
      </c>
    </row>
    <row r="2562" spans="1:13" x14ac:dyDescent="0.25">
      <c r="A2562" t="s">
        <v>1440</v>
      </c>
      <c r="B2562">
        <v>700</v>
      </c>
      <c r="C2562">
        <v>5</v>
      </c>
      <c r="D2562" t="s">
        <v>41</v>
      </c>
      <c r="E2562" t="s">
        <v>681</v>
      </c>
      <c r="F2562" t="s">
        <v>1347</v>
      </c>
      <c r="G2562" t="s">
        <v>643</v>
      </c>
      <c r="H2562">
        <v>30</v>
      </c>
      <c r="I2562" t="s">
        <v>644</v>
      </c>
      <c r="J2562">
        <v>3500</v>
      </c>
      <c r="K2562" s="1">
        <v>44305</v>
      </c>
      <c r="L2562">
        <v>2021</v>
      </c>
      <c r="M2562" t="str">
        <f>UPPER(TEXT(_2020_2022[[#This Row],[Data da Venda]],"mmm"))</f>
        <v>ABR</v>
      </c>
    </row>
    <row r="2563" spans="1:13" x14ac:dyDescent="0.25">
      <c r="A2563" t="s">
        <v>22</v>
      </c>
      <c r="B2563">
        <v>5200</v>
      </c>
      <c r="C2563">
        <v>2</v>
      </c>
      <c r="D2563" t="s">
        <v>33</v>
      </c>
      <c r="E2563" t="s">
        <v>641</v>
      </c>
      <c r="F2563" t="s">
        <v>1306</v>
      </c>
      <c r="G2563" t="s">
        <v>650</v>
      </c>
      <c r="H2563">
        <v>28</v>
      </c>
      <c r="I2563" t="s">
        <v>651</v>
      </c>
      <c r="J2563">
        <v>10400</v>
      </c>
      <c r="K2563" s="1">
        <v>44300</v>
      </c>
      <c r="L2563">
        <v>2021</v>
      </c>
      <c r="M2563" t="str">
        <f>UPPER(TEXT(_2020_2022[[#This Row],[Data da Venda]],"mmm"))</f>
        <v>ABR</v>
      </c>
    </row>
    <row r="2564" spans="1:13" x14ac:dyDescent="0.25">
      <c r="A2564" t="s">
        <v>1442</v>
      </c>
      <c r="B2564">
        <v>1200</v>
      </c>
      <c r="C2564">
        <v>5</v>
      </c>
      <c r="D2564" t="s">
        <v>34</v>
      </c>
      <c r="E2564" t="s">
        <v>679</v>
      </c>
      <c r="F2564" t="s">
        <v>1141</v>
      </c>
      <c r="G2564" t="s">
        <v>643</v>
      </c>
      <c r="H2564">
        <v>43</v>
      </c>
      <c r="I2564" t="s">
        <v>644</v>
      </c>
      <c r="J2564">
        <v>6000</v>
      </c>
      <c r="K2564" s="1">
        <v>44205</v>
      </c>
      <c r="L2564">
        <v>2021</v>
      </c>
      <c r="M2564" t="str">
        <f>UPPER(TEXT(_2020_2022[[#This Row],[Data da Venda]],"mmm"))</f>
        <v>JAN</v>
      </c>
    </row>
    <row r="2565" spans="1:13" x14ac:dyDescent="0.25">
      <c r="A2565" t="s">
        <v>18</v>
      </c>
      <c r="B2565">
        <v>3000</v>
      </c>
      <c r="C2565">
        <v>1</v>
      </c>
      <c r="D2565" t="s">
        <v>34</v>
      </c>
      <c r="E2565" t="s">
        <v>679</v>
      </c>
      <c r="F2565" t="s">
        <v>873</v>
      </c>
      <c r="G2565" t="s">
        <v>643</v>
      </c>
      <c r="H2565">
        <v>62</v>
      </c>
      <c r="I2565" t="s">
        <v>647</v>
      </c>
      <c r="J2565">
        <v>3000</v>
      </c>
      <c r="K2565" s="1">
        <v>44305</v>
      </c>
      <c r="L2565">
        <v>2021</v>
      </c>
      <c r="M2565" t="str">
        <f>UPPER(TEXT(_2020_2022[[#This Row],[Data da Venda]],"mmm"))</f>
        <v>ABR</v>
      </c>
    </row>
    <row r="2566" spans="1:13" x14ac:dyDescent="0.25">
      <c r="A2566" t="s">
        <v>1443</v>
      </c>
      <c r="B2566">
        <v>1550</v>
      </c>
      <c r="C2566">
        <v>2</v>
      </c>
      <c r="D2566" t="s">
        <v>41</v>
      </c>
      <c r="E2566" t="s">
        <v>681</v>
      </c>
      <c r="F2566" t="s">
        <v>1092</v>
      </c>
      <c r="G2566" t="s">
        <v>643</v>
      </c>
      <c r="H2566">
        <v>59</v>
      </c>
      <c r="I2566" t="s">
        <v>647</v>
      </c>
      <c r="J2566">
        <v>3100</v>
      </c>
      <c r="K2566" s="1">
        <v>44408</v>
      </c>
      <c r="L2566">
        <v>2021</v>
      </c>
      <c r="M2566" t="str">
        <f>UPPER(TEXT(_2020_2022[[#This Row],[Data da Venda]],"mmm"))</f>
        <v>JUL</v>
      </c>
    </row>
    <row r="2567" spans="1:13" x14ac:dyDescent="0.25">
      <c r="A2567" t="s">
        <v>12</v>
      </c>
      <c r="B2567">
        <v>6500</v>
      </c>
      <c r="C2567">
        <v>4</v>
      </c>
      <c r="D2567" t="s">
        <v>34</v>
      </c>
      <c r="E2567" t="s">
        <v>679</v>
      </c>
      <c r="F2567" t="s">
        <v>1244</v>
      </c>
      <c r="G2567" t="s">
        <v>643</v>
      </c>
      <c r="H2567">
        <v>48</v>
      </c>
      <c r="I2567" t="s">
        <v>644</v>
      </c>
      <c r="J2567">
        <v>26000</v>
      </c>
      <c r="K2567" s="1">
        <v>44444</v>
      </c>
      <c r="L2567">
        <v>2021</v>
      </c>
      <c r="M2567" t="str">
        <f>UPPER(TEXT(_2020_2022[[#This Row],[Data da Venda]],"mmm"))</f>
        <v>SET</v>
      </c>
    </row>
    <row r="2568" spans="1:13" x14ac:dyDescent="0.25">
      <c r="A2568" t="s">
        <v>16</v>
      </c>
      <c r="B2568">
        <v>1400</v>
      </c>
      <c r="C2568">
        <v>3</v>
      </c>
      <c r="D2568" t="s">
        <v>38</v>
      </c>
      <c r="E2568" t="s">
        <v>648</v>
      </c>
      <c r="F2568" t="s">
        <v>894</v>
      </c>
      <c r="G2568" t="s">
        <v>643</v>
      </c>
      <c r="H2568">
        <v>73</v>
      </c>
      <c r="I2568" t="s">
        <v>647</v>
      </c>
      <c r="J2568">
        <v>4200</v>
      </c>
      <c r="K2568" s="1">
        <v>44515</v>
      </c>
      <c r="L2568">
        <v>2021</v>
      </c>
      <c r="M2568" t="str">
        <f>UPPER(TEXT(_2020_2022[[#This Row],[Data da Venda]],"mmm"))</f>
        <v>NOV</v>
      </c>
    </row>
    <row r="2569" spans="1:13" x14ac:dyDescent="0.25">
      <c r="A2569" t="s">
        <v>9</v>
      </c>
      <c r="B2569">
        <v>1500</v>
      </c>
      <c r="C2569">
        <v>3</v>
      </c>
      <c r="D2569" t="s">
        <v>41</v>
      </c>
      <c r="E2569" t="s">
        <v>681</v>
      </c>
      <c r="F2569" t="s">
        <v>1066</v>
      </c>
      <c r="G2569" t="s">
        <v>643</v>
      </c>
      <c r="H2569">
        <v>61</v>
      </c>
      <c r="I2569" t="s">
        <v>647</v>
      </c>
      <c r="J2569">
        <v>4500</v>
      </c>
      <c r="K2569" s="1">
        <v>44235</v>
      </c>
      <c r="L2569">
        <v>2021</v>
      </c>
      <c r="M2569" t="str">
        <f>UPPER(TEXT(_2020_2022[[#This Row],[Data da Venda]],"mmm"))</f>
        <v>FEV</v>
      </c>
    </row>
    <row r="2570" spans="1:13" x14ac:dyDescent="0.25">
      <c r="A2570" t="s">
        <v>1443</v>
      </c>
      <c r="B2570">
        <v>1550</v>
      </c>
      <c r="C2570">
        <v>2</v>
      </c>
      <c r="D2570" t="s">
        <v>39</v>
      </c>
      <c r="E2570" t="s">
        <v>641</v>
      </c>
      <c r="F2570" t="s">
        <v>1163</v>
      </c>
      <c r="G2570" t="s">
        <v>650</v>
      </c>
      <c r="H2570">
        <v>42</v>
      </c>
      <c r="I2570" t="s">
        <v>644</v>
      </c>
      <c r="J2570">
        <v>3100</v>
      </c>
      <c r="K2570" s="1">
        <v>44419</v>
      </c>
      <c r="L2570">
        <v>2021</v>
      </c>
      <c r="M2570" t="str">
        <f>UPPER(TEXT(_2020_2022[[#This Row],[Data da Venda]],"mmm"))</f>
        <v>AGO</v>
      </c>
    </row>
    <row r="2571" spans="1:13" x14ac:dyDescent="0.25">
      <c r="A2571" t="s">
        <v>18</v>
      </c>
      <c r="B2571">
        <v>3000</v>
      </c>
      <c r="C2571">
        <v>3</v>
      </c>
      <c r="D2571" t="s">
        <v>34</v>
      </c>
      <c r="E2571" t="s">
        <v>679</v>
      </c>
      <c r="F2571" t="s">
        <v>705</v>
      </c>
      <c r="G2571" t="s">
        <v>650</v>
      </c>
      <c r="H2571">
        <v>26</v>
      </c>
      <c r="I2571" t="s">
        <v>651</v>
      </c>
      <c r="J2571">
        <v>9000</v>
      </c>
      <c r="K2571" s="1">
        <v>44368</v>
      </c>
      <c r="L2571">
        <v>2021</v>
      </c>
      <c r="M2571" t="str">
        <f>UPPER(TEXT(_2020_2022[[#This Row],[Data da Venda]],"mmm"))</f>
        <v>JUN</v>
      </c>
    </row>
    <row r="2572" spans="1:13" x14ac:dyDescent="0.25">
      <c r="A2572" t="s">
        <v>18</v>
      </c>
      <c r="B2572">
        <v>3000</v>
      </c>
      <c r="C2572">
        <v>2</v>
      </c>
      <c r="D2572" t="s">
        <v>34</v>
      </c>
      <c r="E2572" t="s">
        <v>679</v>
      </c>
      <c r="F2572" t="s">
        <v>1401</v>
      </c>
      <c r="G2572" t="s">
        <v>643</v>
      </c>
      <c r="H2572">
        <v>38</v>
      </c>
      <c r="I2572" t="s">
        <v>644</v>
      </c>
      <c r="J2572">
        <v>6000</v>
      </c>
      <c r="K2572" s="1">
        <v>44330</v>
      </c>
      <c r="L2572">
        <v>2021</v>
      </c>
      <c r="M2572" t="str">
        <f>UPPER(TEXT(_2020_2022[[#This Row],[Data da Venda]],"mmm"))</f>
        <v>MAI</v>
      </c>
    </row>
    <row r="2573" spans="1:13" x14ac:dyDescent="0.25">
      <c r="A2573" t="s">
        <v>5</v>
      </c>
      <c r="B2573">
        <v>1750</v>
      </c>
      <c r="C2573">
        <v>5</v>
      </c>
      <c r="D2573" t="s">
        <v>37</v>
      </c>
      <c r="E2573" t="s">
        <v>645</v>
      </c>
      <c r="F2573" t="s">
        <v>668</v>
      </c>
      <c r="G2573" t="s">
        <v>650</v>
      </c>
      <c r="H2573">
        <v>57</v>
      </c>
      <c r="I2573" t="s">
        <v>647</v>
      </c>
      <c r="J2573">
        <v>8750</v>
      </c>
      <c r="K2573" s="1">
        <v>44298</v>
      </c>
      <c r="L2573">
        <v>2021</v>
      </c>
      <c r="M2573" t="str">
        <f>UPPER(TEXT(_2020_2022[[#This Row],[Data da Venda]],"mmm"))</f>
        <v>ABR</v>
      </c>
    </row>
    <row r="2574" spans="1:13" x14ac:dyDescent="0.25">
      <c r="A2574" t="s">
        <v>14</v>
      </c>
      <c r="B2574">
        <v>2000</v>
      </c>
      <c r="C2574">
        <v>3</v>
      </c>
      <c r="D2574" t="s">
        <v>40</v>
      </c>
      <c r="E2574" t="s">
        <v>657</v>
      </c>
      <c r="F2574" t="s">
        <v>1037</v>
      </c>
      <c r="G2574" t="s">
        <v>650</v>
      </c>
      <c r="H2574">
        <v>36</v>
      </c>
      <c r="I2574" t="s">
        <v>644</v>
      </c>
      <c r="J2574">
        <v>6000</v>
      </c>
      <c r="K2574" s="1">
        <v>44395</v>
      </c>
      <c r="L2574">
        <v>2021</v>
      </c>
      <c r="M2574" t="str">
        <f>UPPER(TEXT(_2020_2022[[#This Row],[Data da Venda]],"mmm"))</f>
        <v>JUL</v>
      </c>
    </row>
    <row r="2575" spans="1:13" x14ac:dyDescent="0.25">
      <c r="A2575" t="s">
        <v>1443</v>
      </c>
      <c r="B2575">
        <v>1550</v>
      </c>
      <c r="C2575">
        <v>5</v>
      </c>
      <c r="D2575" t="s">
        <v>40</v>
      </c>
      <c r="E2575" t="s">
        <v>657</v>
      </c>
      <c r="F2575" t="s">
        <v>1028</v>
      </c>
      <c r="G2575" t="s">
        <v>650</v>
      </c>
      <c r="H2575">
        <v>55</v>
      </c>
      <c r="I2575" t="s">
        <v>647</v>
      </c>
      <c r="J2575">
        <v>7750</v>
      </c>
      <c r="K2575" s="1">
        <v>44250</v>
      </c>
      <c r="L2575">
        <v>2021</v>
      </c>
      <c r="M2575" t="str">
        <f>UPPER(TEXT(_2020_2022[[#This Row],[Data da Venda]],"mmm"))</f>
        <v>FEV</v>
      </c>
    </row>
    <row r="2576" spans="1:13" x14ac:dyDescent="0.25">
      <c r="A2576" t="s">
        <v>1443</v>
      </c>
      <c r="B2576">
        <v>1550</v>
      </c>
      <c r="C2576">
        <v>4</v>
      </c>
      <c r="D2576" t="s">
        <v>39</v>
      </c>
      <c r="E2576" t="s">
        <v>641</v>
      </c>
      <c r="F2576" t="s">
        <v>1001</v>
      </c>
      <c r="G2576" t="s">
        <v>643</v>
      </c>
      <c r="H2576">
        <v>40</v>
      </c>
      <c r="I2576" t="s">
        <v>644</v>
      </c>
      <c r="J2576">
        <v>6200</v>
      </c>
      <c r="K2576" s="1">
        <v>44413</v>
      </c>
      <c r="L2576">
        <v>2021</v>
      </c>
      <c r="M2576" t="str">
        <f>UPPER(TEXT(_2020_2022[[#This Row],[Data da Venda]],"mmm"))</f>
        <v>AGO</v>
      </c>
    </row>
    <row r="2577" spans="1:13" x14ac:dyDescent="0.25">
      <c r="A2577" t="s">
        <v>1443</v>
      </c>
      <c r="B2577">
        <v>1550</v>
      </c>
      <c r="C2577">
        <v>2</v>
      </c>
      <c r="D2577" t="s">
        <v>38</v>
      </c>
      <c r="E2577" t="s">
        <v>648</v>
      </c>
      <c r="F2577" t="s">
        <v>656</v>
      </c>
      <c r="G2577" t="s">
        <v>643</v>
      </c>
      <c r="H2577">
        <v>37</v>
      </c>
      <c r="I2577" t="s">
        <v>644</v>
      </c>
      <c r="J2577">
        <v>3100</v>
      </c>
      <c r="K2577" s="1">
        <v>44314</v>
      </c>
      <c r="L2577">
        <v>2021</v>
      </c>
      <c r="M2577" t="str">
        <f>UPPER(TEXT(_2020_2022[[#This Row],[Data da Venda]],"mmm"))</f>
        <v>ABR</v>
      </c>
    </row>
    <row r="2578" spans="1:13" x14ac:dyDescent="0.25">
      <c r="A2578" t="s">
        <v>7</v>
      </c>
      <c r="B2578">
        <v>750</v>
      </c>
      <c r="C2578">
        <v>1</v>
      </c>
      <c r="D2578" t="s">
        <v>40</v>
      </c>
      <c r="E2578" t="s">
        <v>657</v>
      </c>
      <c r="F2578" t="s">
        <v>1222</v>
      </c>
      <c r="G2578" t="s">
        <v>643</v>
      </c>
      <c r="H2578">
        <v>52</v>
      </c>
      <c r="I2578" t="s">
        <v>647</v>
      </c>
      <c r="J2578">
        <v>750</v>
      </c>
      <c r="K2578" s="1">
        <v>44307</v>
      </c>
      <c r="L2578">
        <v>2021</v>
      </c>
      <c r="M2578" t="str">
        <f>UPPER(TEXT(_2020_2022[[#This Row],[Data da Venda]],"mmm"))</f>
        <v>ABR</v>
      </c>
    </row>
    <row r="2579" spans="1:13" x14ac:dyDescent="0.25">
      <c r="A2579" t="s">
        <v>16</v>
      </c>
      <c r="B2579">
        <v>1400</v>
      </c>
      <c r="C2579">
        <v>4</v>
      </c>
      <c r="D2579" t="s">
        <v>35</v>
      </c>
      <c r="E2579" t="s">
        <v>666</v>
      </c>
      <c r="F2579" t="s">
        <v>1343</v>
      </c>
      <c r="G2579" t="s">
        <v>650</v>
      </c>
      <c r="H2579">
        <v>33</v>
      </c>
      <c r="I2579" t="s">
        <v>644</v>
      </c>
      <c r="J2579">
        <v>5600</v>
      </c>
      <c r="K2579" s="1">
        <v>44264</v>
      </c>
      <c r="L2579">
        <v>2021</v>
      </c>
      <c r="M2579" t="str">
        <f>UPPER(TEXT(_2020_2022[[#This Row],[Data da Venda]],"mmm"))</f>
        <v>MAR</v>
      </c>
    </row>
    <row r="2580" spans="1:13" x14ac:dyDescent="0.25">
      <c r="A2580" t="s">
        <v>15</v>
      </c>
      <c r="B2580">
        <v>1900</v>
      </c>
      <c r="C2580">
        <v>2</v>
      </c>
      <c r="D2580" t="s">
        <v>29</v>
      </c>
      <c r="E2580" t="s">
        <v>641</v>
      </c>
      <c r="F2580" t="s">
        <v>708</v>
      </c>
      <c r="G2580" t="s">
        <v>650</v>
      </c>
      <c r="H2580">
        <v>35</v>
      </c>
      <c r="I2580" t="s">
        <v>644</v>
      </c>
      <c r="J2580">
        <v>3800</v>
      </c>
      <c r="K2580" s="1">
        <v>44446</v>
      </c>
      <c r="L2580">
        <v>2021</v>
      </c>
      <c r="M2580" t="str">
        <f>UPPER(TEXT(_2020_2022[[#This Row],[Data da Venda]],"mmm"))</f>
        <v>SET</v>
      </c>
    </row>
    <row r="2581" spans="1:13" x14ac:dyDescent="0.25">
      <c r="A2581" t="s">
        <v>8</v>
      </c>
      <c r="B2581">
        <v>5500</v>
      </c>
      <c r="C2581">
        <v>4</v>
      </c>
      <c r="D2581" t="s">
        <v>40</v>
      </c>
      <c r="E2581" t="s">
        <v>657</v>
      </c>
      <c r="F2581" t="s">
        <v>800</v>
      </c>
      <c r="G2581" t="s">
        <v>650</v>
      </c>
      <c r="H2581">
        <v>58</v>
      </c>
      <c r="I2581" t="s">
        <v>647</v>
      </c>
      <c r="J2581">
        <v>22000</v>
      </c>
      <c r="K2581" s="1">
        <v>44472</v>
      </c>
      <c r="L2581">
        <v>2021</v>
      </c>
      <c r="M2581" t="str">
        <f>UPPER(TEXT(_2020_2022[[#This Row],[Data da Venda]],"mmm"))</f>
        <v>OUT</v>
      </c>
    </row>
    <row r="2582" spans="1:13" x14ac:dyDescent="0.25">
      <c r="A2582" t="s">
        <v>16</v>
      </c>
      <c r="B2582">
        <v>1400</v>
      </c>
      <c r="C2582">
        <v>4</v>
      </c>
      <c r="D2582" t="s">
        <v>31</v>
      </c>
      <c r="E2582" t="s">
        <v>645</v>
      </c>
      <c r="F2582" t="s">
        <v>1256</v>
      </c>
      <c r="G2582" t="s">
        <v>650</v>
      </c>
      <c r="H2582">
        <v>67</v>
      </c>
      <c r="I2582" t="s">
        <v>647</v>
      </c>
      <c r="J2582">
        <v>5600</v>
      </c>
      <c r="K2582" s="1">
        <v>44378</v>
      </c>
      <c r="L2582">
        <v>2021</v>
      </c>
      <c r="M2582" t="str">
        <f>UPPER(TEXT(_2020_2022[[#This Row],[Data da Venda]],"mmm"))</f>
        <v>JUL</v>
      </c>
    </row>
    <row r="2583" spans="1:13" x14ac:dyDescent="0.25">
      <c r="A2583" t="s">
        <v>28</v>
      </c>
      <c r="B2583">
        <v>1400</v>
      </c>
      <c r="C2583">
        <v>3</v>
      </c>
      <c r="D2583" t="s">
        <v>30</v>
      </c>
      <c r="E2583" t="s">
        <v>645</v>
      </c>
      <c r="F2583" t="s">
        <v>1402</v>
      </c>
      <c r="G2583" t="s">
        <v>650</v>
      </c>
      <c r="H2583">
        <v>68</v>
      </c>
      <c r="I2583" t="s">
        <v>647</v>
      </c>
      <c r="J2583">
        <v>4200</v>
      </c>
      <c r="K2583" s="1">
        <v>44377</v>
      </c>
      <c r="L2583">
        <v>2021</v>
      </c>
      <c r="M2583" t="str">
        <f>UPPER(TEXT(_2020_2022[[#This Row],[Data da Venda]],"mmm"))</f>
        <v>JUN</v>
      </c>
    </row>
    <row r="2584" spans="1:13" x14ac:dyDescent="0.25">
      <c r="A2584" t="s">
        <v>7</v>
      </c>
      <c r="B2584">
        <v>750</v>
      </c>
      <c r="C2584">
        <v>4</v>
      </c>
      <c r="D2584" t="s">
        <v>32</v>
      </c>
      <c r="E2584" t="s">
        <v>652</v>
      </c>
      <c r="F2584" t="s">
        <v>719</v>
      </c>
      <c r="G2584" t="s">
        <v>643</v>
      </c>
      <c r="H2584">
        <v>34</v>
      </c>
      <c r="I2584" t="s">
        <v>644</v>
      </c>
      <c r="J2584">
        <v>3000</v>
      </c>
      <c r="K2584" s="1">
        <v>44518</v>
      </c>
      <c r="L2584">
        <v>2021</v>
      </c>
      <c r="M2584" t="str">
        <f>UPPER(TEXT(_2020_2022[[#This Row],[Data da Venda]],"mmm"))</f>
        <v>NOV</v>
      </c>
    </row>
    <row r="2585" spans="1:13" x14ac:dyDescent="0.25">
      <c r="A2585" t="s">
        <v>26</v>
      </c>
      <c r="B2585">
        <v>1100</v>
      </c>
      <c r="C2585">
        <v>4</v>
      </c>
      <c r="D2585" t="s">
        <v>32</v>
      </c>
      <c r="E2585" t="s">
        <v>652</v>
      </c>
      <c r="F2585" t="s">
        <v>761</v>
      </c>
      <c r="G2585" t="s">
        <v>643</v>
      </c>
      <c r="H2585">
        <v>26</v>
      </c>
      <c r="I2585" t="s">
        <v>651</v>
      </c>
      <c r="J2585">
        <v>4400</v>
      </c>
      <c r="K2585" s="1">
        <v>44487</v>
      </c>
      <c r="L2585">
        <v>2021</v>
      </c>
      <c r="M2585" t="str">
        <f>UPPER(TEXT(_2020_2022[[#This Row],[Data da Venda]],"mmm"))</f>
        <v>OUT</v>
      </c>
    </row>
    <row r="2586" spans="1:13" x14ac:dyDescent="0.25">
      <c r="A2586" t="s">
        <v>25</v>
      </c>
      <c r="B2586">
        <v>2500</v>
      </c>
      <c r="C2586">
        <v>3</v>
      </c>
      <c r="D2586" t="s">
        <v>31</v>
      </c>
      <c r="E2586" t="s">
        <v>645</v>
      </c>
      <c r="F2586" t="s">
        <v>1077</v>
      </c>
      <c r="G2586" t="s">
        <v>643</v>
      </c>
      <c r="H2586">
        <v>31</v>
      </c>
      <c r="I2586" t="s">
        <v>644</v>
      </c>
      <c r="J2586">
        <v>7500</v>
      </c>
      <c r="K2586" s="1">
        <v>44238</v>
      </c>
      <c r="L2586">
        <v>2021</v>
      </c>
      <c r="M2586" t="str">
        <f>UPPER(TEXT(_2020_2022[[#This Row],[Data da Venda]],"mmm"))</f>
        <v>FEV</v>
      </c>
    </row>
    <row r="2587" spans="1:13" x14ac:dyDescent="0.25">
      <c r="A2587" t="s">
        <v>12</v>
      </c>
      <c r="B2587">
        <v>6500</v>
      </c>
      <c r="C2587">
        <v>3</v>
      </c>
      <c r="D2587" t="s">
        <v>29</v>
      </c>
      <c r="E2587" t="s">
        <v>641</v>
      </c>
      <c r="F2587" t="s">
        <v>1232</v>
      </c>
      <c r="G2587" t="s">
        <v>643</v>
      </c>
      <c r="H2587">
        <v>64</v>
      </c>
      <c r="I2587" t="s">
        <v>647</v>
      </c>
      <c r="J2587">
        <v>19500</v>
      </c>
      <c r="K2587" s="1">
        <v>44389</v>
      </c>
      <c r="L2587">
        <v>2021</v>
      </c>
      <c r="M2587" t="str">
        <f>UPPER(TEXT(_2020_2022[[#This Row],[Data da Venda]],"mmm"))</f>
        <v>JUL</v>
      </c>
    </row>
    <row r="2588" spans="1:13" x14ac:dyDescent="0.25">
      <c r="A2588" t="s">
        <v>7</v>
      </c>
      <c r="B2588">
        <v>750</v>
      </c>
      <c r="C2588">
        <v>5</v>
      </c>
      <c r="D2588" t="s">
        <v>30</v>
      </c>
      <c r="E2588" t="s">
        <v>645</v>
      </c>
      <c r="F2588" t="s">
        <v>1000</v>
      </c>
      <c r="G2588" t="s">
        <v>650</v>
      </c>
      <c r="H2588">
        <v>42</v>
      </c>
      <c r="I2588" t="s">
        <v>644</v>
      </c>
      <c r="J2588">
        <v>3750</v>
      </c>
      <c r="K2588" s="1">
        <v>44287</v>
      </c>
      <c r="L2588">
        <v>2021</v>
      </c>
      <c r="M2588" t="str">
        <f>UPPER(TEXT(_2020_2022[[#This Row],[Data da Venda]],"mmm"))</f>
        <v>ABR</v>
      </c>
    </row>
    <row r="2589" spans="1:13" x14ac:dyDescent="0.25">
      <c r="A2589" t="s">
        <v>9</v>
      </c>
      <c r="B2589">
        <v>1500</v>
      </c>
      <c r="C2589">
        <v>1</v>
      </c>
      <c r="D2589" t="s">
        <v>36</v>
      </c>
      <c r="E2589" t="s">
        <v>677</v>
      </c>
      <c r="F2589" t="s">
        <v>805</v>
      </c>
      <c r="G2589" t="s">
        <v>650</v>
      </c>
      <c r="H2589">
        <v>47</v>
      </c>
      <c r="I2589" t="s">
        <v>644</v>
      </c>
      <c r="J2589">
        <v>1500</v>
      </c>
      <c r="K2589" s="1">
        <v>44535</v>
      </c>
      <c r="L2589">
        <v>2021</v>
      </c>
      <c r="M2589" t="str">
        <f>UPPER(TEXT(_2020_2022[[#This Row],[Data da Venda]],"mmm"))</f>
        <v>DEZ</v>
      </c>
    </row>
    <row r="2590" spans="1:13" x14ac:dyDescent="0.25">
      <c r="A2590" t="s">
        <v>26</v>
      </c>
      <c r="B2590">
        <v>1100</v>
      </c>
      <c r="C2590">
        <v>1</v>
      </c>
      <c r="D2590" t="s">
        <v>34</v>
      </c>
      <c r="E2590" t="s">
        <v>679</v>
      </c>
      <c r="F2590" t="s">
        <v>929</v>
      </c>
      <c r="G2590" t="s">
        <v>643</v>
      </c>
      <c r="H2590">
        <v>69</v>
      </c>
      <c r="I2590" t="s">
        <v>647</v>
      </c>
      <c r="J2590">
        <v>1100</v>
      </c>
      <c r="K2590" s="1">
        <v>44322</v>
      </c>
      <c r="L2590">
        <v>2021</v>
      </c>
      <c r="M2590" t="str">
        <f>UPPER(TEXT(_2020_2022[[#This Row],[Data da Venda]],"mmm"))</f>
        <v>MAI</v>
      </c>
    </row>
    <row r="2591" spans="1:13" x14ac:dyDescent="0.25">
      <c r="A2591" t="s">
        <v>1444</v>
      </c>
      <c r="B2591">
        <v>1500</v>
      </c>
      <c r="C2591">
        <v>1</v>
      </c>
      <c r="D2591" t="s">
        <v>41</v>
      </c>
      <c r="E2591" t="s">
        <v>681</v>
      </c>
      <c r="F2591" t="s">
        <v>1048</v>
      </c>
      <c r="G2591" t="s">
        <v>643</v>
      </c>
      <c r="H2591">
        <v>38</v>
      </c>
      <c r="I2591" t="s">
        <v>644</v>
      </c>
      <c r="J2591">
        <v>1500</v>
      </c>
      <c r="K2591" s="1">
        <v>44510</v>
      </c>
      <c r="L2591">
        <v>2021</v>
      </c>
      <c r="M2591" t="str">
        <f>UPPER(TEXT(_2020_2022[[#This Row],[Data da Venda]],"mmm"))</f>
        <v>NOV</v>
      </c>
    </row>
    <row r="2592" spans="1:13" x14ac:dyDescent="0.25">
      <c r="A2592" t="s">
        <v>14</v>
      </c>
      <c r="B2592">
        <v>2000</v>
      </c>
      <c r="C2592">
        <v>4</v>
      </c>
      <c r="D2592" t="s">
        <v>40</v>
      </c>
      <c r="E2592" t="s">
        <v>657</v>
      </c>
      <c r="F2592" t="s">
        <v>1028</v>
      </c>
      <c r="G2592" t="s">
        <v>650</v>
      </c>
      <c r="H2592">
        <v>55</v>
      </c>
      <c r="I2592" t="s">
        <v>647</v>
      </c>
      <c r="J2592">
        <v>8000</v>
      </c>
      <c r="K2592" s="1">
        <v>44463</v>
      </c>
      <c r="L2592">
        <v>2021</v>
      </c>
      <c r="M2592" t="str">
        <f>UPPER(TEXT(_2020_2022[[#This Row],[Data da Venda]],"mmm"))</f>
        <v>SET</v>
      </c>
    </row>
    <row r="2593" spans="1:13" x14ac:dyDescent="0.25">
      <c r="A2593" t="s">
        <v>5</v>
      </c>
      <c r="B2593">
        <v>1750</v>
      </c>
      <c r="C2593">
        <v>3</v>
      </c>
      <c r="D2593" t="s">
        <v>41</v>
      </c>
      <c r="E2593" t="s">
        <v>681</v>
      </c>
      <c r="F2593" t="s">
        <v>1352</v>
      </c>
      <c r="G2593" t="s">
        <v>643</v>
      </c>
      <c r="H2593">
        <v>56</v>
      </c>
      <c r="I2593" t="s">
        <v>647</v>
      </c>
      <c r="J2593">
        <v>5250</v>
      </c>
      <c r="K2593" s="1">
        <v>44450</v>
      </c>
      <c r="L2593">
        <v>2021</v>
      </c>
      <c r="M2593" t="str">
        <f>UPPER(TEXT(_2020_2022[[#This Row],[Data da Venda]],"mmm"))</f>
        <v>SET</v>
      </c>
    </row>
    <row r="2594" spans="1:13" x14ac:dyDescent="0.25">
      <c r="A2594" t="s">
        <v>25</v>
      </c>
      <c r="B2594">
        <v>2500</v>
      </c>
      <c r="C2594">
        <v>3</v>
      </c>
      <c r="D2594" t="s">
        <v>38</v>
      </c>
      <c r="E2594" t="s">
        <v>648</v>
      </c>
      <c r="F2594" t="s">
        <v>656</v>
      </c>
      <c r="G2594" t="s">
        <v>643</v>
      </c>
      <c r="H2594">
        <v>37</v>
      </c>
      <c r="I2594" t="s">
        <v>644</v>
      </c>
      <c r="J2594">
        <v>7500</v>
      </c>
      <c r="K2594" s="1">
        <v>44421</v>
      </c>
      <c r="L2594">
        <v>2021</v>
      </c>
      <c r="M2594" t="str">
        <f>UPPER(TEXT(_2020_2022[[#This Row],[Data da Venda]],"mmm"))</f>
        <v>AGO</v>
      </c>
    </row>
    <row r="2595" spans="1:13" x14ac:dyDescent="0.25">
      <c r="A2595" t="s">
        <v>1443</v>
      </c>
      <c r="B2595">
        <v>1550</v>
      </c>
      <c r="C2595">
        <v>4</v>
      </c>
      <c r="D2595" t="s">
        <v>36</v>
      </c>
      <c r="E2595" t="s">
        <v>677</v>
      </c>
      <c r="F2595" t="s">
        <v>825</v>
      </c>
      <c r="G2595" t="s">
        <v>643</v>
      </c>
      <c r="H2595">
        <v>27</v>
      </c>
      <c r="I2595" t="s">
        <v>651</v>
      </c>
      <c r="J2595">
        <v>6200</v>
      </c>
      <c r="K2595" s="1">
        <v>44330</v>
      </c>
      <c r="L2595">
        <v>2021</v>
      </c>
      <c r="M2595" t="str">
        <f>UPPER(TEXT(_2020_2022[[#This Row],[Data da Venda]],"mmm"))</f>
        <v>MAI</v>
      </c>
    </row>
    <row r="2596" spans="1:13" x14ac:dyDescent="0.25">
      <c r="A2596" t="s">
        <v>14</v>
      </c>
      <c r="B2596">
        <v>2000</v>
      </c>
      <c r="C2596">
        <v>2</v>
      </c>
      <c r="D2596" t="s">
        <v>30</v>
      </c>
      <c r="E2596" t="s">
        <v>645</v>
      </c>
      <c r="F2596" t="s">
        <v>963</v>
      </c>
      <c r="G2596" t="s">
        <v>643</v>
      </c>
      <c r="H2596">
        <v>60</v>
      </c>
      <c r="I2596" t="s">
        <v>647</v>
      </c>
      <c r="J2596">
        <v>4000</v>
      </c>
      <c r="K2596" s="1">
        <v>44417</v>
      </c>
      <c r="L2596">
        <v>2021</v>
      </c>
      <c r="M2596" t="str">
        <f>UPPER(TEXT(_2020_2022[[#This Row],[Data da Venda]],"mmm"))</f>
        <v>AGO</v>
      </c>
    </row>
    <row r="2597" spans="1:13" x14ac:dyDescent="0.25">
      <c r="A2597" t="s">
        <v>7</v>
      </c>
      <c r="B2597">
        <v>750</v>
      </c>
      <c r="C2597">
        <v>2</v>
      </c>
      <c r="D2597" t="s">
        <v>29</v>
      </c>
      <c r="E2597" t="s">
        <v>641</v>
      </c>
      <c r="F2597" t="s">
        <v>813</v>
      </c>
      <c r="G2597" t="s">
        <v>650</v>
      </c>
      <c r="H2597">
        <v>40</v>
      </c>
      <c r="I2597" t="s">
        <v>644</v>
      </c>
      <c r="J2597">
        <v>1500</v>
      </c>
      <c r="K2597" s="1">
        <v>44237</v>
      </c>
      <c r="L2597">
        <v>2021</v>
      </c>
      <c r="M2597" t="str">
        <f>UPPER(TEXT(_2020_2022[[#This Row],[Data da Venda]],"mmm"))</f>
        <v>FEV</v>
      </c>
    </row>
    <row r="2598" spans="1:13" x14ac:dyDescent="0.25">
      <c r="A2598" t="s">
        <v>15</v>
      </c>
      <c r="B2598">
        <v>1900</v>
      </c>
      <c r="C2598">
        <v>1</v>
      </c>
      <c r="D2598" t="s">
        <v>36</v>
      </c>
      <c r="E2598" t="s">
        <v>677</v>
      </c>
      <c r="F2598" t="s">
        <v>763</v>
      </c>
      <c r="G2598" t="s">
        <v>643</v>
      </c>
      <c r="H2598">
        <v>33</v>
      </c>
      <c r="I2598" t="s">
        <v>644</v>
      </c>
      <c r="J2598">
        <v>1900</v>
      </c>
      <c r="K2598" s="1">
        <v>44336</v>
      </c>
      <c r="L2598">
        <v>2021</v>
      </c>
      <c r="M2598" t="str">
        <f>UPPER(TEXT(_2020_2022[[#This Row],[Data da Venda]],"mmm"))</f>
        <v>MAI</v>
      </c>
    </row>
    <row r="2599" spans="1:13" x14ac:dyDescent="0.25">
      <c r="A2599" t="s">
        <v>5</v>
      </c>
      <c r="B2599">
        <v>1750</v>
      </c>
      <c r="C2599">
        <v>1</v>
      </c>
      <c r="D2599" t="s">
        <v>29</v>
      </c>
      <c r="E2599" t="s">
        <v>641</v>
      </c>
      <c r="F2599" t="s">
        <v>1035</v>
      </c>
      <c r="G2599" t="s">
        <v>643</v>
      </c>
      <c r="H2599">
        <v>57</v>
      </c>
      <c r="I2599" t="s">
        <v>647</v>
      </c>
      <c r="J2599">
        <v>1750</v>
      </c>
      <c r="K2599" s="1">
        <v>44363</v>
      </c>
      <c r="L2599">
        <v>2021</v>
      </c>
      <c r="M2599" t="str">
        <f>UPPER(TEXT(_2020_2022[[#This Row],[Data da Venda]],"mmm"))</f>
        <v>JUN</v>
      </c>
    </row>
    <row r="2600" spans="1:13" x14ac:dyDescent="0.25">
      <c r="A2600" t="s">
        <v>18</v>
      </c>
      <c r="B2600">
        <v>3000</v>
      </c>
      <c r="C2600">
        <v>3</v>
      </c>
      <c r="D2600" t="s">
        <v>37</v>
      </c>
      <c r="E2600" t="s">
        <v>645</v>
      </c>
      <c r="F2600" t="s">
        <v>838</v>
      </c>
      <c r="G2600" t="s">
        <v>643</v>
      </c>
      <c r="H2600">
        <v>54</v>
      </c>
      <c r="I2600" t="s">
        <v>647</v>
      </c>
      <c r="J2600">
        <v>9000</v>
      </c>
      <c r="K2600" s="1">
        <v>44555</v>
      </c>
      <c r="L2600">
        <v>2021</v>
      </c>
      <c r="M2600" t="str">
        <f>UPPER(TEXT(_2020_2022[[#This Row],[Data da Venda]],"mmm"))</f>
        <v>DEZ</v>
      </c>
    </row>
    <row r="2601" spans="1:13" x14ac:dyDescent="0.25">
      <c r="A2601" t="s">
        <v>1445</v>
      </c>
      <c r="B2601">
        <v>1500</v>
      </c>
      <c r="C2601">
        <v>5</v>
      </c>
      <c r="D2601" t="s">
        <v>40</v>
      </c>
      <c r="E2601" t="s">
        <v>657</v>
      </c>
      <c r="F2601" t="s">
        <v>1104</v>
      </c>
      <c r="G2601" t="s">
        <v>643</v>
      </c>
      <c r="H2601">
        <v>48</v>
      </c>
      <c r="I2601" t="s">
        <v>644</v>
      </c>
      <c r="J2601">
        <v>7500</v>
      </c>
      <c r="K2601" s="1">
        <v>44263</v>
      </c>
      <c r="L2601">
        <v>2021</v>
      </c>
      <c r="M2601" t="str">
        <f>UPPER(TEXT(_2020_2022[[#This Row],[Data da Venda]],"mmm"))</f>
        <v>MAR</v>
      </c>
    </row>
    <row r="2602" spans="1:13" x14ac:dyDescent="0.25">
      <c r="A2602" t="s">
        <v>1443</v>
      </c>
      <c r="B2602">
        <v>1550</v>
      </c>
      <c r="C2602">
        <v>2</v>
      </c>
      <c r="D2602" t="s">
        <v>39</v>
      </c>
      <c r="E2602" t="s">
        <v>641</v>
      </c>
      <c r="F2602" t="s">
        <v>1292</v>
      </c>
      <c r="G2602" t="s">
        <v>643</v>
      </c>
      <c r="H2602">
        <v>65</v>
      </c>
      <c r="I2602" t="s">
        <v>647</v>
      </c>
      <c r="J2602">
        <v>3100</v>
      </c>
      <c r="K2602" s="1">
        <v>44452</v>
      </c>
      <c r="L2602">
        <v>2021</v>
      </c>
      <c r="M2602" t="str">
        <f>UPPER(TEXT(_2020_2022[[#This Row],[Data da Venda]],"mmm"))</f>
        <v>SET</v>
      </c>
    </row>
    <row r="2603" spans="1:13" x14ac:dyDescent="0.25">
      <c r="A2603" t="s">
        <v>24</v>
      </c>
      <c r="B2603">
        <v>2000</v>
      </c>
      <c r="C2603">
        <v>4</v>
      </c>
      <c r="D2603" t="s">
        <v>38</v>
      </c>
      <c r="E2603" t="s">
        <v>648</v>
      </c>
      <c r="F2603" t="s">
        <v>659</v>
      </c>
      <c r="G2603" t="s">
        <v>643</v>
      </c>
      <c r="H2603">
        <v>50</v>
      </c>
      <c r="I2603" t="s">
        <v>644</v>
      </c>
      <c r="J2603">
        <v>8000</v>
      </c>
      <c r="K2603" s="1">
        <v>44341</v>
      </c>
      <c r="L2603">
        <v>2021</v>
      </c>
      <c r="M2603" t="str">
        <f>UPPER(TEXT(_2020_2022[[#This Row],[Data da Venda]],"mmm"))</f>
        <v>MAI</v>
      </c>
    </row>
    <row r="2604" spans="1:13" x14ac:dyDescent="0.25">
      <c r="A2604" t="s">
        <v>11</v>
      </c>
      <c r="B2604">
        <v>4500</v>
      </c>
      <c r="C2604">
        <v>2</v>
      </c>
      <c r="D2604" t="s">
        <v>31</v>
      </c>
      <c r="E2604" t="s">
        <v>645</v>
      </c>
      <c r="F2604" t="s">
        <v>1403</v>
      </c>
      <c r="G2604" t="s">
        <v>643</v>
      </c>
      <c r="H2604">
        <v>25</v>
      </c>
      <c r="I2604" t="s">
        <v>651</v>
      </c>
      <c r="J2604">
        <v>9000</v>
      </c>
      <c r="K2604" s="1">
        <v>44438</v>
      </c>
      <c r="L2604">
        <v>2021</v>
      </c>
      <c r="M2604" t="str">
        <f>UPPER(TEXT(_2020_2022[[#This Row],[Data da Venda]],"mmm"))</f>
        <v>AGO</v>
      </c>
    </row>
    <row r="2605" spans="1:13" x14ac:dyDescent="0.25">
      <c r="A2605" t="s">
        <v>1442</v>
      </c>
      <c r="B2605">
        <v>1200</v>
      </c>
      <c r="C2605">
        <v>3</v>
      </c>
      <c r="D2605" t="s">
        <v>41</v>
      </c>
      <c r="E2605" t="s">
        <v>681</v>
      </c>
      <c r="F2605" t="s">
        <v>839</v>
      </c>
      <c r="G2605" t="s">
        <v>643</v>
      </c>
      <c r="H2605">
        <v>66</v>
      </c>
      <c r="I2605" t="s">
        <v>647</v>
      </c>
      <c r="J2605">
        <v>3600</v>
      </c>
      <c r="K2605" s="1">
        <v>44487</v>
      </c>
      <c r="L2605">
        <v>2021</v>
      </c>
      <c r="M2605" t="str">
        <f>UPPER(TEXT(_2020_2022[[#This Row],[Data da Venda]],"mmm"))</f>
        <v>OUT</v>
      </c>
    </row>
    <row r="2606" spans="1:13" x14ac:dyDescent="0.25">
      <c r="A2606" t="s">
        <v>1445</v>
      </c>
      <c r="B2606">
        <v>1500</v>
      </c>
      <c r="C2606">
        <v>3</v>
      </c>
      <c r="D2606" t="s">
        <v>36</v>
      </c>
      <c r="E2606" t="s">
        <v>677</v>
      </c>
      <c r="F2606" t="s">
        <v>1176</v>
      </c>
      <c r="G2606" t="s">
        <v>643</v>
      </c>
      <c r="H2606">
        <v>59</v>
      </c>
      <c r="I2606" t="s">
        <v>647</v>
      </c>
      <c r="J2606">
        <v>4500</v>
      </c>
      <c r="K2606" s="1">
        <v>44377</v>
      </c>
      <c r="L2606">
        <v>2021</v>
      </c>
      <c r="M2606" t="str">
        <f>UPPER(TEXT(_2020_2022[[#This Row],[Data da Venda]],"mmm"))</f>
        <v>JUN</v>
      </c>
    </row>
    <row r="2607" spans="1:13" x14ac:dyDescent="0.25">
      <c r="A2607" t="s">
        <v>25</v>
      </c>
      <c r="B2607">
        <v>2500</v>
      </c>
      <c r="C2607">
        <v>2</v>
      </c>
      <c r="D2607" t="s">
        <v>29</v>
      </c>
      <c r="E2607" t="s">
        <v>641</v>
      </c>
      <c r="F2607" t="s">
        <v>661</v>
      </c>
      <c r="G2607" t="s">
        <v>650</v>
      </c>
      <c r="H2607">
        <v>53</v>
      </c>
      <c r="I2607" t="s">
        <v>647</v>
      </c>
      <c r="J2607">
        <v>5000</v>
      </c>
      <c r="K2607" s="1">
        <v>44215</v>
      </c>
      <c r="L2607">
        <v>2021</v>
      </c>
      <c r="M2607" t="str">
        <f>UPPER(TEXT(_2020_2022[[#This Row],[Data da Venda]],"mmm"))</f>
        <v>JAN</v>
      </c>
    </row>
    <row r="2608" spans="1:13" x14ac:dyDescent="0.25">
      <c r="A2608" t="s">
        <v>9</v>
      </c>
      <c r="B2608">
        <v>1500</v>
      </c>
      <c r="C2608">
        <v>3</v>
      </c>
      <c r="D2608" t="s">
        <v>34</v>
      </c>
      <c r="E2608" t="s">
        <v>679</v>
      </c>
      <c r="F2608" t="s">
        <v>1401</v>
      </c>
      <c r="G2608" t="s">
        <v>643</v>
      </c>
      <c r="H2608">
        <v>38</v>
      </c>
      <c r="I2608" t="s">
        <v>644</v>
      </c>
      <c r="J2608">
        <v>4500</v>
      </c>
      <c r="K2608" s="1">
        <v>44389</v>
      </c>
      <c r="L2608">
        <v>2021</v>
      </c>
      <c r="M2608" t="str">
        <f>UPPER(TEXT(_2020_2022[[#This Row],[Data da Venda]],"mmm"))</f>
        <v>JUL</v>
      </c>
    </row>
    <row r="2609" spans="1:13" x14ac:dyDescent="0.25">
      <c r="A2609" t="s">
        <v>14</v>
      </c>
      <c r="B2609">
        <v>2000</v>
      </c>
      <c r="C2609">
        <v>1</v>
      </c>
      <c r="D2609" t="s">
        <v>36</v>
      </c>
      <c r="E2609" t="s">
        <v>677</v>
      </c>
      <c r="F2609" t="s">
        <v>690</v>
      </c>
      <c r="G2609" t="s">
        <v>650</v>
      </c>
      <c r="H2609">
        <v>60</v>
      </c>
      <c r="I2609" t="s">
        <v>647</v>
      </c>
      <c r="J2609">
        <v>2000</v>
      </c>
      <c r="K2609" s="1">
        <v>44483</v>
      </c>
      <c r="L2609">
        <v>2021</v>
      </c>
      <c r="M2609" t="str">
        <f>UPPER(TEXT(_2020_2022[[#This Row],[Data da Venda]],"mmm"))</f>
        <v>OUT</v>
      </c>
    </row>
    <row r="2610" spans="1:13" x14ac:dyDescent="0.25">
      <c r="A2610" t="s">
        <v>1440</v>
      </c>
      <c r="B2610">
        <v>700</v>
      </c>
      <c r="C2610">
        <v>1</v>
      </c>
      <c r="D2610" t="s">
        <v>40</v>
      </c>
      <c r="E2610" t="s">
        <v>657</v>
      </c>
      <c r="F2610" t="s">
        <v>857</v>
      </c>
      <c r="G2610" t="s">
        <v>643</v>
      </c>
      <c r="H2610">
        <v>56</v>
      </c>
      <c r="I2610" t="s">
        <v>647</v>
      </c>
      <c r="J2610">
        <v>700</v>
      </c>
      <c r="K2610" s="1">
        <v>44285</v>
      </c>
      <c r="L2610">
        <v>2021</v>
      </c>
      <c r="M2610" t="str">
        <f>UPPER(TEXT(_2020_2022[[#This Row],[Data da Venda]],"mmm"))</f>
        <v>MAR</v>
      </c>
    </row>
    <row r="2611" spans="1:13" x14ac:dyDescent="0.25">
      <c r="A2611" t="s">
        <v>26</v>
      </c>
      <c r="B2611">
        <v>1100</v>
      </c>
      <c r="C2611">
        <v>1</v>
      </c>
      <c r="D2611" t="s">
        <v>31</v>
      </c>
      <c r="E2611" t="s">
        <v>645</v>
      </c>
      <c r="F2611" t="s">
        <v>1293</v>
      </c>
      <c r="G2611" t="s">
        <v>650</v>
      </c>
      <c r="H2611">
        <v>38</v>
      </c>
      <c r="I2611" t="s">
        <v>644</v>
      </c>
      <c r="J2611">
        <v>1100</v>
      </c>
      <c r="K2611" s="1">
        <v>44546</v>
      </c>
      <c r="L2611">
        <v>2021</v>
      </c>
      <c r="M2611" t="str">
        <f>UPPER(TEXT(_2020_2022[[#This Row],[Data da Venda]],"mmm"))</f>
        <v>DEZ</v>
      </c>
    </row>
    <row r="2612" spans="1:13" x14ac:dyDescent="0.25">
      <c r="A2612" t="s">
        <v>1440</v>
      </c>
      <c r="B2612">
        <v>700</v>
      </c>
      <c r="C2612">
        <v>5</v>
      </c>
      <c r="D2612" t="s">
        <v>41</v>
      </c>
      <c r="E2612" t="s">
        <v>681</v>
      </c>
      <c r="F2612" t="s">
        <v>1268</v>
      </c>
      <c r="G2612" t="s">
        <v>643</v>
      </c>
      <c r="H2612">
        <v>30</v>
      </c>
      <c r="I2612" t="s">
        <v>644</v>
      </c>
      <c r="J2612">
        <v>3500</v>
      </c>
      <c r="K2612" s="1">
        <v>44475</v>
      </c>
      <c r="L2612">
        <v>2021</v>
      </c>
      <c r="M2612" t="str">
        <f>UPPER(TEXT(_2020_2022[[#This Row],[Data da Venda]],"mmm"))</f>
        <v>OUT</v>
      </c>
    </row>
    <row r="2613" spans="1:13" x14ac:dyDescent="0.25">
      <c r="A2613" t="s">
        <v>9</v>
      </c>
      <c r="B2613">
        <v>1500</v>
      </c>
      <c r="C2613">
        <v>2</v>
      </c>
      <c r="D2613" t="s">
        <v>36</v>
      </c>
      <c r="E2613" t="s">
        <v>677</v>
      </c>
      <c r="F2613" t="s">
        <v>755</v>
      </c>
      <c r="G2613" t="s">
        <v>643</v>
      </c>
      <c r="H2613">
        <v>48</v>
      </c>
      <c r="I2613" t="s">
        <v>644</v>
      </c>
      <c r="J2613">
        <v>3000</v>
      </c>
      <c r="K2613" s="1">
        <v>44380</v>
      </c>
      <c r="L2613">
        <v>2021</v>
      </c>
      <c r="M2613" t="str">
        <f>UPPER(TEXT(_2020_2022[[#This Row],[Data da Venda]],"mmm"))</f>
        <v>JUL</v>
      </c>
    </row>
    <row r="2614" spans="1:13" x14ac:dyDescent="0.25">
      <c r="A2614" t="s">
        <v>12</v>
      </c>
      <c r="B2614">
        <v>6500</v>
      </c>
      <c r="C2614">
        <v>2</v>
      </c>
      <c r="D2614" t="s">
        <v>34</v>
      </c>
      <c r="E2614" t="s">
        <v>679</v>
      </c>
      <c r="F2614" t="s">
        <v>705</v>
      </c>
      <c r="G2614" t="s">
        <v>650</v>
      </c>
      <c r="H2614">
        <v>26</v>
      </c>
      <c r="I2614" t="s">
        <v>651</v>
      </c>
      <c r="J2614">
        <v>13000</v>
      </c>
      <c r="K2614" s="1">
        <v>44496</v>
      </c>
      <c r="L2614">
        <v>2021</v>
      </c>
      <c r="M2614" t="str">
        <f>UPPER(TEXT(_2020_2022[[#This Row],[Data da Venda]],"mmm"))</f>
        <v>OUT</v>
      </c>
    </row>
    <row r="2615" spans="1:13" x14ac:dyDescent="0.25">
      <c r="A2615" t="s">
        <v>24</v>
      </c>
      <c r="B2615">
        <v>2000</v>
      </c>
      <c r="C2615">
        <v>5</v>
      </c>
      <c r="D2615" t="s">
        <v>33</v>
      </c>
      <c r="E2615" t="s">
        <v>641</v>
      </c>
      <c r="F2615" t="s">
        <v>1032</v>
      </c>
      <c r="G2615" t="s">
        <v>650</v>
      </c>
      <c r="H2615">
        <v>33</v>
      </c>
      <c r="I2615" t="s">
        <v>644</v>
      </c>
      <c r="J2615">
        <v>10000</v>
      </c>
      <c r="K2615" s="1">
        <v>44489</v>
      </c>
      <c r="L2615">
        <v>2021</v>
      </c>
      <c r="M2615" t="str">
        <f>UPPER(TEXT(_2020_2022[[#This Row],[Data da Venda]],"mmm"))</f>
        <v>OUT</v>
      </c>
    </row>
    <row r="2616" spans="1:13" x14ac:dyDescent="0.25">
      <c r="A2616" t="s">
        <v>1442</v>
      </c>
      <c r="B2616">
        <v>1200</v>
      </c>
      <c r="C2616">
        <v>2</v>
      </c>
      <c r="D2616" t="s">
        <v>38</v>
      </c>
      <c r="E2616" t="s">
        <v>648</v>
      </c>
      <c r="F2616" t="s">
        <v>931</v>
      </c>
      <c r="G2616" t="s">
        <v>650</v>
      </c>
      <c r="H2616">
        <v>54</v>
      </c>
      <c r="I2616" t="s">
        <v>647</v>
      </c>
      <c r="J2616">
        <v>2400</v>
      </c>
      <c r="K2616" s="1">
        <v>44445</v>
      </c>
      <c r="L2616">
        <v>2021</v>
      </c>
      <c r="M2616" t="str">
        <f>UPPER(TEXT(_2020_2022[[#This Row],[Data da Venda]],"mmm"))</f>
        <v>SET</v>
      </c>
    </row>
    <row r="2617" spans="1:13" x14ac:dyDescent="0.25">
      <c r="A2617" t="s">
        <v>1440</v>
      </c>
      <c r="B2617">
        <v>700</v>
      </c>
      <c r="C2617">
        <v>1</v>
      </c>
      <c r="D2617" t="s">
        <v>35</v>
      </c>
      <c r="E2617" t="s">
        <v>666</v>
      </c>
      <c r="F2617" t="s">
        <v>1281</v>
      </c>
      <c r="G2617" t="s">
        <v>650</v>
      </c>
      <c r="H2617">
        <v>69</v>
      </c>
      <c r="I2617" t="s">
        <v>647</v>
      </c>
      <c r="J2617">
        <v>700</v>
      </c>
      <c r="K2617" s="1">
        <v>44223</v>
      </c>
      <c r="L2617">
        <v>2021</v>
      </c>
      <c r="M2617" t="str">
        <f>UPPER(TEXT(_2020_2022[[#This Row],[Data da Venda]],"mmm"))</f>
        <v>JAN</v>
      </c>
    </row>
    <row r="2618" spans="1:13" x14ac:dyDescent="0.25">
      <c r="A2618" t="s">
        <v>14</v>
      </c>
      <c r="B2618">
        <v>2000</v>
      </c>
      <c r="C2618">
        <v>5</v>
      </c>
      <c r="D2618" t="s">
        <v>41</v>
      </c>
      <c r="E2618" t="s">
        <v>681</v>
      </c>
      <c r="F2618" t="s">
        <v>1398</v>
      </c>
      <c r="G2618" t="s">
        <v>643</v>
      </c>
      <c r="H2618">
        <v>46</v>
      </c>
      <c r="I2618" t="s">
        <v>644</v>
      </c>
      <c r="J2618">
        <v>10000</v>
      </c>
      <c r="K2618" s="1">
        <v>44266</v>
      </c>
      <c r="L2618">
        <v>2021</v>
      </c>
      <c r="M2618" t="str">
        <f>UPPER(TEXT(_2020_2022[[#This Row],[Data da Venda]],"mmm"))</f>
        <v>MAR</v>
      </c>
    </row>
    <row r="2619" spans="1:13" x14ac:dyDescent="0.25">
      <c r="A2619" t="s">
        <v>14</v>
      </c>
      <c r="B2619">
        <v>2000</v>
      </c>
      <c r="C2619">
        <v>3</v>
      </c>
      <c r="D2619" t="s">
        <v>36</v>
      </c>
      <c r="E2619" t="s">
        <v>677</v>
      </c>
      <c r="F2619" t="s">
        <v>1198</v>
      </c>
      <c r="G2619" t="s">
        <v>650</v>
      </c>
      <c r="H2619">
        <v>65</v>
      </c>
      <c r="I2619" t="s">
        <v>647</v>
      </c>
      <c r="J2619">
        <v>6000</v>
      </c>
      <c r="K2619" s="1">
        <v>44361</v>
      </c>
      <c r="L2619">
        <v>2021</v>
      </c>
      <c r="M2619" t="str">
        <f>UPPER(TEXT(_2020_2022[[#This Row],[Data da Venda]],"mmm"))</f>
        <v>JUN</v>
      </c>
    </row>
    <row r="2620" spans="1:13" x14ac:dyDescent="0.25">
      <c r="A2620" t="s">
        <v>21</v>
      </c>
      <c r="B2620">
        <v>2400</v>
      </c>
      <c r="C2620">
        <v>2</v>
      </c>
      <c r="D2620" t="s">
        <v>29</v>
      </c>
      <c r="E2620" t="s">
        <v>641</v>
      </c>
      <c r="F2620" t="s">
        <v>887</v>
      </c>
      <c r="G2620" t="s">
        <v>650</v>
      </c>
      <c r="H2620">
        <v>41</v>
      </c>
      <c r="I2620" t="s">
        <v>644</v>
      </c>
      <c r="J2620">
        <v>4800</v>
      </c>
      <c r="K2620" s="1">
        <v>44558</v>
      </c>
      <c r="L2620">
        <v>2021</v>
      </c>
      <c r="M2620" t="str">
        <f>UPPER(TEXT(_2020_2022[[#This Row],[Data da Venda]],"mmm"))</f>
        <v>DEZ</v>
      </c>
    </row>
    <row r="2621" spans="1:13" x14ac:dyDescent="0.25">
      <c r="A2621" t="s">
        <v>20</v>
      </c>
      <c r="B2621">
        <v>2600</v>
      </c>
      <c r="C2621">
        <v>3</v>
      </c>
      <c r="D2621" t="s">
        <v>29</v>
      </c>
      <c r="E2621" t="s">
        <v>641</v>
      </c>
      <c r="F2621" t="s">
        <v>1339</v>
      </c>
      <c r="G2621" t="s">
        <v>643</v>
      </c>
      <c r="H2621">
        <v>37</v>
      </c>
      <c r="I2621" t="s">
        <v>644</v>
      </c>
      <c r="J2621">
        <v>7800</v>
      </c>
      <c r="K2621" s="1">
        <v>44300</v>
      </c>
      <c r="L2621">
        <v>2021</v>
      </c>
      <c r="M2621" t="str">
        <f>UPPER(TEXT(_2020_2022[[#This Row],[Data da Venda]],"mmm"))</f>
        <v>ABR</v>
      </c>
    </row>
    <row r="2622" spans="1:13" x14ac:dyDescent="0.25">
      <c r="A2622" t="s">
        <v>28</v>
      </c>
      <c r="B2622">
        <v>1400</v>
      </c>
      <c r="C2622">
        <v>5</v>
      </c>
      <c r="D2622" t="s">
        <v>31</v>
      </c>
      <c r="E2622" t="s">
        <v>645</v>
      </c>
      <c r="F2622" t="s">
        <v>846</v>
      </c>
      <c r="G2622" t="s">
        <v>643</v>
      </c>
      <c r="H2622">
        <v>35</v>
      </c>
      <c r="I2622" t="s">
        <v>644</v>
      </c>
      <c r="J2622">
        <v>7000</v>
      </c>
      <c r="K2622" s="1">
        <v>44288</v>
      </c>
      <c r="L2622">
        <v>2021</v>
      </c>
      <c r="M2622" t="str">
        <f>UPPER(TEXT(_2020_2022[[#This Row],[Data da Venda]],"mmm"))</f>
        <v>ABR</v>
      </c>
    </row>
    <row r="2623" spans="1:13" x14ac:dyDescent="0.25">
      <c r="A2623" t="s">
        <v>1445</v>
      </c>
      <c r="B2623">
        <v>1500</v>
      </c>
      <c r="C2623">
        <v>2</v>
      </c>
      <c r="D2623" t="s">
        <v>30</v>
      </c>
      <c r="E2623" t="s">
        <v>645</v>
      </c>
      <c r="F2623" t="s">
        <v>725</v>
      </c>
      <c r="G2623" t="s">
        <v>650</v>
      </c>
      <c r="H2623">
        <v>36</v>
      </c>
      <c r="I2623" t="s">
        <v>644</v>
      </c>
      <c r="J2623">
        <v>3000</v>
      </c>
      <c r="K2623" s="1">
        <v>44422</v>
      </c>
      <c r="L2623">
        <v>2021</v>
      </c>
      <c r="M2623" t="str">
        <f>UPPER(TEXT(_2020_2022[[#This Row],[Data da Venda]],"mmm"))</f>
        <v>AGO</v>
      </c>
    </row>
    <row r="2624" spans="1:13" x14ac:dyDescent="0.25">
      <c r="A2624" t="s">
        <v>14</v>
      </c>
      <c r="B2624">
        <v>2000</v>
      </c>
      <c r="C2624">
        <v>2</v>
      </c>
      <c r="D2624" t="s">
        <v>34</v>
      </c>
      <c r="E2624" t="s">
        <v>679</v>
      </c>
      <c r="F2624" t="s">
        <v>873</v>
      </c>
      <c r="G2624" t="s">
        <v>643</v>
      </c>
      <c r="H2624">
        <v>62</v>
      </c>
      <c r="I2624" t="s">
        <v>647</v>
      </c>
      <c r="J2624">
        <v>4000</v>
      </c>
      <c r="K2624" s="1">
        <v>44527</v>
      </c>
      <c r="L2624">
        <v>2021</v>
      </c>
      <c r="M2624" t="str">
        <f>UPPER(TEXT(_2020_2022[[#This Row],[Data da Venda]],"mmm"))</f>
        <v>NOV</v>
      </c>
    </row>
    <row r="2625" spans="1:13" x14ac:dyDescent="0.25">
      <c r="A2625" t="s">
        <v>26</v>
      </c>
      <c r="B2625">
        <v>1100</v>
      </c>
      <c r="C2625">
        <v>3</v>
      </c>
      <c r="D2625" t="s">
        <v>41</v>
      </c>
      <c r="E2625" t="s">
        <v>681</v>
      </c>
      <c r="F2625" t="s">
        <v>948</v>
      </c>
      <c r="G2625" t="s">
        <v>643</v>
      </c>
      <c r="H2625">
        <v>28</v>
      </c>
      <c r="I2625" t="s">
        <v>651</v>
      </c>
      <c r="J2625">
        <v>3300</v>
      </c>
      <c r="K2625" s="1">
        <v>44407</v>
      </c>
      <c r="L2625">
        <v>2021</v>
      </c>
      <c r="M2625" t="str">
        <f>UPPER(TEXT(_2020_2022[[#This Row],[Data da Venda]],"mmm"))</f>
        <v>JUL</v>
      </c>
    </row>
    <row r="2626" spans="1:13" x14ac:dyDescent="0.25">
      <c r="A2626" t="s">
        <v>24</v>
      </c>
      <c r="B2626">
        <v>2000</v>
      </c>
      <c r="C2626">
        <v>3</v>
      </c>
      <c r="D2626" t="s">
        <v>38</v>
      </c>
      <c r="E2626" t="s">
        <v>648</v>
      </c>
      <c r="F2626" t="s">
        <v>847</v>
      </c>
      <c r="G2626" t="s">
        <v>643</v>
      </c>
      <c r="H2626">
        <v>37</v>
      </c>
      <c r="I2626" t="s">
        <v>644</v>
      </c>
      <c r="J2626">
        <v>6000</v>
      </c>
      <c r="K2626" s="1">
        <v>44418</v>
      </c>
      <c r="L2626">
        <v>2021</v>
      </c>
      <c r="M2626" t="str">
        <f>UPPER(TEXT(_2020_2022[[#This Row],[Data da Venda]],"mmm"))</f>
        <v>AGO</v>
      </c>
    </row>
    <row r="2627" spans="1:13" x14ac:dyDescent="0.25">
      <c r="A2627" t="s">
        <v>1442</v>
      </c>
      <c r="B2627">
        <v>1200</v>
      </c>
      <c r="C2627">
        <v>1</v>
      </c>
      <c r="D2627" t="s">
        <v>29</v>
      </c>
      <c r="E2627" t="s">
        <v>641</v>
      </c>
      <c r="F2627" t="s">
        <v>950</v>
      </c>
      <c r="G2627" t="s">
        <v>650</v>
      </c>
      <c r="H2627">
        <v>48</v>
      </c>
      <c r="I2627" t="s">
        <v>644</v>
      </c>
      <c r="J2627">
        <v>1200</v>
      </c>
      <c r="K2627" s="1">
        <v>44465</v>
      </c>
      <c r="L2627">
        <v>2021</v>
      </c>
      <c r="M2627" t="str">
        <f>UPPER(TEXT(_2020_2022[[#This Row],[Data da Venda]],"mmm"))</f>
        <v>SET</v>
      </c>
    </row>
    <row r="2628" spans="1:13" x14ac:dyDescent="0.25">
      <c r="A2628" t="s">
        <v>21</v>
      </c>
      <c r="B2628">
        <v>2400</v>
      </c>
      <c r="C2628">
        <v>5</v>
      </c>
      <c r="D2628" t="s">
        <v>29</v>
      </c>
      <c r="E2628" t="s">
        <v>641</v>
      </c>
      <c r="F2628" t="s">
        <v>1093</v>
      </c>
      <c r="G2628" t="s">
        <v>650</v>
      </c>
      <c r="H2628">
        <v>50</v>
      </c>
      <c r="I2628" t="s">
        <v>644</v>
      </c>
      <c r="J2628">
        <v>12000</v>
      </c>
      <c r="K2628" s="1">
        <v>44449</v>
      </c>
      <c r="L2628">
        <v>2021</v>
      </c>
      <c r="M2628" t="str">
        <f>UPPER(TEXT(_2020_2022[[#This Row],[Data da Venda]],"mmm"))</f>
        <v>SET</v>
      </c>
    </row>
    <row r="2629" spans="1:13" x14ac:dyDescent="0.25">
      <c r="A2629" t="s">
        <v>16</v>
      </c>
      <c r="B2629">
        <v>1400</v>
      </c>
      <c r="C2629">
        <v>1</v>
      </c>
      <c r="D2629" t="s">
        <v>29</v>
      </c>
      <c r="E2629" t="s">
        <v>641</v>
      </c>
      <c r="F2629" t="s">
        <v>919</v>
      </c>
      <c r="G2629" t="s">
        <v>643</v>
      </c>
      <c r="H2629">
        <v>45</v>
      </c>
      <c r="I2629" t="s">
        <v>644</v>
      </c>
      <c r="J2629">
        <v>1400</v>
      </c>
      <c r="K2629" s="1">
        <v>44531</v>
      </c>
      <c r="L2629">
        <v>2021</v>
      </c>
      <c r="M2629" t="str">
        <f>UPPER(TEXT(_2020_2022[[#This Row],[Data da Venda]],"mmm"))</f>
        <v>DEZ</v>
      </c>
    </row>
    <row r="2630" spans="1:13" x14ac:dyDescent="0.25">
      <c r="A2630" t="s">
        <v>5</v>
      </c>
      <c r="B2630">
        <v>1750</v>
      </c>
      <c r="C2630">
        <v>2</v>
      </c>
      <c r="D2630" t="s">
        <v>31</v>
      </c>
      <c r="E2630" t="s">
        <v>645</v>
      </c>
      <c r="F2630" t="s">
        <v>979</v>
      </c>
      <c r="G2630" t="s">
        <v>650</v>
      </c>
      <c r="H2630">
        <v>69</v>
      </c>
      <c r="I2630" t="s">
        <v>647</v>
      </c>
      <c r="J2630">
        <v>3500</v>
      </c>
      <c r="K2630" s="1">
        <v>44522</v>
      </c>
      <c r="L2630">
        <v>2021</v>
      </c>
      <c r="M2630" t="str">
        <f>UPPER(TEXT(_2020_2022[[#This Row],[Data da Venda]],"mmm"))</f>
        <v>NOV</v>
      </c>
    </row>
    <row r="2631" spans="1:13" x14ac:dyDescent="0.25">
      <c r="A2631" t="s">
        <v>20</v>
      </c>
      <c r="B2631">
        <v>2600</v>
      </c>
      <c r="C2631">
        <v>3</v>
      </c>
      <c r="D2631" t="s">
        <v>38</v>
      </c>
      <c r="E2631" t="s">
        <v>648</v>
      </c>
      <c r="F2631" t="s">
        <v>845</v>
      </c>
      <c r="G2631" t="s">
        <v>643</v>
      </c>
      <c r="H2631">
        <v>75</v>
      </c>
      <c r="I2631" t="s">
        <v>647</v>
      </c>
      <c r="J2631">
        <v>7800</v>
      </c>
      <c r="K2631" s="1">
        <v>44381</v>
      </c>
      <c r="L2631">
        <v>2021</v>
      </c>
      <c r="M2631" t="str">
        <f>UPPER(TEXT(_2020_2022[[#This Row],[Data da Venda]],"mmm"))</f>
        <v>JUL</v>
      </c>
    </row>
    <row r="2632" spans="1:13" x14ac:dyDescent="0.25">
      <c r="A2632" t="s">
        <v>1442</v>
      </c>
      <c r="B2632">
        <v>1200</v>
      </c>
      <c r="C2632">
        <v>2</v>
      </c>
      <c r="D2632" t="s">
        <v>29</v>
      </c>
      <c r="E2632" t="s">
        <v>641</v>
      </c>
      <c r="F2632" t="s">
        <v>795</v>
      </c>
      <c r="G2632" t="s">
        <v>643</v>
      </c>
      <c r="H2632">
        <v>67</v>
      </c>
      <c r="I2632" t="s">
        <v>647</v>
      </c>
      <c r="J2632">
        <v>2400</v>
      </c>
      <c r="K2632" s="1">
        <v>44262</v>
      </c>
      <c r="L2632">
        <v>2021</v>
      </c>
      <c r="M2632" t="str">
        <f>UPPER(TEXT(_2020_2022[[#This Row],[Data da Venda]],"mmm"))</f>
        <v>MAR</v>
      </c>
    </row>
    <row r="2633" spans="1:13" x14ac:dyDescent="0.25">
      <c r="A2633" t="s">
        <v>1443</v>
      </c>
      <c r="B2633">
        <v>1550</v>
      </c>
      <c r="C2633">
        <v>3</v>
      </c>
      <c r="D2633" t="s">
        <v>32</v>
      </c>
      <c r="E2633" t="s">
        <v>652</v>
      </c>
      <c r="F2633" t="s">
        <v>934</v>
      </c>
      <c r="G2633" t="s">
        <v>643</v>
      </c>
      <c r="H2633">
        <v>67</v>
      </c>
      <c r="I2633" t="s">
        <v>647</v>
      </c>
      <c r="J2633">
        <v>4650</v>
      </c>
      <c r="K2633" s="1">
        <v>44510</v>
      </c>
      <c r="L2633">
        <v>2021</v>
      </c>
      <c r="M2633" t="str">
        <f>UPPER(TEXT(_2020_2022[[#This Row],[Data da Venda]],"mmm"))</f>
        <v>NOV</v>
      </c>
    </row>
    <row r="2634" spans="1:13" x14ac:dyDescent="0.25">
      <c r="A2634" t="s">
        <v>26</v>
      </c>
      <c r="B2634">
        <v>1100</v>
      </c>
      <c r="C2634">
        <v>4</v>
      </c>
      <c r="D2634" t="s">
        <v>39</v>
      </c>
      <c r="E2634" t="s">
        <v>641</v>
      </c>
      <c r="F2634" t="s">
        <v>1001</v>
      </c>
      <c r="G2634" t="s">
        <v>643</v>
      </c>
      <c r="H2634">
        <v>40</v>
      </c>
      <c r="I2634" t="s">
        <v>644</v>
      </c>
      <c r="J2634">
        <v>4400</v>
      </c>
      <c r="K2634" s="1">
        <v>44421</v>
      </c>
      <c r="L2634">
        <v>2021</v>
      </c>
      <c r="M2634" t="str">
        <f>UPPER(TEXT(_2020_2022[[#This Row],[Data da Venda]],"mmm"))</f>
        <v>AGO</v>
      </c>
    </row>
    <row r="2635" spans="1:13" x14ac:dyDescent="0.25">
      <c r="A2635" t="s">
        <v>8</v>
      </c>
      <c r="B2635">
        <v>5500</v>
      </c>
      <c r="C2635">
        <v>1</v>
      </c>
      <c r="D2635" t="s">
        <v>34</v>
      </c>
      <c r="E2635" t="s">
        <v>679</v>
      </c>
      <c r="F2635" t="s">
        <v>956</v>
      </c>
      <c r="G2635" t="s">
        <v>650</v>
      </c>
      <c r="H2635">
        <v>66</v>
      </c>
      <c r="I2635" t="s">
        <v>647</v>
      </c>
      <c r="J2635">
        <v>5500</v>
      </c>
      <c r="K2635" s="1">
        <v>44547</v>
      </c>
      <c r="L2635">
        <v>2021</v>
      </c>
      <c r="M2635" t="str">
        <f>UPPER(TEXT(_2020_2022[[#This Row],[Data da Venda]],"mmm"))</f>
        <v>DEZ</v>
      </c>
    </row>
    <row r="2636" spans="1:13" x14ac:dyDescent="0.25">
      <c r="A2636" t="s">
        <v>20</v>
      </c>
      <c r="B2636">
        <v>2600</v>
      </c>
      <c r="C2636">
        <v>4</v>
      </c>
      <c r="D2636" t="s">
        <v>31</v>
      </c>
      <c r="E2636" t="s">
        <v>645</v>
      </c>
      <c r="F2636" t="s">
        <v>811</v>
      </c>
      <c r="G2636" t="s">
        <v>650</v>
      </c>
      <c r="H2636">
        <v>56</v>
      </c>
      <c r="I2636" t="s">
        <v>647</v>
      </c>
      <c r="J2636">
        <v>10400</v>
      </c>
      <c r="K2636" s="1">
        <v>44316</v>
      </c>
      <c r="L2636">
        <v>2021</v>
      </c>
      <c r="M2636" t="str">
        <f>UPPER(TEXT(_2020_2022[[#This Row],[Data da Venda]],"mmm"))</f>
        <v>ABR</v>
      </c>
    </row>
    <row r="2637" spans="1:13" x14ac:dyDescent="0.25">
      <c r="A2637" t="s">
        <v>1440</v>
      </c>
      <c r="B2637">
        <v>700</v>
      </c>
      <c r="C2637">
        <v>1</v>
      </c>
      <c r="D2637" t="s">
        <v>34</v>
      </c>
      <c r="E2637" t="s">
        <v>679</v>
      </c>
      <c r="F2637" t="s">
        <v>1342</v>
      </c>
      <c r="G2637" t="s">
        <v>643</v>
      </c>
      <c r="H2637">
        <v>39</v>
      </c>
      <c r="I2637" t="s">
        <v>644</v>
      </c>
      <c r="J2637">
        <v>700</v>
      </c>
      <c r="K2637" s="1">
        <v>44516</v>
      </c>
      <c r="L2637">
        <v>2021</v>
      </c>
      <c r="M2637" t="str">
        <f>UPPER(TEXT(_2020_2022[[#This Row],[Data da Venda]],"mmm"))</f>
        <v>NOV</v>
      </c>
    </row>
    <row r="2638" spans="1:13" x14ac:dyDescent="0.25">
      <c r="A2638" t="s">
        <v>1444</v>
      </c>
      <c r="B2638">
        <v>1500</v>
      </c>
      <c r="C2638">
        <v>5</v>
      </c>
      <c r="D2638" t="s">
        <v>35</v>
      </c>
      <c r="E2638" t="s">
        <v>666</v>
      </c>
      <c r="F2638" t="s">
        <v>751</v>
      </c>
      <c r="G2638" t="s">
        <v>650</v>
      </c>
      <c r="H2638">
        <v>67</v>
      </c>
      <c r="I2638" t="s">
        <v>647</v>
      </c>
      <c r="J2638">
        <v>7500</v>
      </c>
      <c r="K2638" s="1">
        <v>44370</v>
      </c>
      <c r="L2638">
        <v>2021</v>
      </c>
      <c r="M2638" t="str">
        <f>UPPER(TEXT(_2020_2022[[#This Row],[Data da Venda]],"mmm"))</f>
        <v>JUN</v>
      </c>
    </row>
    <row r="2639" spans="1:13" x14ac:dyDescent="0.25">
      <c r="A2639" t="s">
        <v>5</v>
      </c>
      <c r="B2639">
        <v>1750</v>
      </c>
      <c r="C2639">
        <v>3</v>
      </c>
      <c r="D2639" t="s">
        <v>35</v>
      </c>
      <c r="E2639" t="s">
        <v>666</v>
      </c>
      <c r="F2639" t="s">
        <v>1134</v>
      </c>
      <c r="G2639" t="s">
        <v>650</v>
      </c>
      <c r="H2639">
        <v>68</v>
      </c>
      <c r="I2639" t="s">
        <v>647</v>
      </c>
      <c r="J2639">
        <v>5250</v>
      </c>
      <c r="K2639" s="1">
        <v>44546</v>
      </c>
      <c r="L2639">
        <v>2021</v>
      </c>
      <c r="M2639" t="str">
        <f>UPPER(TEXT(_2020_2022[[#This Row],[Data da Venda]],"mmm"))</f>
        <v>DEZ</v>
      </c>
    </row>
    <row r="2640" spans="1:13" x14ac:dyDescent="0.25">
      <c r="A2640" t="s">
        <v>28</v>
      </c>
      <c r="B2640">
        <v>1400</v>
      </c>
      <c r="C2640">
        <v>5</v>
      </c>
      <c r="D2640" t="s">
        <v>35</v>
      </c>
      <c r="E2640" t="s">
        <v>666</v>
      </c>
      <c r="F2640" t="s">
        <v>794</v>
      </c>
      <c r="G2640" t="s">
        <v>650</v>
      </c>
      <c r="H2640">
        <v>25</v>
      </c>
      <c r="I2640" t="s">
        <v>651</v>
      </c>
      <c r="J2640">
        <v>7000</v>
      </c>
      <c r="K2640" s="1">
        <v>44392</v>
      </c>
      <c r="L2640">
        <v>2021</v>
      </c>
      <c r="M2640" t="str">
        <f>UPPER(TEXT(_2020_2022[[#This Row],[Data da Venda]],"mmm"))</f>
        <v>JUL</v>
      </c>
    </row>
    <row r="2641" spans="1:13" x14ac:dyDescent="0.25">
      <c r="A2641" t="s">
        <v>1443</v>
      </c>
      <c r="B2641">
        <v>1550</v>
      </c>
      <c r="C2641">
        <v>3</v>
      </c>
      <c r="D2641" t="s">
        <v>41</v>
      </c>
      <c r="E2641" t="s">
        <v>681</v>
      </c>
      <c r="F2641" t="s">
        <v>1308</v>
      </c>
      <c r="G2641" t="s">
        <v>650</v>
      </c>
      <c r="H2641">
        <v>32</v>
      </c>
      <c r="I2641" t="s">
        <v>644</v>
      </c>
      <c r="J2641">
        <v>4650</v>
      </c>
      <c r="K2641" s="1">
        <v>44233</v>
      </c>
      <c r="L2641">
        <v>2021</v>
      </c>
      <c r="M2641" t="str">
        <f>UPPER(TEXT(_2020_2022[[#This Row],[Data da Venda]],"mmm"))</f>
        <v>FEV</v>
      </c>
    </row>
    <row r="2642" spans="1:13" x14ac:dyDescent="0.25">
      <c r="A2642" t="s">
        <v>1441</v>
      </c>
      <c r="B2642">
        <v>1450</v>
      </c>
      <c r="C2642">
        <v>5</v>
      </c>
      <c r="D2642" t="s">
        <v>36</v>
      </c>
      <c r="E2642" t="s">
        <v>677</v>
      </c>
      <c r="F2642" t="s">
        <v>755</v>
      </c>
      <c r="G2642" t="s">
        <v>643</v>
      </c>
      <c r="H2642">
        <v>48</v>
      </c>
      <c r="I2642" t="s">
        <v>644</v>
      </c>
      <c r="J2642">
        <v>7250</v>
      </c>
      <c r="K2642" s="1">
        <v>44363</v>
      </c>
      <c r="L2642">
        <v>2021</v>
      </c>
      <c r="M2642" t="str">
        <f>UPPER(TEXT(_2020_2022[[#This Row],[Data da Venda]],"mmm"))</f>
        <v>JUN</v>
      </c>
    </row>
    <row r="2643" spans="1:13" x14ac:dyDescent="0.25">
      <c r="A2643" t="s">
        <v>1443</v>
      </c>
      <c r="B2643">
        <v>1550</v>
      </c>
      <c r="C2643">
        <v>5</v>
      </c>
      <c r="D2643" t="s">
        <v>29</v>
      </c>
      <c r="E2643" t="s">
        <v>641</v>
      </c>
      <c r="F2643" t="s">
        <v>1169</v>
      </c>
      <c r="G2643" t="s">
        <v>650</v>
      </c>
      <c r="H2643">
        <v>54</v>
      </c>
      <c r="I2643" t="s">
        <v>647</v>
      </c>
      <c r="J2643">
        <v>7750</v>
      </c>
      <c r="K2643" s="1">
        <v>44326</v>
      </c>
      <c r="L2643">
        <v>2021</v>
      </c>
      <c r="M2643" t="str">
        <f>UPPER(TEXT(_2020_2022[[#This Row],[Data da Venda]],"mmm"))</f>
        <v>MAI</v>
      </c>
    </row>
    <row r="2644" spans="1:13" x14ac:dyDescent="0.25">
      <c r="A2644" t="s">
        <v>1443</v>
      </c>
      <c r="B2644">
        <v>1550</v>
      </c>
      <c r="C2644">
        <v>5</v>
      </c>
      <c r="D2644" t="s">
        <v>33</v>
      </c>
      <c r="E2644" t="s">
        <v>641</v>
      </c>
      <c r="F2644" t="s">
        <v>701</v>
      </c>
      <c r="G2644" t="s">
        <v>643</v>
      </c>
      <c r="H2644">
        <v>50</v>
      </c>
      <c r="I2644" t="s">
        <v>644</v>
      </c>
      <c r="J2644">
        <v>7750</v>
      </c>
      <c r="K2644" s="1">
        <v>44409</v>
      </c>
      <c r="L2644">
        <v>2021</v>
      </c>
      <c r="M2644" t="str">
        <f>UPPER(TEXT(_2020_2022[[#This Row],[Data da Venda]],"mmm"))</f>
        <v>AGO</v>
      </c>
    </row>
    <row r="2645" spans="1:13" x14ac:dyDescent="0.25">
      <c r="A2645" t="s">
        <v>28</v>
      </c>
      <c r="B2645">
        <v>1400</v>
      </c>
      <c r="C2645">
        <v>4</v>
      </c>
      <c r="D2645" t="s">
        <v>34</v>
      </c>
      <c r="E2645" t="s">
        <v>679</v>
      </c>
      <c r="F2645" t="s">
        <v>1271</v>
      </c>
      <c r="G2645" t="s">
        <v>643</v>
      </c>
      <c r="H2645">
        <v>36</v>
      </c>
      <c r="I2645" t="s">
        <v>644</v>
      </c>
      <c r="J2645">
        <v>5600</v>
      </c>
      <c r="K2645" s="1">
        <v>44208</v>
      </c>
      <c r="L2645">
        <v>2021</v>
      </c>
      <c r="M2645" t="str">
        <f>UPPER(TEXT(_2020_2022[[#This Row],[Data da Venda]],"mmm"))</f>
        <v>JAN</v>
      </c>
    </row>
    <row r="2646" spans="1:13" x14ac:dyDescent="0.25">
      <c r="A2646" t="s">
        <v>21</v>
      </c>
      <c r="B2646">
        <v>2400</v>
      </c>
      <c r="C2646">
        <v>3</v>
      </c>
      <c r="D2646" t="s">
        <v>38</v>
      </c>
      <c r="E2646" t="s">
        <v>648</v>
      </c>
      <c r="F2646" t="s">
        <v>946</v>
      </c>
      <c r="G2646" t="s">
        <v>650</v>
      </c>
      <c r="H2646">
        <v>34</v>
      </c>
      <c r="I2646" t="s">
        <v>644</v>
      </c>
      <c r="J2646">
        <v>7200</v>
      </c>
      <c r="K2646" s="1">
        <v>44359</v>
      </c>
      <c r="L2646">
        <v>2021</v>
      </c>
      <c r="M2646" t="str">
        <f>UPPER(TEXT(_2020_2022[[#This Row],[Data da Venda]],"mmm"))</f>
        <v>JUN</v>
      </c>
    </row>
    <row r="2647" spans="1:13" x14ac:dyDescent="0.25">
      <c r="A2647" t="s">
        <v>20</v>
      </c>
      <c r="B2647">
        <v>2600</v>
      </c>
      <c r="C2647">
        <v>5</v>
      </c>
      <c r="D2647" t="s">
        <v>30</v>
      </c>
      <c r="E2647" t="s">
        <v>645</v>
      </c>
      <c r="F2647" t="s">
        <v>752</v>
      </c>
      <c r="G2647" t="s">
        <v>650</v>
      </c>
      <c r="H2647">
        <v>54</v>
      </c>
      <c r="I2647" t="s">
        <v>647</v>
      </c>
      <c r="J2647">
        <v>13000</v>
      </c>
      <c r="K2647" s="1">
        <v>44286</v>
      </c>
      <c r="L2647">
        <v>2021</v>
      </c>
      <c r="M2647" t="str">
        <f>UPPER(TEXT(_2020_2022[[#This Row],[Data da Venda]],"mmm"))</f>
        <v>MAR</v>
      </c>
    </row>
    <row r="2648" spans="1:13" x14ac:dyDescent="0.25">
      <c r="A2648" t="s">
        <v>28</v>
      </c>
      <c r="B2648">
        <v>1400</v>
      </c>
      <c r="C2648">
        <v>4</v>
      </c>
      <c r="D2648" t="s">
        <v>36</v>
      </c>
      <c r="E2648" t="s">
        <v>677</v>
      </c>
      <c r="F2648" t="s">
        <v>1404</v>
      </c>
      <c r="G2648" t="s">
        <v>650</v>
      </c>
      <c r="H2648">
        <v>40</v>
      </c>
      <c r="I2648" t="s">
        <v>644</v>
      </c>
      <c r="J2648">
        <v>5600</v>
      </c>
      <c r="K2648" s="1">
        <v>44374</v>
      </c>
      <c r="L2648">
        <v>2021</v>
      </c>
      <c r="M2648" t="str">
        <f>UPPER(TEXT(_2020_2022[[#This Row],[Data da Venda]],"mmm"))</f>
        <v>JUN</v>
      </c>
    </row>
    <row r="2649" spans="1:13" x14ac:dyDescent="0.25">
      <c r="A2649" t="s">
        <v>1444</v>
      </c>
      <c r="B2649">
        <v>1500</v>
      </c>
      <c r="C2649">
        <v>2</v>
      </c>
      <c r="D2649" t="s">
        <v>39</v>
      </c>
      <c r="E2649" t="s">
        <v>641</v>
      </c>
      <c r="F2649" t="s">
        <v>1405</v>
      </c>
      <c r="G2649" t="s">
        <v>650</v>
      </c>
      <c r="H2649">
        <v>50</v>
      </c>
      <c r="I2649" t="s">
        <v>644</v>
      </c>
      <c r="J2649">
        <v>3000</v>
      </c>
      <c r="K2649" s="1">
        <v>44511</v>
      </c>
      <c r="L2649">
        <v>2021</v>
      </c>
      <c r="M2649" t="str">
        <f>UPPER(TEXT(_2020_2022[[#This Row],[Data da Venda]],"mmm"))</f>
        <v>NOV</v>
      </c>
    </row>
    <row r="2650" spans="1:13" x14ac:dyDescent="0.25">
      <c r="A2650" t="s">
        <v>28</v>
      </c>
      <c r="B2650">
        <v>1400</v>
      </c>
      <c r="C2650">
        <v>1</v>
      </c>
      <c r="D2650" t="s">
        <v>34</v>
      </c>
      <c r="E2650" t="s">
        <v>679</v>
      </c>
      <c r="F2650" t="s">
        <v>906</v>
      </c>
      <c r="G2650" t="s">
        <v>650</v>
      </c>
      <c r="H2650">
        <v>58</v>
      </c>
      <c r="I2650" t="s">
        <v>647</v>
      </c>
      <c r="J2650">
        <v>1400</v>
      </c>
      <c r="K2650" s="1">
        <v>44277</v>
      </c>
      <c r="L2650">
        <v>2021</v>
      </c>
      <c r="M2650" t="str">
        <f>UPPER(TEXT(_2020_2022[[#This Row],[Data da Venda]],"mmm"))</f>
        <v>MAR</v>
      </c>
    </row>
    <row r="2651" spans="1:13" x14ac:dyDescent="0.25">
      <c r="A2651" t="s">
        <v>7</v>
      </c>
      <c r="B2651">
        <v>750</v>
      </c>
      <c r="C2651">
        <v>3</v>
      </c>
      <c r="D2651" t="s">
        <v>30</v>
      </c>
      <c r="E2651" t="s">
        <v>645</v>
      </c>
      <c r="F2651" t="s">
        <v>899</v>
      </c>
      <c r="G2651" t="s">
        <v>650</v>
      </c>
      <c r="H2651">
        <v>69</v>
      </c>
      <c r="I2651" t="s">
        <v>647</v>
      </c>
      <c r="J2651">
        <v>2250</v>
      </c>
      <c r="K2651" s="1">
        <v>44227</v>
      </c>
      <c r="L2651">
        <v>2021</v>
      </c>
      <c r="M2651" t="str">
        <f>UPPER(TEXT(_2020_2022[[#This Row],[Data da Venda]],"mmm"))</f>
        <v>JAN</v>
      </c>
    </row>
    <row r="2652" spans="1:13" x14ac:dyDescent="0.25">
      <c r="A2652" t="s">
        <v>9</v>
      </c>
      <c r="B2652">
        <v>1500</v>
      </c>
      <c r="C2652">
        <v>2</v>
      </c>
      <c r="D2652" t="s">
        <v>31</v>
      </c>
      <c r="E2652" t="s">
        <v>645</v>
      </c>
      <c r="F2652" t="s">
        <v>817</v>
      </c>
      <c r="G2652" t="s">
        <v>643</v>
      </c>
      <c r="H2652">
        <v>32</v>
      </c>
      <c r="I2652" t="s">
        <v>644</v>
      </c>
      <c r="J2652">
        <v>3000</v>
      </c>
      <c r="K2652" s="1">
        <v>44229</v>
      </c>
      <c r="L2652">
        <v>2021</v>
      </c>
      <c r="M2652" t="str">
        <f>UPPER(TEXT(_2020_2022[[#This Row],[Data da Venda]],"mmm"))</f>
        <v>FEV</v>
      </c>
    </row>
    <row r="2653" spans="1:13" x14ac:dyDescent="0.25">
      <c r="A2653" t="s">
        <v>1442</v>
      </c>
      <c r="B2653">
        <v>1200</v>
      </c>
      <c r="C2653">
        <v>4</v>
      </c>
      <c r="D2653" t="s">
        <v>33</v>
      </c>
      <c r="E2653" t="s">
        <v>641</v>
      </c>
      <c r="F2653" t="s">
        <v>1306</v>
      </c>
      <c r="G2653" t="s">
        <v>650</v>
      </c>
      <c r="H2653">
        <v>28</v>
      </c>
      <c r="I2653" t="s">
        <v>651</v>
      </c>
      <c r="J2653">
        <v>4800</v>
      </c>
      <c r="K2653" s="1">
        <v>44510</v>
      </c>
      <c r="L2653">
        <v>2021</v>
      </c>
      <c r="M2653" t="str">
        <f>UPPER(TEXT(_2020_2022[[#This Row],[Data da Venda]],"mmm"))</f>
        <v>NOV</v>
      </c>
    </row>
    <row r="2654" spans="1:13" x14ac:dyDescent="0.25">
      <c r="A2654" t="s">
        <v>1443</v>
      </c>
      <c r="B2654">
        <v>1550</v>
      </c>
      <c r="C2654">
        <v>2</v>
      </c>
      <c r="D2654" t="s">
        <v>40</v>
      </c>
      <c r="E2654" t="s">
        <v>657</v>
      </c>
      <c r="F2654" t="s">
        <v>1203</v>
      </c>
      <c r="G2654" t="s">
        <v>643</v>
      </c>
      <c r="H2654">
        <v>37</v>
      </c>
      <c r="I2654" t="s">
        <v>644</v>
      </c>
      <c r="J2654">
        <v>3100</v>
      </c>
      <c r="K2654" s="1">
        <v>44263</v>
      </c>
      <c r="L2654">
        <v>2021</v>
      </c>
      <c r="M2654" t="str">
        <f>UPPER(TEXT(_2020_2022[[#This Row],[Data da Venda]],"mmm"))</f>
        <v>MAR</v>
      </c>
    </row>
    <row r="2655" spans="1:13" x14ac:dyDescent="0.25">
      <c r="A2655" t="s">
        <v>11</v>
      </c>
      <c r="B2655">
        <v>4500</v>
      </c>
      <c r="C2655">
        <v>5</v>
      </c>
      <c r="D2655" t="s">
        <v>32</v>
      </c>
      <c r="E2655" t="s">
        <v>652</v>
      </c>
      <c r="F2655" t="s">
        <v>1359</v>
      </c>
      <c r="G2655" t="s">
        <v>650</v>
      </c>
      <c r="H2655">
        <v>54</v>
      </c>
      <c r="I2655" t="s">
        <v>647</v>
      </c>
      <c r="J2655">
        <v>22500</v>
      </c>
      <c r="K2655" s="1">
        <v>44475</v>
      </c>
      <c r="L2655">
        <v>2021</v>
      </c>
      <c r="M2655" t="str">
        <f>UPPER(TEXT(_2020_2022[[#This Row],[Data da Venda]],"mmm"))</f>
        <v>OUT</v>
      </c>
    </row>
    <row r="2656" spans="1:13" x14ac:dyDescent="0.25">
      <c r="A2656" t="s">
        <v>14</v>
      </c>
      <c r="B2656">
        <v>2000</v>
      </c>
      <c r="C2656">
        <v>2</v>
      </c>
      <c r="D2656" t="s">
        <v>39</v>
      </c>
      <c r="E2656" t="s">
        <v>641</v>
      </c>
      <c r="F2656" t="s">
        <v>1110</v>
      </c>
      <c r="G2656" t="s">
        <v>643</v>
      </c>
      <c r="H2656">
        <v>28</v>
      </c>
      <c r="I2656" t="s">
        <v>651</v>
      </c>
      <c r="J2656">
        <v>4000</v>
      </c>
      <c r="K2656" s="1">
        <v>44375</v>
      </c>
      <c r="L2656">
        <v>2021</v>
      </c>
      <c r="M2656" t="str">
        <f>UPPER(TEXT(_2020_2022[[#This Row],[Data da Venda]],"mmm"))</f>
        <v>JUN</v>
      </c>
    </row>
    <row r="2657" spans="1:13" x14ac:dyDescent="0.25">
      <c r="A2657" t="s">
        <v>22</v>
      </c>
      <c r="B2657">
        <v>5200</v>
      </c>
      <c r="C2657">
        <v>5</v>
      </c>
      <c r="D2657" t="s">
        <v>30</v>
      </c>
      <c r="E2657" t="s">
        <v>645</v>
      </c>
      <c r="F2657" t="s">
        <v>782</v>
      </c>
      <c r="G2657" t="s">
        <v>643</v>
      </c>
      <c r="H2657">
        <v>50</v>
      </c>
      <c r="I2657" t="s">
        <v>644</v>
      </c>
      <c r="J2657">
        <v>26000</v>
      </c>
      <c r="K2657" s="1">
        <v>44242</v>
      </c>
      <c r="L2657">
        <v>2021</v>
      </c>
      <c r="M2657" t="str">
        <f>UPPER(TEXT(_2020_2022[[#This Row],[Data da Venda]],"mmm"))</f>
        <v>FEV</v>
      </c>
    </row>
    <row r="2658" spans="1:13" x14ac:dyDescent="0.25">
      <c r="A2658" t="s">
        <v>18</v>
      </c>
      <c r="B2658">
        <v>3000</v>
      </c>
      <c r="C2658">
        <v>5</v>
      </c>
      <c r="D2658" t="s">
        <v>37</v>
      </c>
      <c r="E2658" t="s">
        <v>645</v>
      </c>
      <c r="F2658" t="s">
        <v>1158</v>
      </c>
      <c r="G2658" t="s">
        <v>650</v>
      </c>
      <c r="H2658">
        <v>45</v>
      </c>
      <c r="I2658" t="s">
        <v>644</v>
      </c>
      <c r="J2658">
        <v>15000</v>
      </c>
      <c r="K2658" s="1">
        <v>44430</v>
      </c>
      <c r="L2658">
        <v>2021</v>
      </c>
      <c r="M2658" t="str">
        <f>UPPER(TEXT(_2020_2022[[#This Row],[Data da Venda]],"mmm"))</f>
        <v>AGO</v>
      </c>
    </row>
    <row r="2659" spans="1:13" x14ac:dyDescent="0.25">
      <c r="A2659" t="s">
        <v>1440</v>
      </c>
      <c r="B2659">
        <v>700</v>
      </c>
      <c r="C2659">
        <v>5</v>
      </c>
      <c r="D2659" t="s">
        <v>38</v>
      </c>
      <c r="E2659" t="s">
        <v>648</v>
      </c>
      <c r="F2659" t="s">
        <v>931</v>
      </c>
      <c r="G2659" t="s">
        <v>650</v>
      </c>
      <c r="H2659">
        <v>54</v>
      </c>
      <c r="I2659" t="s">
        <v>647</v>
      </c>
      <c r="J2659">
        <v>3500</v>
      </c>
      <c r="K2659" s="1">
        <v>44445</v>
      </c>
      <c r="L2659">
        <v>2021</v>
      </c>
      <c r="M2659" t="str">
        <f>UPPER(TEXT(_2020_2022[[#This Row],[Data da Venda]],"mmm"))</f>
        <v>SET</v>
      </c>
    </row>
    <row r="2660" spans="1:13" x14ac:dyDescent="0.25">
      <c r="A2660" t="s">
        <v>11</v>
      </c>
      <c r="B2660">
        <v>4500</v>
      </c>
      <c r="C2660">
        <v>3</v>
      </c>
      <c r="D2660" t="s">
        <v>38</v>
      </c>
      <c r="E2660" t="s">
        <v>648</v>
      </c>
      <c r="F2660" t="s">
        <v>693</v>
      </c>
      <c r="G2660" t="s">
        <v>643</v>
      </c>
      <c r="H2660">
        <v>62</v>
      </c>
      <c r="I2660" t="s">
        <v>647</v>
      </c>
      <c r="J2660">
        <v>13500</v>
      </c>
      <c r="K2660" s="1">
        <v>44383</v>
      </c>
      <c r="L2660">
        <v>2021</v>
      </c>
      <c r="M2660" t="str">
        <f>UPPER(TEXT(_2020_2022[[#This Row],[Data da Venda]],"mmm"))</f>
        <v>JUL</v>
      </c>
    </row>
    <row r="2661" spans="1:13" x14ac:dyDescent="0.25">
      <c r="A2661" t="s">
        <v>11</v>
      </c>
      <c r="B2661">
        <v>4500</v>
      </c>
      <c r="C2661">
        <v>1</v>
      </c>
      <c r="D2661" t="s">
        <v>35</v>
      </c>
      <c r="E2661" t="s">
        <v>666</v>
      </c>
      <c r="F2661" t="s">
        <v>878</v>
      </c>
      <c r="G2661" t="s">
        <v>650</v>
      </c>
      <c r="H2661">
        <v>26</v>
      </c>
      <c r="I2661" t="s">
        <v>651</v>
      </c>
      <c r="J2661">
        <v>4500</v>
      </c>
      <c r="K2661" s="1">
        <v>44248</v>
      </c>
      <c r="L2661">
        <v>2021</v>
      </c>
      <c r="M2661" t="str">
        <f>UPPER(TEXT(_2020_2022[[#This Row],[Data da Venda]],"mmm"))</f>
        <v>FEV</v>
      </c>
    </row>
    <row r="2662" spans="1:13" x14ac:dyDescent="0.25">
      <c r="A2662" t="s">
        <v>1443</v>
      </c>
      <c r="B2662">
        <v>1550</v>
      </c>
      <c r="C2662">
        <v>4</v>
      </c>
      <c r="D2662" t="s">
        <v>37</v>
      </c>
      <c r="E2662" t="s">
        <v>645</v>
      </c>
      <c r="F2662" t="s">
        <v>1043</v>
      </c>
      <c r="G2662" t="s">
        <v>650</v>
      </c>
      <c r="H2662">
        <v>43</v>
      </c>
      <c r="I2662" t="s">
        <v>644</v>
      </c>
      <c r="J2662">
        <v>6200</v>
      </c>
      <c r="K2662" s="1">
        <v>44427</v>
      </c>
      <c r="L2662">
        <v>2021</v>
      </c>
      <c r="M2662" t="str">
        <f>UPPER(TEXT(_2020_2022[[#This Row],[Data da Venda]],"mmm"))</f>
        <v>AGO</v>
      </c>
    </row>
    <row r="2663" spans="1:13" x14ac:dyDescent="0.25">
      <c r="A2663" t="s">
        <v>13</v>
      </c>
      <c r="B2663">
        <v>2300</v>
      </c>
      <c r="C2663">
        <v>3</v>
      </c>
      <c r="D2663" t="s">
        <v>29</v>
      </c>
      <c r="E2663" t="s">
        <v>641</v>
      </c>
      <c r="F2663" t="s">
        <v>1320</v>
      </c>
      <c r="G2663" t="s">
        <v>643</v>
      </c>
      <c r="H2663">
        <v>41</v>
      </c>
      <c r="I2663" t="s">
        <v>644</v>
      </c>
      <c r="J2663">
        <v>6900</v>
      </c>
      <c r="K2663" s="1">
        <v>44531</v>
      </c>
      <c r="L2663">
        <v>2021</v>
      </c>
      <c r="M2663" t="str">
        <f>UPPER(TEXT(_2020_2022[[#This Row],[Data da Venda]],"mmm"))</f>
        <v>DEZ</v>
      </c>
    </row>
    <row r="2664" spans="1:13" x14ac:dyDescent="0.25">
      <c r="A2664" t="s">
        <v>15</v>
      </c>
      <c r="B2664">
        <v>1900</v>
      </c>
      <c r="C2664">
        <v>4</v>
      </c>
      <c r="D2664" t="s">
        <v>38</v>
      </c>
      <c r="E2664" t="s">
        <v>648</v>
      </c>
      <c r="F2664" t="s">
        <v>749</v>
      </c>
      <c r="G2664" t="s">
        <v>650</v>
      </c>
      <c r="H2664">
        <v>41</v>
      </c>
      <c r="I2664" t="s">
        <v>644</v>
      </c>
      <c r="J2664">
        <v>7600</v>
      </c>
      <c r="K2664" s="1">
        <v>44328</v>
      </c>
      <c r="L2664">
        <v>2021</v>
      </c>
      <c r="M2664" t="str">
        <f>UPPER(TEXT(_2020_2022[[#This Row],[Data da Venda]],"mmm"))</f>
        <v>MAI</v>
      </c>
    </row>
    <row r="2665" spans="1:13" x14ac:dyDescent="0.25">
      <c r="A2665" t="s">
        <v>1444</v>
      </c>
      <c r="B2665">
        <v>1500</v>
      </c>
      <c r="C2665">
        <v>2</v>
      </c>
      <c r="D2665" t="s">
        <v>38</v>
      </c>
      <c r="E2665" t="s">
        <v>648</v>
      </c>
      <c r="F2665" t="s">
        <v>1367</v>
      </c>
      <c r="G2665" t="s">
        <v>650</v>
      </c>
      <c r="H2665">
        <v>48</v>
      </c>
      <c r="I2665" t="s">
        <v>644</v>
      </c>
      <c r="J2665">
        <v>3000</v>
      </c>
      <c r="K2665" s="1">
        <v>44509</v>
      </c>
      <c r="L2665">
        <v>2021</v>
      </c>
      <c r="M2665" t="str">
        <f>UPPER(TEXT(_2020_2022[[#This Row],[Data da Venda]],"mmm"))</f>
        <v>NOV</v>
      </c>
    </row>
    <row r="2666" spans="1:13" x14ac:dyDescent="0.25">
      <c r="A2666" t="s">
        <v>26</v>
      </c>
      <c r="B2666">
        <v>1100</v>
      </c>
      <c r="C2666">
        <v>1</v>
      </c>
      <c r="D2666" t="s">
        <v>38</v>
      </c>
      <c r="E2666" t="s">
        <v>648</v>
      </c>
      <c r="F2666" t="s">
        <v>664</v>
      </c>
      <c r="G2666" t="s">
        <v>650</v>
      </c>
      <c r="H2666">
        <v>38</v>
      </c>
      <c r="I2666" t="s">
        <v>644</v>
      </c>
      <c r="J2666">
        <v>1100</v>
      </c>
      <c r="K2666" s="1">
        <v>44434</v>
      </c>
      <c r="L2666">
        <v>2021</v>
      </c>
      <c r="M2666" t="str">
        <f>UPPER(TEXT(_2020_2022[[#This Row],[Data da Venda]],"mmm"))</f>
        <v>AGO</v>
      </c>
    </row>
    <row r="2667" spans="1:13" x14ac:dyDescent="0.25">
      <c r="A2667" t="s">
        <v>20</v>
      </c>
      <c r="B2667">
        <v>2600</v>
      </c>
      <c r="C2667">
        <v>3</v>
      </c>
      <c r="D2667" t="s">
        <v>37</v>
      </c>
      <c r="E2667" t="s">
        <v>645</v>
      </c>
      <c r="F2667" t="s">
        <v>1334</v>
      </c>
      <c r="G2667" t="s">
        <v>643</v>
      </c>
      <c r="H2667">
        <v>47</v>
      </c>
      <c r="I2667" t="s">
        <v>644</v>
      </c>
      <c r="J2667">
        <v>7800</v>
      </c>
      <c r="K2667" s="1">
        <v>44386</v>
      </c>
      <c r="L2667">
        <v>2021</v>
      </c>
      <c r="M2667" t="str">
        <f>UPPER(TEXT(_2020_2022[[#This Row],[Data da Venda]],"mmm"))</f>
        <v>JUL</v>
      </c>
    </row>
    <row r="2668" spans="1:13" x14ac:dyDescent="0.25">
      <c r="A2668" t="s">
        <v>12</v>
      </c>
      <c r="B2668">
        <v>6500</v>
      </c>
      <c r="C2668">
        <v>5</v>
      </c>
      <c r="D2668" t="s">
        <v>39</v>
      </c>
      <c r="E2668" t="s">
        <v>641</v>
      </c>
      <c r="F2668" t="s">
        <v>1238</v>
      </c>
      <c r="G2668" t="s">
        <v>643</v>
      </c>
      <c r="H2668">
        <v>65</v>
      </c>
      <c r="I2668" t="s">
        <v>647</v>
      </c>
      <c r="J2668">
        <v>32500</v>
      </c>
      <c r="K2668" s="1">
        <v>44397</v>
      </c>
      <c r="L2668">
        <v>2021</v>
      </c>
      <c r="M2668" t="str">
        <f>UPPER(TEXT(_2020_2022[[#This Row],[Data da Venda]],"mmm"))</f>
        <v>JUL</v>
      </c>
    </row>
    <row r="2669" spans="1:13" x14ac:dyDescent="0.25">
      <c r="A2669" t="s">
        <v>26</v>
      </c>
      <c r="B2669">
        <v>1100</v>
      </c>
      <c r="C2669">
        <v>4</v>
      </c>
      <c r="D2669" t="s">
        <v>29</v>
      </c>
      <c r="E2669" t="s">
        <v>641</v>
      </c>
      <c r="F2669" t="s">
        <v>1020</v>
      </c>
      <c r="G2669" t="s">
        <v>650</v>
      </c>
      <c r="H2669">
        <v>40</v>
      </c>
      <c r="I2669" t="s">
        <v>644</v>
      </c>
      <c r="J2669">
        <v>4400</v>
      </c>
      <c r="K2669" s="1">
        <v>44391</v>
      </c>
      <c r="L2669">
        <v>2021</v>
      </c>
      <c r="M2669" t="str">
        <f>UPPER(TEXT(_2020_2022[[#This Row],[Data da Venda]],"mmm"))</f>
        <v>JUL</v>
      </c>
    </row>
    <row r="2670" spans="1:13" x14ac:dyDescent="0.25">
      <c r="A2670" t="s">
        <v>20</v>
      </c>
      <c r="B2670">
        <v>2600</v>
      </c>
      <c r="C2670">
        <v>4</v>
      </c>
      <c r="D2670" t="s">
        <v>38</v>
      </c>
      <c r="E2670" t="s">
        <v>648</v>
      </c>
      <c r="F2670" t="s">
        <v>656</v>
      </c>
      <c r="G2670" t="s">
        <v>643</v>
      </c>
      <c r="H2670">
        <v>37</v>
      </c>
      <c r="I2670" t="s">
        <v>644</v>
      </c>
      <c r="J2670">
        <v>10400</v>
      </c>
      <c r="K2670" s="1">
        <v>44267</v>
      </c>
      <c r="L2670">
        <v>2021</v>
      </c>
      <c r="M2670" t="str">
        <f>UPPER(TEXT(_2020_2022[[#This Row],[Data da Venda]],"mmm"))</f>
        <v>MAR</v>
      </c>
    </row>
    <row r="2671" spans="1:13" x14ac:dyDescent="0.25">
      <c r="A2671" t="s">
        <v>14</v>
      </c>
      <c r="B2671">
        <v>2000</v>
      </c>
      <c r="C2671">
        <v>4</v>
      </c>
      <c r="D2671" t="s">
        <v>39</v>
      </c>
      <c r="E2671" t="s">
        <v>641</v>
      </c>
      <c r="F2671" t="s">
        <v>814</v>
      </c>
      <c r="G2671" t="s">
        <v>650</v>
      </c>
      <c r="H2671">
        <v>66</v>
      </c>
      <c r="I2671" t="s">
        <v>647</v>
      </c>
      <c r="J2671">
        <v>8000</v>
      </c>
      <c r="K2671" s="1">
        <v>44211</v>
      </c>
      <c r="L2671">
        <v>2021</v>
      </c>
      <c r="M2671" t="str">
        <f>UPPER(TEXT(_2020_2022[[#This Row],[Data da Venda]],"mmm"))</f>
        <v>JAN</v>
      </c>
    </row>
    <row r="2672" spans="1:13" x14ac:dyDescent="0.25">
      <c r="A2672" t="s">
        <v>12</v>
      </c>
      <c r="B2672">
        <v>6500</v>
      </c>
      <c r="C2672">
        <v>1</v>
      </c>
      <c r="D2672" t="s">
        <v>40</v>
      </c>
      <c r="E2672" t="s">
        <v>657</v>
      </c>
      <c r="F2672" t="s">
        <v>1332</v>
      </c>
      <c r="G2672" t="s">
        <v>650</v>
      </c>
      <c r="H2672">
        <v>42</v>
      </c>
      <c r="I2672" t="s">
        <v>644</v>
      </c>
      <c r="J2672">
        <v>6500</v>
      </c>
      <c r="K2672" s="1">
        <v>44232</v>
      </c>
      <c r="L2672">
        <v>2021</v>
      </c>
      <c r="M2672" t="str">
        <f>UPPER(TEXT(_2020_2022[[#This Row],[Data da Venda]],"mmm"))</f>
        <v>FEV</v>
      </c>
    </row>
    <row r="2673" spans="1:13" x14ac:dyDescent="0.25">
      <c r="A2673" t="s">
        <v>8</v>
      </c>
      <c r="B2673">
        <v>5500</v>
      </c>
      <c r="C2673">
        <v>1</v>
      </c>
      <c r="D2673" t="s">
        <v>35</v>
      </c>
      <c r="E2673" t="s">
        <v>666</v>
      </c>
      <c r="F2673" t="s">
        <v>780</v>
      </c>
      <c r="G2673" t="s">
        <v>650</v>
      </c>
      <c r="H2673">
        <v>56</v>
      </c>
      <c r="I2673" t="s">
        <v>647</v>
      </c>
      <c r="J2673">
        <v>5500</v>
      </c>
      <c r="K2673" s="1">
        <v>44354</v>
      </c>
      <c r="L2673">
        <v>2021</v>
      </c>
      <c r="M2673" t="str">
        <f>UPPER(TEXT(_2020_2022[[#This Row],[Data da Venda]],"mmm"))</f>
        <v>JUN</v>
      </c>
    </row>
    <row r="2674" spans="1:13" x14ac:dyDescent="0.25">
      <c r="A2674" t="s">
        <v>7</v>
      </c>
      <c r="B2674">
        <v>750</v>
      </c>
      <c r="C2674">
        <v>5</v>
      </c>
      <c r="D2674" t="s">
        <v>29</v>
      </c>
      <c r="E2674" t="s">
        <v>641</v>
      </c>
      <c r="F2674" t="s">
        <v>1240</v>
      </c>
      <c r="G2674" t="s">
        <v>643</v>
      </c>
      <c r="H2674">
        <v>48</v>
      </c>
      <c r="I2674" t="s">
        <v>644</v>
      </c>
      <c r="J2674">
        <v>3750</v>
      </c>
      <c r="K2674" s="1">
        <v>44519</v>
      </c>
      <c r="L2674">
        <v>2021</v>
      </c>
      <c r="M2674" t="str">
        <f>UPPER(TEXT(_2020_2022[[#This Row],[Data da Venda]],"mmm"))</f>
        <v>NOV</v>
      </c>
    </row>
    <row r="2675" spans="1:13" x14ac:dyDescent="0.25">
      <c r="A2675" t="s">
        <v>5</v>
      </c>
      <c r="B2675">
        <v>1750</v>
      </c>
      <c r="C2675">
        <v>4</v>
      </c>
      <c r="D2675" t="s">
        <v>41</v>
      </c>
      <c r="E2675" t="s">
        <v>681</v>
      </c>
      <c r="F2675" t="s">
        <v>1278</v>
      </c>
      <c r="G2675" t="s">
        <v>650</v>
      </c>
      <c r="H2675">
        <v>52</v>
      </c>
      <c r="I2675" t="s">
        <v>647</v>
      </c>
      <c r="J2675">
        <v>7000</v>
      </c>
      <c r="K2675" s="1">
        <v>44204</v>
      </c>
      <c r="L2675">
        <v>2021</v>
      </c>
      <c r="M2675" t="str">
        <f>UPPER(TEXT(_2020_2022[[#This Row],[Data da Venda]],"mmm"))</f>
        <v>JAN</v>
      </c>
    </row>
    <row r="2676" spans="1:13" x14ac:dyDescent="0.25">
      <c r="A2676" t="s">
        <v>18</v>
      </c>
      <c r="B2676">
        <v>3000</v>
      </c>
      <c r="C2676">
        <v>4</v>
      </c>
      <c r="D2676" t="s">
        <v>32</v>
      </c>
      <c r="E2676" t="s">
        <v>652</v>
      </c>
      <c r="F2676" t="s">
        <v>750</v>
      </c>
      <c r="G2676" t="s">
        <v>650</v>
      </c>
      <c r="H2676">
        <v>43</v>
      </c>
      <c r="I2676" t="s">
        <v>644</v>
      </c>
      <c r="J2676">
        <v>12000</v>
      </c>
      <c r="K2676" s="1">
        <v>44301</v>
      </c>
      <c r="L2676">
        <v>2021</v>
      </c>
      <c r="M2676" t="str">
        <f>UPPER(TEXT(_2020_2022[[#This Row],[Data da Venda]],"mmm"))</f>
        <v>ABR</v>
      </c>
    </row>
    <row r="2677" spans="1:13" x14ac:dyDescent="0.25">
      <c r="A2677" t="s">
        <v>7</v>
      </c>
      <c r="B2677">
        <v>750</v>
      </c>
      <c r="C2677">
        <v>1</v>
      </c>
      <c r="D2677" t="s">
        <v>31</v>
      </c>
      <c r="E2677" t="s">
        <v>645</v>
      </c>
      <c r="F2677" t="s">
        <v>938</v>
      </c>
      <c r="G2677" t="s">
        <v>643</v>
      </c>
      <c r="H2677">
        <v>42</v>
      </c>
      <c r="I2677" t="s">
        <v>644</v>
      </c>
      <c r="J2677">
        <v>750</v>
      </c>
      <c r="K2677" s="1">
        <v>44202</v>
      </c>
      <c r="L2677">
        <v>2021</v>
      </c>
      <c r="M2677" t="str">
        <f>UPPER(TEXT(_2020_2022[[#This Row],[Data da Venda]],"mmm"))</f>
        <v>JAN</v>
      </c>
    </row>
    <row r="2678" spans="1:13" x14ac:dyDescent="0.25">
      <c r="A2678" t="s">
        <v>7</v>
      </c>
      <c r="B2678">
        <v>750</v>
      </c>
      <c r="C2678">
        <v>5</v>
      </c>
      <c r="D2678" t="s">
        <v>33</v>
      </c>
      <c r="E2678" t="s">
        <v>641</v>
      </c>
      <c r="F2678" t="s">
        <v>642</v>
      </c>
      <c r="G2678" t="s">
        <v>643</v>
      </c>
      <c r="H2678">
        <v>41</v>
      </c>
      <c r="I2678" t="s">
        <v>644</v>
      </c>
      <c r="J2678">
        <v>3750</v>
      </c>
      <c r="K2678" s="1">
        <v>44444</v>
      </c>
      <c r="L2678">
        <v>2021</v>
      </c>
      <c r="M2678" t="str">
        <f>UPPER(TEXT(_2020_2022[[#This Row],[Data da Venda]],"mmm"))</f>
        <v>SET</v>
      </c>
    </row>
    <row r="2679" spans="1:13" x14ac:dyDescent="0.25">
      <c r="A2679" t="s">
        <v>1440</v>
      </c>
      <c r="B2679">
        <v>700</v>
      </c>
      <c r="C2679">
        <v>3</v>
      </c>
      <c r="D2679" t="s">
        <v>34</v>
      </c>
      <c r="E2679" t="s">
        <v>679</v>
      </c>
      <c r="F2679" t="s">
        <v>869</v>
      </c>
      <c r="G2679" t="s">
        <v>650</v>
      </c>
      <c r="H2679">
        <v>33</v>
      </c>
      <c r="I2679" t="s">
        <v>644</v>
      </c>
      <c r="J2679">
        <v>2100</v>
      </c>
      <c r="K2679" s="1">
        <v>44462</v>
      </c>
      <c r="L2679">
        <v>2021</v>
      </c>
      <c r="M2679" t="str">
        <f>UPPER(TEXT(_2020_2022[[#This Row],[Data da Venda]],"mmm"))</f>
        <v>SET</v>
      </c>
    </row>
    <row r="2680" spans="1:13" x14ac:dyDescent="0.25">
      <c r="A2680" t="s">
        <v>1445</v>
      </c>
      <c r="B2680">
        <v>1500</v>
      </c>
      <c r="C2680">
        <v>5</v>
      </c>
      <c r="D2680" t="s">
        <v>41</v>
      </c>
      <c r="E2680" t="s">
        <v>681</v>
      </c>
      <c r="F2680" t="s">
        <v>1149</v>
      </c>
      <c r="G2680" t="s">
        <v>643</v>
      </c>
      <c r="H2680">
        <v>53</v>
      </c>
      <c r="I2680" t="s">
        <v>647</v>
      </c>
      <c r="J2680">
        <v>7500</v>
      </c>
      <c r="K2680" s="1">
        <v>44547</v>
      </c>
      <c r="L2680">
        <v>2021</v>
      </c>
      <c r="M2680" t="str">
        <f>UPPER(TEXT(_2020_2022[[#This Row],[Data da Venda]],"mmm"))</f>
        <v>DEZ</v>
      </c>
    </row>
    <row r="2681" spans="1:13" x14ac:dyDescent="0.25">
      <c r="A2681" t="s">
        <v>28</v>
      </c>
      <c r="B2681">
        <v>1400</v>
      </c>
      <c r="C2681">
        <v>1</v>
      </c>
      <c r="D2681" t="s">
        <v>39</v>
      </c>
      <c r="E2681" t="s">
        <v>641</v>
      </c>
      <c r="F2681" t="s">
        <v>1018</v>
      </c>
      <c r="G2681" t="s">
        <v>650</v>
      </c>
      <c r="H2681">
        <v>75</v>
      </c>
      <c r="I2681" t="s">
        <v>647</v>
      </c>
      <c r="J2681">
        <v>1400</v>
      </c>
      <c r="K2681" s="1">
        <v>44368</v>
      </c>
      <c r="L2681">
        <v>2021</v>
      </c>
      <c r="M2681" t="str">
        <f>UPPER(TEXT(_2020_2022[[#This Row],[Data da Venda]],"mmm"))</f>
        <v>JUN</v>
      </c>
    </row>
    <row r="2682" spans="1:13" x14ac:dyDescent="0.25">
      <c r="A2682" t="s">
        <v>28</v>
      </c>
      <c r="B2682">
        <v>1400</v>
      </c>
      <c r="C2682">
        <v>3</v>
      </c>
      <c r="D2682" t="s">
        <v>41</v>
      </c>
      <c r="E2682" t="s">
        <v>681</v>
      </c>
      <c r="F2682" t="s">
        <v>1254</v>
      </c>
      <c r="G2682" t="s">
        <v>643</v>
      </c>
      <c r="H2682">
        <v>38</v>
      </c>
      <c r="I2682" t="s">
        <v>644</v>
      </c>
      <c r="J2682">
        <v>4200</v>
      </c>
      <c r="K2682" s="1">
        <v>44473</v>
      </c>
      <c r="L2682">
        <v>2021</v>
      </c>
      <c r="M2682" t="str">
        <f>UPPER(TEXT(_2020_2022[[#This Row],[Data da Venda]],"mmm"))</f>
        <v>OUT</v>
      </c>
    </row>
    <row r="2683" spans="1:13" x14ac:dyDescent="0.25">
      <c r="A2683" t="s">
        <v>5</v>
      </c>
      <c r="B2683">
        <v>1750</v>
      </c>
      <c r="C2683">
        <v>1</v>
      </c>
      <c r="D2683" t="s">
        <v>29</v>
      </c>
      <c r="E2683" t="s">
        <v>641</v>
      </c>
      <c r="F2683" t="s">
        <v>1195</v>
      </c>
      <c r="G2683" t="s">
        <v>643</v>
      </c>
      <c r="H2683">
        <v>74</v>
      </c>
      <c r="I2683" t="s">
        <v>647</v>
      </c>
      <c r="J2683">
        <v>1750</v>
      </c>
      <c r="K2683" s="1">
        <v>44289</v>
      </c>
      <c r="L2683">
        <v>2021</v>
      </c>
      <c r="M2683" t="str">
        <f>UPPER(TEXT(_2020_2022[[#This Row],[Data da Venda]],"mmm"))</f>
        <v>ABR</v>
      </c>
    </row>
    <row r="2684" spans="1:13" x14ac:dyDescent="0.25">
      <c r="A2684" t="s">
        <v>24</v>
      </c>
      <c r="B2684">
        <v>2000</v>
      </c>
      <c r="C2684">
        <v>3</v>
      </c>
      <c r="D2684" t="s">
        <v>40</v>
      </c>
      <c r="E2684" t="s">
        <v>657</v>
      </c>
      <c r="F2684" t="s">
        <v>1230</v>
      </c>
      <c r="G2684" t="s">
        <v>643</v>
      </c>
      <c r="H2684">
        <v>37</v>
      </c>
      <c r="I2684" t="s">
        <v>644</v>
      </c>
      <c r="J2684">
        <v>6000</v>
      </c>
      <c r="K2684" s="1">
        <v>44265</v>
      </c>
      <c r="L2684">
        <v>2021</v>
      </c>
      <c r="M2684" t="str">
        <f>UPPER(TEXT(_2020_2022[[#This Row],[Data da Venda]],"mmm"))</f>
        <v>MAR</v>
      </c>
    </row>
    <row r="2685" spans="1:13" x14ac:dyDescent="0.25">
      <c r="A2685" t="s">
        <v>8</v>
      </c>
      <c r="B2685">
        <v>5500</v>
      </c>
      <c r="C2685">
        <v>2</v>
      </c>
      <c r="D2685" t="s">
        <v>32</v>
      </c>
      <c r="E2685" t="s">
        <v>652</v>
      </c>
      <c r="F2685" t="s">
        <v>744</v>
      </c>
      <c r="G2685" t="s">
        <v>643</v>
      </c>
      <c r="H2685">
        <v>65</v>
      </c>
      <c r="I2685" t="s">
        <v>647</v>
      </c>
      <c r="J2685">
        <v>11000</v>
      </c>
      <c r="K2685" s="1">
        <v>44411</v>
      </c>
      <c r="L2685">
        <v>2021</v>
      </c>
      <c r="M2685" t="str">
        <f>UPPER(TEXT(_2020_2022[[#This Row],[Data da Venda]],"mmm"))</f>
        <v>AGO</v>
      </c>
    </row>
    <row r="2686" spans="1:13" x14ac:dyDescent="0.25">
      <c r="A2686" t="s">
        <v>1445</v>
      </c>
      <c r="B2686">
        <v>1500</v>
      </c>
      <c r="C2686">
        <v>1</v>
      </c>
      <c r="D2686" t="s">
        <v>35</v>
      </c>
      <c r="E2686" t="s">
        <v>666</v>
      </c>
      <c r="F2686" t="s">
        <v>836</v>
      </c>
      <c r="G2686" t="s">
        <v>650</v>
      </c>
      <c r="H2686">
        <v>58</v>
      </c>
      <c r="I2686" t="s">
        <v>647</v>
      </c>
      <c r="J2686">
        <v>1500</v>
      </c>
      <c r="K2686" s="1">
        <v>44235</v>
      </c>
      <c r="L2686">
        <v>2021</v>
      </c>
      <c r="M2686" t="str">
        <f>UPPER(TEXT(_2020_2022[[#This Row],[Data da Venda]],"mmm"))</f>
        <v>FEV</v>
      </c>
    </row>
    <row r="2687" spans="1:13" x14ac:dyDescent="0.25">
      <c r="A2687" t="s">
        <v>15</v>
      </c>
      <c r="B2687">
        <v>1900</v>
      </c>
      <c r="C2687">
        <v>2</v>
      </c>
      <c r="D2687" t="s">
        <v>40</v>
      </c>
      <c r="E2687" t="s">
        <v>657</v>
      </c>
      <c r="F2687" t="s">
        <v>1386</v>
      </c>
      <c r="G2687" t="s">
        <v>650</v>
      </c>
      <c r="H2687">
        <v>57</v>
      </c>
      <c r="I2687" t="s">
        <v>647</v>
      </c>
      <c r="J2687">
        <v>3800</v>
      </c>
      <c r="K2687" s="1">
        <v>44391</v>
      </c>
      <c r="L2687">
        <v>2021</v>
      </c>
      <c r="M2687" t="str">
        <f>UPPER(TEXT(_2020_2022[[#This Row],[Data da Venda]],"mmm"))</f>
        <v>JUL</v>
      </c>
    </row>
    <row r="2688" spans="1:13" x14ac:dyDescent="0.25">
      <c r="A2688" t="s">
        <v>26</v>
      </c>
      <c r="B2688">
        <v>1100</v>
      </c>
      <c r="C2688">
        <v>4</v>
      </c>
      <c r="D2688" t="s">
        <v>30</v>
      </c>
      <c r="E2688" t="s">
        <v>645</v>
      </c>
      <c r="F2688" t="s">
        <v>710</v>
      </c>
      <c r="G2688" t="s">
        <v>643</v>
      </c>
      <c r="H2688">
        <v>41</v>
      </c>
      <c r="I2688" t="s">
        <v>644</v>
      </c>
      <c r="J2688">
        <v>4400</v>
      </c>
      <c r="K2688" s="1">
        <v>44373</v>
      </c>
      <c r="L2688">
        <v>2021</v>
      </c>
      <c r="M2688" t="str">
        <f>UPPER(TEXT(_2020_2022[[#This Row],[Data da Venda]],"mmm"))</f>
        <v>JUN</v>
      </c>
    </row>
    <row r="2689" spans="1:13" x14ac:dyDescent="0.25">
      <c r="A2689" t="s">
        <v>14</v>
      </c>
      <c r="B2689">
        <v>2000</v>
      </c>
      <c r="C2689">
        <v>2</v>
      </c>
      <c r="D2689" t="s">
        <v>33</v>
      </c>
      <c r="E2689" t="s">
        <v>641</v>
      </c>
      <c r="F2689" t="s">
        <v>1123</v>
      </c>
      <c r="G2689" t="s">
        <v>650</v>
      </c>
      <c r="H2689">
        <v>41</v>
      </c>
      <c r="I2689" t="s">
        <v>644</v>
      </c>
      <c r="J2689">
        <v>4000</v>
      </c>
      <c r="K2689" s="1">
        <v>44426</v>
      </c>
      <c r="L2689">
        <v>2021</v>
      </c>
      <c r="M2689" t="str">
        <f>UPPER(TEXT(_2020_2022[[#This Row],[Data da Venda]],"mmm"))</f>
        <v>AGO</v>
      </c>
    </row>
    <row r="2690" spans="1:13" x14ac:dyDescent="0.25">
      <c r="A2690" t="s">
        <v>26</v>
      </c>
      <c r="B2690">
        <v>1100</v>
      </c>
      <c r="C2690">
        <v>1</v>
      </c>
      <c r="D2690" t="s">
        <v>37</v>
      </c>
      <c r="E2690" t="s">
        <v>645</v>
      </c>
      <c r="F2690" t="s">
        <v>668</v>
      </c>
      <c r="G2690" t="s">
        <v>650</v>
      </c>
      <c r="H2690">
        <v>57</v>
      </c>
      <c r="I2690" t="s">
        <v>647</v>
      </c>
      <c r="J2690">
        <v>1100</v>
      </c>
      <c r="K2690" s="1">
        <v>44542</v>
      </c>
      <c r="L2690">
        <v>2021</v>
      </c>
      <c r="M2690" t="str">
        <f>UPPER(TEXT(_2020_2022[[#This Row],[Data da Venda]],"mmm"))</f>
        <v>DEZ</v>
      </c>
    </row>
    <row r="2691" spans="1:13" x14ac:dyDescent="0.25">
      <c r="A2691" t="s">
        <v>5</v>
      </c>
      <c r="B2691">
        <v>1750</v>
      </c>
      <c r="C2691">
        <v>4</v>
      </c>
      <c r="D2691" t="s">
        <v>29</v>
      </c>
      <c r="E2691" t="s">
        <v>641</v>
      </c>
      <c r="F2691" t="s">
        <v>803</v>
      </c>
      <c r="G2691" t="s">
        <v>650</v>
      </c>
      <c r="H2691">
        <v>35</v>
      </c>
      <c r="I2691" t="s">
        <v>644</v>
      </c>
      <c r="J2691">
        <v>7000</v>
      </c>
      <c r="K2691" s="1">
        <v>44306</v>
      </c>
      <c r="L2691">
        <v>2021</v>
      </c>
      <c r="M2691" t="str">
        <f>UPPER(TEXT(_2020_2022[[#This Row],[Data da Venda]],"mmm"))</f>
        <v>ABR</v>
      </c>
    </row>
    <row r="2692" spans="1:13" x14ac:dyDescent="0.25">
      <c r="A2692" t="s">
        <v>1440</v>
      </c>
      <c r="B2692">
        <v>700</v>
      </c>
      <c r="C2692">
        <v>1</v>
      </c>
      <c r="D2692" t="s">
        <v>38</v>
      </c>
      <c r="E2692" t="s">
        <v>648</v>
      </c>
      <c r="F2692" t="s">
        <v>922</v>
      </c>
      <c r="G2692" t="s">
        <v>650</v>
      </c>
      <c r="H2692">
        <v>50</v>
      </c>
      <c r="I2692" t="s">
        <v>644</v>
      </c>
      <c r="J2692">
        <v>700</v>
      </c>
      <c r="K2692" s="1">
        <v>44273</v>
      </c>
      <c r="L2692">
        <v>2021</v>
      </c>
      <c r="M2692" t="str">
        <f>UPPER(TEXT(_2020_2022[[#This Row],[Data da Venda]],"mmm"))</f>
        <v>MAR</v>
      </c>
    </row>
    <row r="2693" spans="1:13" x14ac:dyDescent="0.25">
      <c r="A2693" t="s">
        <v>16</v>
      </c>
      <c r="B2693">
        <v>1400</v>
      </c>
      <c r="C2693">
        <v>1</v>
      </c>
      <c r="D2693" t="s">
        <v>41</v>
      </c>
      <c r="E2693" t="s">
        <v>681</v>
      </c>
      <c r="F2693" t="s">
        <v>671</v>
      </c>
      <c r="G2693" t="s">
        <v>643</v>
      </c>
      <c r="H2693">
        <v>64</v>
      </c>
      <c r="I2693" t="s">
        <v>647</v>
      </c>
      <c r="J2693">
        <v>1400</v>
      </c>
      <c r="K2693" s="1">
        <v>44361</v>
      </c>
      <c r="L2693">
        <v>2021</v>
      </c>
      <c r="M2693" t="str">
        <f>UPPER(TEXT(_2020_2022[[#This Row],[Data da Venda]],"mmm"))</f>
        <v>JUN</v>
      </c>
    </row>
    <row r="2694" spans="1:13" x14ac:dyDescent="0.25">
      <c r="A2694" t="s">
        <v>28</v>
      </c>
      <c r="B2694">
        <v>1400</v>
      </c>
      <c r="C2694">
        <v>4</v>
      </c>
      <c r="D2694" t="s">
        <v>30</v>
      </c>
      <c r="E2694" t="s">
        <v>645</v>
      </c>
      <c r="F2694" t="s">
        <v>725</v>
      </c>
      <c r="G2694" t="s">
        <v>650</v>
      </c>
      <c r="H2694">
        <v>36</v>
      </c>
      <c r="I2694" t="s">
        <v>644</v>
      </c>
      <c r="J2694">
        <v>5600</v>
      </c>
      <c r="K2694" s="1">
        <v>44246</v>
      </c>
      <c r="L2694">
        <v>2021</v>
      </c>
      <c r="M2694" t="str">
        <f>UPPER(TEXT(_2020_2022[[#This Row],[Data da Venda]],"mmm"))</f>
        <v>FEV</v>
      </c>
    </row>
    <row r="2695" spans="1:13" x14ac:dyDescent="0.25">
      <c r="A2695" t="s">
        <v>15</v>
      </c>
      <c r="B2695">
        <v>1900</v>
      </c>
      <c r="C2695">
        <v>5</v>
      </c>
      <c r="D2695" t="s">
        <v>40</v>
      </c>
      <c r="E2695" t="s">
        <v>657</v>
      </c>
      <c r="F2695" t="s">
        <v>1037</v>
      </c>
      <c r="G2695" t="s">
        <v>650</v>
      </c>
      <c r="H2695">
        <v>36</v>
      </c>
      <c r="I2695" t="s">
        <v>644</v>
      </c>
      <c r="J2695">
        <v>9500</v>
      </c>
      <c r="K2695" s="1">
        <v>44476</v>
      </c>
      <c r="L2695">
        <v>2021</v>
      </c>
      <c r="M2695" t="str">
        <f>UPPER(TEXT(_2020_2022[[#This Row],[Data da Venda]],"mmm"))</f>
        <v>OUT</v>
      </c>
    </row>
    <row r="2696" spans="1:13" x14ac:dyDescent="0.25">
      <c r="A2696" t="s">
        <v>9</v>
      </c>
      <c r="B2696">
        <v>1500</v>
      </c>
      <c r="C2696">
        <v>1</v>
      </c>
      <c r="D2696" t="s">
        <v>38</v>
      </c>
      <c r="E2696" t="s">
        <v>648</v>
      </c>
      <c r="F2696" t="s">
        <v>1091</v>
      </c>
      <c r="G2696" t="s">
        <v>650</v>
      </c>
      <c r="H2696">
        <v>40</v>
      </c>
      <c r="I2696" t="s">
        <v>644</v>
      </c>
      <c r="J2696">
        <v>1500</v>
      </c>
      <c r="K2696" s="1">
        <v>44535</v>
      </c>
      <c r="L2696">
        <v>2021</v>
      </c>
      <c r="M2696" t="str">
        <f>UPPER(TEXT(_2020_2022[[#This Row],[Data da Venda]],"mmm"))</f>
        <v>DEZ</v>
      </c>
    </row>
    <row r="2697" spans="1:13" x14ac:dyDescent="0.25">
      <c r="A2697" t="s">
        <v>1441</v>
      </c>
      <c r="B2697">
        <v>1450</v>
      </c>
      <c r="C2697">
        <v>1</v>
      </c>
      <c r="D2697" t="s">
        <v>39</v>
      </c>
      <c r="E2697" t="s">
        <v>641</v>
      </c>
      <c r="F2697" t="s">
        <v>1216</v>
      </c>
      <c r="G2697" t="s">
        <v>643</v>
      </c>
      <c r="H2697">
        <v>45</v>
      </c>
      <c r="I2697" t="s">
        <v>644</v>
      </c>
      <c r="J2697">
        <v>1450</v>
      </c>
      <c r="K2697" s="1">
        <v>44222</v>
      </c>
      <c r="L2697">
        <v>2021</v>
      </c>
      <c r="M2697" t="str">
        <f>UPPER(TEXT(_2020_2022[[#This Row],[Data da Venda]],"mmm"))</f>
        <v>JAN</v>
      </c>
    </row>
    <row r="2698" spans="1:13" x14ac:dyDescent="0.25">
      <c r="A2698" t="s">
        <v>12</v>
      </c>
      <c r="B2698">
        <v>6500</v>
      </c>
      <c r="C2698">
        <v>2</v>
      </c>
      <c r="D2698" t="s">
        <v>32</v>
      </c>
      <c r="E2698" t="s">
        <v>652</v>
      </c>
      <c r="F2698" t="s">
        <v>1053</v>
      </c>
      <c r="G2698" t="s">
        <v>643</v>
      </c>
      <c r="H2698">
        <v>27</v>
      </c>
      <c r="I2698" t="s">
        <v>651</v>
      </c>
      <c r="J2698">
        <v>13000</v>
      </c>
      <c r="K2698" s="1">
        <v>44285</v>
      </c>
      <c r="L2698">
        <v>2021</v>
      </c>
      <c r="M2698" t="str">
        <f>UPPER(TEXT(_2020_2022[[#This Row],[Data da Venda]],"mmm"))</f>
        <v>MAR</v>
      </c>
    </row>
    <row r="2699" spans="1:13" x14ac:dyDescent="0.25">
      <c r="A2699" t="s">
        <v>5</v>
      </c>
      <c r="B2699">
        <v>1750</v>
      </c>
      <c r="C2699">
        <v>2</v>
      </c>
      <c r="D2699" t="s">
        <v>40</v>
      </c>
      <c r="E2699" t="s">
        <v>657</v>
      </c>
      <c r="F2699" t="s">
        <v>932</v>
      </c>
      <c r="G2699" t="s">
        <v>643</v>
      </c>
      <c r="H2699">
        <v>37</v>
      </c>
      <c r="I2699" t="s">
        <v>644</v>
      </c>
      <c r="J2699">
        <v>3500</v>
      </c>
      <c r="K2699" s="1">
        <v>44317</v>
      </c>
      <c r="L2699">
        <v>2021</v>
      </c>
      <c r="M2699" t="str">
        <f>UPPER(TEXT(_2020_2022[[#This Row],[Data da Venda]],"mmm"))</f>
        <v>MAI</v>
      </c>
    </row>
    <row r="2700" spans="1:13" x14ac:dyDescent="0.25">
      <c r="A2700" t="s">
        <v>8</v>
      </c>
      <c r="B2700">
        <v>5500</v>
      </c>
      <c r="C2700">
        <v>3</v>
      </c>
      <c r="D2700" t="s">
        <v>32</v>
      </c>
      <c r="E2700" t="s">
        <v>652</v>
      </c>
      <c r="F2700" t="s">
        <v>744</v>
      </c>
      <c r="G2700" t="s">
        <v>643</v>
      </c>
      <c r="H2700">
        <v>65</v>
      </c>
      <c r="I2700" t="s">
        <v>647</v>
      </c>
      <c r="J2700">
        <v>16500</v>
      </c>
      <c r="K2700" s="1">
        <v>44430</v>
      </c>
      <c r="L2700">
        <v>2021</v>
      </c>
      <c r="M2700" t="str">
        <f>UPPER(TEXT(_2020_2022[[#This Row],[Data da Venda]],"mmm"))</f>
        <v>AGO</v>
      </c>
    </row>
    <row r="2701" spans="1:13" x14ac:dyDescent="0.25">
      <c r="A2701" t="s">
        <v>15</v>
      </c>
      <c r="B2701">
        <v>1900</v>
      </c>
      <c r="C2701">
        <v>5</v>
      </c>
      <c r="D2701" t="s">
        <v>32</v>
      </c>
      <c r="E2701" t="s">
        <v>652</v>
      </c>
      <c r="F2701" t="s">
        <v>744</v>
      </c>
      <c r="G2701" t="s">
        <v>643</v>
      </c>
      <c r="H2701">
        <v>65</v>
      </c>
      <c r="I2701" t="s">
        <v>647</v>
      </c>
      <c r="J2701">
        <v>9500</v>
      </c>
      <c r="K2701" s="1">
        <v>44424</v>
      </c>
      <c r="L2701">
        <v>2021</v>
      </c>
      <c r="M2701" t="str">
        <f>UPPER(TEXT(_2020_2022[[#This Row],[Data da Venda]],"mmm"))</f>
        <v>AGO</v>
      </c>
    </row>
    <row r="2702" spans="1:13" x14ac:dyDescent="0.25">
      <c r="A2702" t="s">
        <v>5</v>
      </c>
      <c r="B2702">
        <v>1750</v>
      </c>
      <c r="C2702">
        <v>5</v>
      </c>
      <c r="D2702" t="s">
        <v>30</v>
      </c>
      <c r="E2702" t="s">
        <v>645</v>
      </c>
      <c r="F2702" t="s">
        <v>835</v>
      </c>
      <c r="G2702" t="s">
        <v>650</v>
      </c>
      <c r="H2702">
        <v>61</v>
      </c>
      <c r="I2702" t="s">
        <v>647</v>
      </c>
      <c r="J2702">
        <v>8750</v>
      </c>
      <c r="K2702" s="1">
        <v>44394</v>
      </c>
      <c r="L2702">
        <v>2021</v>
      </c>
      <c r="M2702" t="str">
        <f>UPPER(TEXT(_2020_2022[[#This Row],[Data da Venda]],"mmm"))</f>
        <v>JUL</v>
      </c>
    </row>
    <row r="2703" spans="1:13" x14ac:dyDescent="0.25">
      <c r="A2703" t="s">
        <v>28</v>
      </c>
      <c r="B2703">
        <v>1400</v>
      </c>
      <c r="C2703">
        <v>4</v>
      </c>
      <c r="D2703" t="s">
        <v>31</v>
      </c>
      <c r="E2703" t="s">
        <v>645</v>
      </c>
      <c r="F2703" t="s">
        <v>846</v>
      </c>
      <c r="G2703" t="s">
        <v>643</v>
      </c>
      <c r="H2703">
        <v>35</v>
      </c>
      <c r="I2703" t="s">
        <v>644</v>
      </c>
      <c r="J2703">
        <v>5600</v>
      </c>
      <c r="K2703" s="1">
        <v>44253</v>
      </c>
      <c r="L2703">
        <v>2021</v>
      </c>
      <c r="M2703" t="str">
        <f>UPPER(TEXT(_2020_2022[[#This Row],[Data da Venda]],"mmm"))</f>
        <v>FEV</v>
      </c>
    </row>
    <row r="2704" spans="1:13" x14ac:dyDescent="0.25">
      <c r="A2704" t="s">
        <v>5</v>
      </c>
      <c r="B2704">
        <v>1750</v>
      </c>
      <c r="C2704">
        <v>1</v>
      </c>
      <c r="D2704" t="s">
        <v>29</v>
      </c>
      <c r="E2704" t="s">
        <v>641</v>
      </c>
      <c r="F2704" t="s">
        <v>969</v>
      </c>
      <c r="G2704" t="s">
        <v>650</v>
      </c>
      <c r="H2704">
        <v>34</v>
      </c>
      <c r="I2704" t="s">
        <v>644</v>
      </c>
      <c r="J2704">
        <v>1750</v>
      </c>
      <c r="K2704" s="1">
        <v>44511</v>
      </c>
      <c r="L2704">
        <v>2021</v>
      </c>
      <c r="M2704" t="str">
        <f>UPPER(TEXT(_2020_2022[[#This Row],[Data da Venda]],"mmm"))</f>
        <v>NOV</v>
      </c>
    </row>
    <row r="2705" spans="1:13" x14ac:dyDescent="0.25">
      <c r="A2705" t="s">
        <v>11</v>
      </c>
      <c r="B2705">
        <v>4500</v>
      </c>
      <c r="C2705">
        <v>1</v>
      </c>
      <c r="D2705" t="s">
        <v>29</v>
      </c>
      <c r="E2705" t="s">
        <v>641</v>
      </c>
      <c r="F2705" t="s">
        <v>957</v>
      </c>
      <c r="G2705" t="s">
        <v>643</v>
      </c>
      <c r="H2705">
        <v>38</v>
      </c>
      <c r="I2705" t="s">
        <v>644</v>
      </c>
      <c r="J2705">
        <v>4500</v>
      </c>
      <c r="K2705" s="1">
        <v>44326</v>
      </c>
      <c r="L2705">
        <v>2021</v>
      </c>
      <c r="M2705" t="str">
        <f>UPPER(TEXT(_2020_2022[[#This Row],[Data da Venda]],"mmm"))</f>
        <v>MAI</v>
      </c>
    </row>
    <row r="2706" spans="1:13" x14ac:dyDescent="0.25">
      <c r="A2706" t="s">
        <v>1445</v>
      </c>
      <c r="B2706">
        <v>1500</v>
      </c>
      <c r="C2706">
        <v>1</v>
      </c>
      <c r="D2706" t="s">
        <v>34</v>
      </c>
      <c r="E2706" t="s">
        <v>679</v>
      </c>
      <c r="F2706" t="s">
        <v>1190</v>
      </c>
      <c r="G2706" t="s">
        <v>643</v>
      </c>
      <c r="H2706">
        <v>48</v>
      </c>
      <c r="I2706" t="s">
        <v>644</v>
      </c>
      <c r="J2706">
        <v>1500</v>
      </c>
      <c r="K2706" s="1">
        <v>44479</v>
      </c>
      <c r="L2706">
        <v>2021</v>
      </c>
      <c r="M2706" t="str">
        <f>UPPER(TEXT(_2020_2022[[#This Row],[Data da Venda]],"mmm"))</f>
        <v>OUT</v>
      </c>
    </row>
    <row r="2707" spans="1:13" x14ac:dyDescent="0.25">
      <c r="A2707" t="s">
        <v>1441</v>
      </c>
      <c r="B2707">
        <v>1450</v>
      </c>
      <c r="C2707">
        <v>5</v>
      </c>
      <c r="D2707" t="s">
        <v>37</v>
      </c>
      <c r="E2707" t="s">
        <v>645</v>
      </c>
      <c r="F2707" t="s">
        <v>1348</v>
      </c>
      <c r="G2707" t="s">
        <v>650</v>
      </c>
      <c r="H2707">
        <v>61</v>
      </c>
      <c r="I2707" t="s">
        <v>647</v>
      </c>
      <c r="J2707">
        <v>7250</v>
      </c>
      <c r="K2707" s="1">
        <v>44400</v>
      </c>
      <c r="L2707">
        <v>2021</v>
      </c>
      <c r="M2707" t="str">
        <f>UPPER(TEXT(_2020_2022[[#This Row],[Data da Venda]],"mmm"))</f>
        <v>JUL</v>
      </c>
    </row>
    <row r="2708" spans="1:13" x14ac:dyDescent="0.25">
      <c r="A2708" t="s">
        <v>1441</v>
      </c>
      <c r="B2708">
        <v>1450</v>
      </c>
      <c r="C2708">
        <v>5</v>
      </c>
      <c r="D2708" t="s">
        <v>39</v>
      </c>
      <c r="E2708" t="s">
        <v>641</v>
      </c>
      <c r="F2708" t="s">
        <v>1310</v>
      </c>
      <c r="G2708" t="s">
        <v>643</v>
      </c>
      <c r="H2708">
        <v>31</v>
      </c>
      <c r="I2708" t="s">
        <v>644</v>
      </c>
      <c r="J2708">
        <v>7250</v>
      </c>
      <c r="K2708" s="1">
        <v>44416</v>
      </c>
      <c r="L2708">
        <v>2021</v>
      </c>
      <c r="M2708" t="str">
        <f>UPPER(TEXT(_2020_2022[[#This Row],[Data da Venda]],"mmm"))</f>
        <v>AGO</v>
      </c>
    </row>
    <row r="2709" spans="1:13" x14ac:dyDescent="0.25">
      <c r="A2709" t="s">
        <v>22</v>
      </c>
      <c r="B2709">
        <v>5200</v>
      </c>
      <c r="C2709">
        <v>4</v>
      </c>
      <c r="D2709" t="s">
        <v>30</v>
      </c>
      <c r="E2709" t="s">
        <v>645</v>
      </c>
      <c r="F2709" t="s">
        <v>850</v>
      </c>
      <c r="G2709" t="s">
        <v>650</v>
      </c>
      <c r="H2709">
        <v>33</v>
      </c>
      <c r="I2709" t="s">
        <v>644</v>
      </c>
      <c r="J2709">
        <v>20800</v>
      </c>
      <c r="K2709" s="1">
        <v>44528</v>
      </c>
      <c r="L2709">
        <v>2021</v>
      </c>
      <c r="M2709" t="str">
        <f>UPPER(TEXT(_2020_2022[[#This Row],[Data da Venda]],"mmm"))</f>
        <v>NOV</v>
      </c>
    </row>
    <row r="2710" spans="1:13" x14ac:dyDescent="0.25">
      <c r="A2710" t="s">
        <v>1440</v>
      </c>
      <c r="B2710">
        <v>700</v>
      </c>
      <c r="C2710">
        <v>5</v>
      </c>
      <c r="D2710" t="s">
        <v>39</v>
      </c>
      <c r="E2710" t="s">
        <v>641</v>
      </c>
      <c r="F2710" t="s">
        <v>1153</v>
      </c>
      <c r="G2710" t="s">
        <v>650</v>
      </c>
      <c r="H2710">
        <v>61</v>
      </c>
      <c r="I2710" t="s">
        <v>647</v>
      </c>
      <c r="J2710">
        <v>3500</v>
      </c>
      <c r="K2710" s="1">
        <v>44527</v>
      </c>
      <c r="L2710">
        <v>2021</v>
      </c>
      <c r="M2710" t="str">
        <f>UPPER(TEXT(_2020_2022[[#This Row],[Data da Venda]],"mmm"))</f>
        <v>NOV</v>
      </c>
    </row>
    <row r="2711" spans="1:13" x14ac:dyDescent="0.25">
      <c r="A2711" t="s">
        <v>20</v>
      </c>
      <c r="B2711">
        <v>2600</v>
      </c>
      <c r="C2711">
        <v>1</v>
      </c>
      <c r="D2711" t="s">
        <v>41</v>
      </c>
      <c r="E2711" t="s">
        <v>681</v>
      </c>
      <c r="F2711" t="s">
        <v>1398</v>
      </c>
      <c r="G2711" t="s">
        <v>643</v>
      </c>
      <c r="H2711">
        <v>46</v>
      </c>
      <c r="I2711" t="s">
        <v>644</v>
      </c>
      <c r="J2711">
        <v>2600</v>
      </c>
      <c r="K2711" s="1">
        <v>44470</v>
      </c>
      <c r="L2711">
        <v>2021</v>
      </c>
      <c r="M2711" t="str">
        <f>UPPER(TEXT(_2020_2022[[#This Row],[Data da Venda]],"mmm"))</f>
        <v>OUT</v>
      </c>
    </row>
    <row r="2712" spans="1:13" x14ac:dyDescent="0.25">
      <c r="A2712" t="s">
        <v>14</v>
      </c>
      <c r="B2712">
        <v>2000</v>
      </c>
      <c r="C2712">
        <v>1</v>
      </c>
      <c r="D2712" t="s">
        <v>40</v>
      </c>
      <c r="E2712" t="s">
        <v>657</v>
      </c>
      <c r="F2712" t="s">
        <v>920</v>
      </c>
      <c r="G2712" t="s">
        <v>650</v>
      </c>
      <c r="H2712">
        <v>27</v>
      </c>
      <c r="I2712" t="s">
        <v>651</v>
      </c>
      <c r="J2712">
        <v>2000</v>
      </c>
      <c r="K2712" s="1">
        <v>44296</v>
      </c>
      <c r="L2712">
        <v>2021</v>
      </c>
      <c r="M2712" t="str">
        <f>UPPER(TEXT(_2020_2022[[#This Row],[Data da Venda]],"mmm"))</f>
        <v>ABR</v>
      </c>
    </row>
    <row r="2713" spans="1:13" x14ac:dyDescent="0.25">
      <c r="A2713" t="s">
        <v>11</v>
      </c>
      <c r="B2713">
        <v>4500</v>
      </c>
      <c r="C2713">
        <v>3</v>
      </c>
      <c r="D2713" t="s">
        <v>29</v>
      </c>
      <c r="E2713" t="s">
        <v>641</v>
      </c>
      <c r="F2713" t="s">
        <v>978</v>
      </c>
      <c r="G2713" t="s">
        <v>650</v>
      </c>
      <c r="H2713">
        <v>51</v>
      </c>
      <c r="I2713" t="s">
        <v>647</v>
      </c>
      <c r="J2713">
        <v>13500</v>
      </c>
      <c r="K2713" s="1">
        <v>44317</v>
      </c>
      <c r="L2713">
        <v>2021</v>
      </c>
      <c r="M2713" t="str">
        <f>UPPER(TEXT(_2020_2022[[#This Row],[Data da Venda]],"mmm"))</f>
        <v>MAI</v>
      </c>
    </row>
    <row r="2714" spans="1:13" x14ac:dyDescent="0.25">
      <c r="A2714" t="s">
        <v>22</v>
      </c>
      <c r="B2714">
        <v>5200</v>
      </c>
      <c r="C2714">
        <v>2</v>
      </c>
      <c r="D2714" t="s">
        <v>41</v>
      </c>
      <c r="E2714" t="s">
        <v>681</v>
      </c>
      <c r="F2714" t="s">
        <v>1276</v>
      </c>
      <c r="G2714" t="s">
        <v>643</v>
      </c>
      <c r="H2714">
        <v>47</v>
      </c>
      <c r="I2714" t="s">
        <v>644</v>
      </c>
      <c r="J2714">
        <v>10400</v>
      </c>
      <c r="K2714" s="1">
        <v>44462</v>
      </c>
      <c r="L2714">
        <v>2021</v>
      </c>
      <c r="M2714" t="str">
        <f>UPPER(TEXT(_2020_2022[[#This Row],[Data da Venda]],"mmm"))</f>
        <v>SET</v>
      </c>
    </row>
    <row r="2715" spans="1:13" x14ac:dyDescent="0.25">
      <c r="A2715" t="s">
        <v>1442</v>
      </c>
      <c r="B2715">
        <v>1200</v>
      </c>
      <c r="C2715">
        <v>4</v>
      </c>
      <c r="D2715" t="s">
        <v>31</v>
      </c>
      <c r="E2715" t="s">
        <v>645</v>
      </c>
      <c r="F2715" t="s">
        <v>1302</v>
      </c>
      <c r="G2715" t="s">
        <v>643</v>
      </c>
      <c r="H2715">
        <v>73</v>
      </c>
      <c r="I2715" t="s">
        <v>647</v>
      </c>
      <c r="J2715">
        <v>4800</v>
      </c>
      <c r="K2715" s="1">
        <v>44368</v>
      </c>
      <c r="L2715">
        <v>2021</v>
      </c>
      <c r="M2715" t="str">
        <f>UPPER(TEXT(_2020_2022[[#This Row],[Data da Venda]],"mmm"))</f>
        <v>JUN</v>
      </c>
    </row>
    <row r="2716" spans="1:13" x14ac:dyDescent="0.25">
      <c r="A2716" t="s">
        <v>24</v>
      </c>
      <c r="B2716">
        <v>2000</v>
      </c>
      <c r="C2716">
        <v>5</v>
      </c>
      <c r="D2716" t="s">
        <v>40</v>
      </c>
      <c r="E2716" t="s">
        <v>657</v>
      </c>
      <c r="F2716" t="s">
        <v>1010</v>
      </c>
      <c r="G2716" t="s">
        <v>643</v>
      </c>
      <c r="H2716">
        <v>45</v>
      </c>
      <c r="I2716" t="s">
        <v>644</v>
      </c>
      <c r="J2716">
        <v>10000</v>
      </c>
      <c r="K2716" s="1">
        <v>44270</v>
      </c>
      <c r="L2716">
        <v>2021</v>
      </c>
      <c r="M2716" t="str">
        <f>UPPER(TEXT(_2020_2022[[#This Row],[Data da Venda]],"mmm"))</f>
        <v>MAR</v>
      </c>
    </row>
    <row r="2717" spans="1:13" x14ac:dyDescent="0.25">
      <c r="A2717" t="s">
        <v>13</v>
      </c>
      <c r="B2717">
        <v>2300</v>
      </c>
      <c r="C2717">
        <v>3</v>
      </c>
      <c r="D2717" t="s">
        <v>31</v>
      </c>
      <c r="E2717" t="s">
        <v>645</v>
      </c>
      <c r="F2717" t="s">
        <v>1071</v>
      </c>
      <c r="G2717" t="s">
        <v>643</v>
      </c>
      <c r="H2717">
        <v>51</v>
      </c>
      <c r="I2717" t="s">
        <v>647</v>
      </c>
      <c r="J2717">
        <v>6900</v>
      </c>
      <c r="K2717" s="1">
        <v>44425</v>
      </c>
      <c r="L2717">
        <v>2021</v>
      </c>
      <c r="M2717" t="str">
        <f>UPPER(TEXT(_2020_2022[[#This Row],[Data da Venda]],"mmm"))</f>
        <v>AGO</v>
      </c>
    </row>
    <row r="2718" spans="1:13" x14ac:dyDescent="0.25">
      <c r="A2718" t="s">
        <v>1440</v>
      </c>
      <c r="B2718">
        <v>700</v>
      </c>
      <c r="C2718">
        <v>1</v>
      </c>
      <c r="D2718" t="s">
        <v>40</v>
      </c>
      <c r="E2718" t="s">
        <v>657</v>
      </c>
      <c r="F2718" t="s">
        <v>1200</v>
      </c>
      <c r="G2718" t="s">
        <v>650</v>
      </c>
      <c r="H2718">
        <v>64</v>
      </c>
      <c r="I2718" t="s">
        <v>647</v>
      </c>
      <c r="J2718">
        <v>700</v>
      </c>
      <c r="K2718" s="1">
        <v>44247</v>
      </c>
      <c r="L2718">
        <v>2021</v>
      </c>
      <c r="M2718" t="str">
        <f>UPPER(TEXT(_2020_2022[[#This Row],[Data da Venda]],"mmm"))</f>
        <v>FEV</v>
      </c>
    </row>
    <row r="2719" spans="1:13" x14ac:dyDescent="0.25">
      <c r="A2719" t="s">
        <v>15</v>
      </c>
      <c r="B2719">
        <v>1900</v>
      </c>
      <c r="C2719">
        <v>5</v>
      </c>
      <c r="D2719" t="s">
        <v>37</v>
      </c>
      <c r="E2719" t="s">
        <v>645</v>
      </c>
      <c r="F2719" t="s">
        <v>746</v>
      </c>
      <c r="G2719" t="s">
        <v>643</v>
      </c>
      <c r="H2719">
        <v>45</v>
      </c>
      <c r="I2719" t="s">
        <v>644</v>
      </c>
      <c r="J2719">
        <v>9500</v>
      </c>
      <c r="K2719" s="1">
        <v>44489</v>
      </c>
      <c r="L2719">
        <v>2021</v>
      </c>
      <c r="M2719" t="str">
        <f>UPPER(TEXT(_2020_2022[[#This Row],[Data da Venda]],"mmm"))</f>
        <v>OUT</v>
      </c>
    </row>
    <row r="2720" spans="1:13" x14ac:dyDescent="0.25">
      <c r="A2720" t="s">
        <v>15</v>
      </c>
      <c r="B2720">
        <v>1900</v>
      </c>
      <c r="C2720">
        <v>4</v>
      </c>
      <c r="D2720" t="s">
        <v>41</v>
      </c>
      <c r="E2720" t="s">
        <v>681</v>
      </c>
      <c r="F2720" t="s">
        <v>1246</v>
      </c>
      <c r="G2720" t="s">
        <v>650</v>
      </c>
      <c r="H2720">
        <v>42</v>
      </c>
      <c r="I2720" t="s">
        <v>644</v>
      </c>
      <c r="J2720">
        <v>7600</v>
      </c>
      <c r="K2720" s="1">
        <v>44460</v>
      </c>
      <c r="L2720">
        <v>2021</v>
      </c>
      <c r="M2720" t="str">
        <f>UPPER(TEXT(_2020_2022[[#This Row],[Data da Venda]],"mmm"))</f>
        <v>SET</v>
      </c>
    </row>
    <row r="2721" spans="1:13" x14ac:dyDescent="0.25">
      <c r="A2721" t="s">
        <v>1440</v>
      </c>
      <c r="B2721">
        <v>700</v>
      </c>
      <c r="C2721">
        <v>5</v>
      </c>
      <c r="D2721" t="s">
        <v>33</v>
      </c>
      <c r="E2721" t="s">
        <v>641</v>
      </c>
      <c r="F2721" t="s">
        <v>783</v>
      </c>
      <c r="G2721" t="s">
        <v>650</v>
      </c>
      <c r="H2721">
        <v>66</v>
      </c>
      <c r="I2721" t="s">
        <v>647</v>
      </c>
      <c r="J2721">
        <v>3500</v>
      </c>
      <c r="K2721" s="1">
        <v>44285</v>
      </c>
      <c r="L2721">
        <v>2021</v>
      </c>
      <c r="M2721" t="str">
        <f>UPPER(TEXT(_2020_2022[[#This Row],[Data da Venda]],"mmm"))</f>
        <v>MAR</v>
      </c>
    </row>
    <row r="2722" spans="1:13" x14ac:dyDescent="0.25">
      <c r="A2722" t="s">
        <v>18</v>
      </c>
      <c r="B2722">
        <v>3000</v>
      </c>
      <c r="C2722">
        <v>1</v>
      </c>
      <c r="D2722" t="s">
        <v>36</v>
      </c>
      <c r="E2722" t="s">
        <v>677</v>
      </c>
      <c r="F2722" t="s">
        <v>796</v>
      </c>
      <c r="G2722" t="s">
        <v>643</v>
      </c>
      <c r="H2722">
        <v>33</v>
      </c>
      <c r="I2722" t="s">
        <v>644</v>
      </c>
      <c r="J2722">
        <v>3000</v>
      </c>
      <c r="K2722" s="1">
        <v>44244</v>
      </c>
      <c r="L2722">
        <v>2021</v>
      </c>
      <c r="M2722" t="str">
        <f>UPPER(TEXT(_2020_2022[[#This Row],[Data da Venda]],"mmm"))</f>
        <v>FEV</v>
      </c>
    </row>
    <row r="2723" spans="1:13" x14ac:dyDescent="0.25">
      <c r="A2723" t="s">
        <v>22</v>
      </c>
      <c r="B2723">
        <v>5200</v>
      </c>
      <c r="C2723">
        <v>5</v>
      </c>
      <c r="D2723" t="s">
        <v>38</v>
      </c>
      <c r="E2723" t="s">
        <v>648</v>
      </c>
      <c r="F2723" t="s">
        <v>847</v>
      </c>
      <c r="G2723" t="s">
        <v>643</v>
      </c>
      <c r="H2723">
        <v>37</v>
      </c>
      <c r="I2723" t="s">
        <v>644</v>
      </c>
      <c r="J2723">
        <v>26000</v>
      </c>
      <c r="K2723" s="1">
        <v>44476</v>
      </c>
      <c r="L2723">
        <v>2021</v>
      </c>
      <c r="M2723" t="str">
        <f>UPPER(TEXT(_2020_2022[[#This Row],[Data da Venda]],"mmm"))</f>
        <v>OUT</v>
      </c>
    </row>
    <row r="2724" spans="1:13" x14ac:dyDescent="0.25">
      <c r="A2724" t="s">
        <v>1440</v>
      </c>
      <c r="B2724">
        <v>700</v>
      </c>
      <c r="C2724">
        <v>5</v>
      </c>
      <c r="D2724" t="s">
        <v>33</v>
      </c>
      <c r="E2724" t="s">
        <v>641</v>
      </c>
      <c r="F2724" t="s">
        <v>904</v>
      </c>
      <c r="G2724" t="s">
        <v>643</v>
      </c>
      <c r="H2724">
        <v>54</v>
      </c>
      <c r="I2724" t="s">
        <v>647</v>
      </c>
      <c r="J2724">
        <v>3500</v>
      </c>
      <c r="K2724" s="1">
        <v>44478</v>
      </c>
      <c r="L2724">
        <v>2021</v>
      </c>
      <c r="M2724" t="str">
        <f>UPPER(TEXT(_2020_2022[[#This Row],[Data da Venda]],"mmm"))</f>
        <v>OUT</v>
      </c>
    </row>
    <row r="2725" spans="1:13" x14ac:dyDescent="0.25">
      <c r="A2725" t="s">
        <v>1440</v>
      </c>
      <c r="B2725">
        <v>700</v>
      </c>
      <c r="C2725">
        <v>5</v>
      </c>
      <c r="D2725" t="s">
        <v>29</v>
      </c>
      <c r="E2725" t="s">
        <v>641</v>
      </c>
      <c r="F2725" t="s">
        <v>1155</v>
      </c>
      <c r="G2725" t="s">
        <v>650</v>
      </c>
      <c r="H2725">
        <v>29</v>
      </c>
      <c r="I2725" t="s">
        <v>651</v>
      </c>
      <c r="J2725">
        <v>3500</v>
      </c>
      <c r="K2725" s="1">
        <v>44437</v>
      </c>
      <c r="L2725">
        <v>2021</v>
      </c>
      <c r="M2725" t="str">
        <f>UPPER(TEXT(_2020_2022[[#This Row],[Data da Venda]],"mmm"))</f>
        <v>AGO</v>
      </c>
    </row>
    <row r="2726" spans="1:13" x14ac:dyDescent="0.25">
      <c r="A2726" t="s">
        <v>1441</v>
      </c>
      <c r="B2726">
        <v>1450</v>
      </c>
      <c r="C2726">
        <v>4</v>
      </c>
      <c r="D2726" t="s">
        <v>36</v>
      </c>
      <c r="E2726" t="s">
        <v>677</v>
      </c>
      <c r="F2726" t="s">
        <v>1369</v>
      </c>
      <c r="G2726" t="s">
        <v>650</v>
      </c>
      <c r="H2726">
        <v>68</v>
      </c>
      <c r="I2726" t="s">
        <v>647</v>
      </c>
      <c r="J2726">
        <v>5800</v>
      </c>
      <c r="K2726" s="1">
        <v>44314</v>
      </c>
      <c r="L2726">
        <v>2021</v>
      </c>
      <c r="M2726" t="str">
        <f>UPPER(TEXT(_2020_2022[[#This Row],[Data da Venda]],"mmm"))</f>
        <v>ABR</v>
      </c>
    </row>
    <row r="2727" spans="1:13" x14ac:dyDescent="0.25">
      <c r="A2727" t="s">
        <v>1442</v>
      </c>
      <c r="B2727">
        <v>1200</v>
      </c>
      <c r="C2727">
        <v>3</v>
      </c>
      <c r="D2727" t="s">
        <v>36</v>
      </c>
      <c r="E2727" t="s">
        <v>677</v>
      </c>
      <c r="F2727" t="s">
        <v>1274</v>
      </c>
      <c r="G2727" t="s">
        <v>650</v>
      </c>
      <c r="H2727">
        <v>36</v>
      </c>
      <c r="I2727" t="s">
        <v>644</v>
      </c>
      <c r="J2727">
        <v>3600</v>
      </c>
      <c r="K2727" s="1">
        <v>44338</v>
      </c>
      <c r="L2727">
        <v>2021</v>
      </c>
      <c r="M2727" t="str">
        <f>UPPER(TEXT(_2020_2022[[#This Row],[Data da Venda]],"mmm"))</f>
        <v>MAI</v>
      </c>
    </row>
    <row r="2728" spans="1:13" x14ac:dyDescent="0.25">
      <c r="A2728" t="s">
        <v>1440</v>
      </c>
      <c r="B2728">
        <v>700</v>
      </c>
      <c r="C2728">
        <v>4</v>
      </c>
      <c r="D2728" t="s">
        <v>29</v>
      </c>
      <c r="E2728" t="s">
        <v>641</v>
      </c>
      <c r="F2728" t="s">
        <v>1338</v>
      </c>
      <c r="G2728" t="s">
        <v>643</v>
      </c>
      <c r="H2728">
        <v>35</v>
      </c>
      <c r="I2728" t="s">
        <v>644</v>
      </c>
      <c r="J2728">
        <v>2800</v>
      </c>
      <c r="K2728" s="1">
        <v>44510</v>
      </c>
      <c r="L2728">
        <v>2021</v>
      </c>
      <c r="M2728" t="str">
        <f>UPPER(TEXT(_2020_2022[[#This Row],[Data da Venda]],"mmm"))</f>
        <v>NOV</v>
      </c>
    </row>
    <row r="2729" spans="1:13" x14ac:dyDescent="0.25">
      <c r="A2729" t="s">
        <v>7</v>
      </c>
      <c r="B2729">
        <v>750</v>
      </c>
      <c r="C2729">
        <v>5</v>
      </c>
      <c r="D2729" t="s">
        <v>34</v>
      </c>
      <c r="E2729" t="s">
        <v>679</v>
      </c>
      <c r="F2729" t="s">
        <v>1002</v>
      </c>
      <c r="G2729" t="s">
        <v>650</v>
      </c>
      <c r="H2729">
        <v>43</v>
      </c>
      <c r="I2729" t="s">
        <v>644</v>
      </c>
      <c r="J2729">
        <v>3750</v>
      </c>
      <c r="K2729" s="1">
        <v>44203</v>
      </c>
      <c r="L2729">
        <v>2021</v>
      </c>
      <c r="M2729" t="str">
        <f>UPPER(TEXT(_2020_2022[[#This Row],[Data da Venda]],"mmm"))</f>
        <v>JAN</v>
      </c>
    </row>
    <row r="2730" spans="1:13" x14ac:dyDescent="0.25">
      <c r="A2730" t="s">
        <v>7</v>
      </c>
      <c r="B2730">
        <v>750</v>
      </c>
      <c r="C2730">
        <v>2</v>
      </c>
      <c r="D2730" t="s">
        <v>33</v>
      </c>
      <c r="E2730" t="s">
        <v>641</v>
      </c>
      <c r="F2730" t="s">
        <v>1306</v>
      </c>
      <c r="G2730" t="s">
        <v>650</v>
      </c>
      <c r="H2730">
        <v>28</v>
      </c>
      <c r="I2730" t="s">
        <v>651</v>
      </c>
      <c r="J2730">
        <v>1500</v>
      </c>
      <c r="K2730" s="1">
        <v>44400</v>
      </c>
      <c r="L2730">
        <v>2021</v>
      </c>
      <c r="M2730" t="str">
        <f>UPPER(TEXT(_2020_2022[[#This Row],[Data da Venda]],"mmm"))</f>
        <v>JUL</v>
      </c>
    </row>
    <row r="2731" spans="1:13" x14ac:dyDescent="0.25">
      <c r="A2731" t="s">
        <v>9</v>
      </c>
      <c r="B2731">
        <v>1500</v>
      </c>
      <c r="C2731">
        <v>2</v>
      </c>
      <c r="D2731" t="s">
        <v>40</v>
      </c>
      <c r="E2731" t="s">
        <v>657</v>
      </c>
      <c r="F2731" t="s">
        <v>1076</v>
      </c>
      <c r="G2731" t="s">
        <v>650</v>
      </c>
      <c r="H2731">
        <v>42</v>
      </c>
      <c r="I2731" t="s">
        <v>644</v>
      </c>
      <c r="J2731">
        <v>3000</v>
      </c>
      <c r="K2731" s="1">
        <v>44419</v>
      </c>
      <c r="L2731">
        <v>2021</v>
      </c>
      <c r="M2731" t="str">
        <f>UPPER(TEXT(_2020_2022[[#This Row],[Data da Venda]],"mmm"))</f>
        <v>AGO</v>
      </c>
    </row>
    <row r="2732" spans="1:13" x14ac:dyDescent="0.25">
      <c r="A2732" t="s">
        <v>12</v>
      </c>
      <c r="B2732">
        <v>6500</v>
      </c>
      <c r="C2732">
        <v>3</v>
      </c>
      <c r="D2732" t="s">
        <v>41</v>
      </c>
      <c r="E2732" t="s">
        <v>681</v>
      </c>
      <c r="F2732" t="s">
        <v>1406</v>
      </c>
      <c r="G2732" t="s">
        <v>650</v>
      </c>
      <c r="H2732">
        <v>30</v>
      </c>
      <c r="I2732" t="s">
        <v>644</v>
      </c>
      <c r="J2732">
        <v>19500</v>
      </c>
      <c r="K2732" s="1">
        <v>44346</v>
      </c>
      <c r="L2732">
        <v>2021</v>
      </c>
      <c r="M2732" t="str">
        <f>UPPER(TEXT(_2020_2022[[#This Row],[Data da Venda]],"mmm"))</f>
        <v>MAI</v>
      </c>
    </row>
    <row r="2733" spans="1:13" x14ac:dyDescent="0.25">
      <c r="A2733" t="s">
        <v>11</v>
      </c>
      <c r="B2733">
        <v>4500</v>
      </c>
      <c r="C2733">
        <v>3</v>
      </c>
      <c r="D2733" t="s">
        <v>40</v>
      </c>
      <c r="E2733" t="s">
        <v>657</v>
      </c>
      <c r="F2733" t="s">
        <v>1037</v>
      </c>
      <c r="G2733" t="s">
        <v>650</v>
      </c>
      <c r="H2733">
        <v>36</v>
      </c>
      <c r="I2733" t="s">
        <v>644</v>
      </c>
      <c r="J2733">
        <v>13500</v>
      </c>
      <c r="K2733" s="1">
        <v>44394</v>
      </c>
      <c r="L2733">
        <v>2021</v>
      </c>
      <c r="M2733" t="str">
        <f>UPPER(TEXT(_2020_2022[[#This Row],[Data da Venda]],"mmm"))</f>
        <v>JUL</v>
      </c>
    </row>
    <row r="2734" spans="1:13" x14ac:dyDescent="0.25">
      <c r="A2734" t="s">
        <v>21</v>
      </c>
      <c r="B2734">
        <v>2400</v>
      </c>
      <c r="C2734">
        <v>1</v>
      </c>
      <c r="D2734" t="s">
        <v>34</v>
      </c>
      <c r="E2734" t="s">
        <v>679</v>
      </c>
      <c r="F2734" t="s">
        <v>873</v>
      </c>
      <c r="G2734" t="s">
        <v>643</v>
      </c>
      <c r="H2734">
        <v>62</v>
      </c>
      <c r="I2734" t="s">
        <v>647</v>
      </c>
      <c r="J2734">
        <v>2400</v>
      </c>
      <c r="K2734" s="1">
        <v>44486</v>
      </c>
      <c r="L2734">
        <v>2021</v>
      </c>
      <c r="M2734" t="str">
        <f>UPPER(TEXT(_2020_2022[[#This Row],[Data da Venda]],"mmm"))</f>
        <v>OUT</v>
      </c>
    </row>
    <row r="2735" spans="1:13" x14ac:dyDescent="0.25">
      <c r="A2735" t="s">
        <v>26</v>
      </c>
      <c r="B2735">
        <v>1100</v>
      </c>
      <c r="C2735">
        <v>3</v>
      </c>
      <c r="D2735" t="s">
        <v>32</v>
      </c>
      <c r="E2735" t="s">
        <v>652</v>
      </c>
      <c r="F2735" t="s">
        <v>1112</v>
      </c>
      <c r="G2735" t="s">
        <v>650</v>
      </c>
      <c r="H2735">
        <v>55</v>
      </c>
      <c r="I2735" t="s">
        <v>647</v>
      </c>
      <c r="J2735">
        <v>3300</v>
      </c>
      <c r="K2735" s="1">
        <v>44231</v>
      </c>
      <c r="L2735">
        <v>2021</v>
      </c>
      <c r="M2735" t="str">
        <f>UPPER(TEXT(_2020_2022[[#This Row],[Data da Venda]],"mmm"))</f>
        <v>FEV</v>
      </c>
    </row>
    <row r="2736" spans="1:13" x14ac:dyDescent="0.25">
      <c r="A2736" t="s">
        <v>11</v>
      </c>
      <c r="B2736">
        <v>4500</v>
      </c>
      <c r="C2736">
        <v>4</v>
      </c>
      <c r="D2736" t="s">
        <v>34</v>
      </c>
      <c r="E2736" t="s">
        <v>679</v>
      </c>
      <c r="F2736" t="s">
        <v>873</v>
      </c>
      <c r="G2736" t="s">
        <v>643</v>
      </c>
      <c r="H2736">
        <v>62</v>
      </c>
      <c r="I2736" t="s">
        <v>647</v>
      </c>
      <c r="J2736">
        <v>18000</v>
      </c>
      <c r="K2736" s="1">
        <v>44480</v>
      </c>
      <c r="L2736">
        <v>2021</v>
      </c>
      <c r="M2736" t="str">
        <f>UPPER(TEXT(_2020_2022[[#This Row],[Data da Venda]],"mmm"))</f>
        <v>OUT</v>
      </c>
    </row>
    <row r="2737" spans="1:13" x14ac:dyDescent="0.25">
      <c r="A2737" t="s">
        <v>12</v>
      </c>
      <c r="B2737">
        <v>6500</v>
      </c>
      <c r="C2737">
        <v>5</v>
      </c>
      <c r="D2737" t="s">
        <v>33</v>
      </c>
      <c r="E2737" t="s">
        <v>641</v>
      </c>
      <c r="F2737" t="s">
        <v>1362</v>
      </c>
      <c r="G2737" t="s">
        <v>650</v>
      </c>
      <c r="H2737">
        <v>31</v>
      </c>
      <c r="I2737" t="s">
        <v>644</v>
      </c>
      <c r="J2737">
        <v>32500</v>
      </c>
      <c r="K2737" s="1">
        <v>44267</v>
      </c>
      <c r="L2737">
        <v>2021</v>
      </c>
      <c r="M2737" t="str">
        <f>UPPER(TEXT(_2020_2022[[#This Row],[Data da Venda]],"mmm"))</f>
        <v>MAR</v>
      </c>
    </row>
    <row r="2738" spans="1:13" x14ac:dyDescent="0.25">
      <c r="A2738" t="s">
        <v>26</v>
      </c>
      <c r="B2738">
        <v>1100</v>
      </c>
      <c r="C2738">
        <v>2</v>
      </c>
      <c r="D2738" t="s">
        <v>29</v>
      </c>
      <c r="E2738" t="s">
        <v>641</v>
      </c>
      <c r="F2738" t="s">
        <v>1297</v>
      </c>
      <c r="G2738" t="s">
        <v>643</v>
      </c>
      <c r="H2738">
        <v>43</v>
      </c>
      <c r="I2738" t="s">
        <v>644</v>
      </c>
      <c r="J2738">
        <v>2200</v>
      </c>
      <c r="K2738" s="1">
        <v>44311</v>
      </c>
      <c r="L2738">
        <v>2021</v>
      </c>
      <c r="M2738" t="str">
        <f>UPPER(TEXT(_2020_2022[[#This Row],[Data da Venda]],"mmm"))</f>
        <v>ABR</v>
      </c>
    </row>
    <row r="2739" spans="1:13" x14ac:dyDescent="0.25">
      <c r="A2739" t="s">
        <v>20</v>
      </c>
      <c r="B2739">
        <v>2600</v>
      </c>
      <c r="C2739">
        <v>3</v>
      </c>
      <c r="D2739" t="s">
        <v>30</v>
      </c>
      <c r="E2739" t="s">
        <v>645</v>
      </c>
      <c r="F2739" t="s">
        <v>1111</v>
      </c>
      <c r="G2739" t="s">
        <v>643</v>
      </c>
      <c r="H2739">
        <v>70</v>
      </c>
      <c r="I2739" t="s">
        <v>647</v>
      </c>
      <c r="J2739">
        <v>7800</v>
      </c>
      <c r="K2739" s="1">
        <v>44241</v>
      </c>
      <c r="L2739">
        <v>2021</v>
      </c>
      <c r="M2739" t="str">
        <f>UPPER(TEXT(_2020_2022[[#This Row],[Data da Venda]],"mmm"))</f>
        <v>FEV</v>
      </c>
    </row>
    <row r="2740" spans="1:13" x14ac:dyDescent="0.25">
      <c r="A2740" t="s">
        <v>1444</v>
      </c>
      <c r="B2740">
        <v>1500</v>
      </c>
      <c r="C2740">
        <v>3</v>
      </c>
      <c r="D2740" t="s">
        <v>41</v>
      </c>
      <c r="E2740" t="s">
        <v>681</v>
      </c>
      <c r="F2740" t="s">
        <v>1167</v>
      </c>
      <c r="G2740" t="s">
        <v>643</v>
      </c>
      <c r="H2740">
        <v>34</v>
      </c>
      <c r="I2740" t="s">
        <v>644</v>
      </c>
      <c r="J2740">
        <v>4500</v>
      </c>
      <c r="K2740" s="1">
        <v>44464</v>
      </c>
      <c r="L2740">
        <v>2021</v>
      </c>
      <c r="M2740" t="str">
        <f>UPPER(TEXT(_2020_2022[[#This Row],[Data da Venda]],"mmm"))</f>
        <v>SET</v>
      </c>
    </row>
    <row r="2741" spans="1:13" x14ac:dyDescent="0.25">
      <c r="A2741" t="s">
        <v>18</v>
      </c>
      <c r="B2741">
        <v>3000</v>
      </c>
      <c r="C2741">
        <v>4</v>
      </c>
      <c r="D2741" t="s">
        <v>38</v>
      </c>
      <c r="E2741" t="s">
        <v>648</v>
      </c>
      <c r="F2741" t="s">
        <v>1282</v>
      </c>
      <c r="G2741" t="s">
        <v>643</v>
      </c>
      <c r="H2741">
        <v>74</v>
      </c>
      <c r="I2741" t="s">
        <v>647</v>
      </c>
      <c r="J2741">
        <v>12000</v>
      </c>
      <c r="K2741" s="1">
        <v>44482</v>
      </c>
      <c r="L2741">
        <v>2021</v>
      </c>
      <c r="M2741" t="str">
        <f>UPPER(TEXT(_2020_2022[[#This Row],[Data da Venda]],"mmm"))</f>
        <v>OUT</v>
      </c>
    </row>
    <row r="2742" spans="1:13" x14ac:dyDescent="0.25">
      <c r="A2742" t="s">
        <v>13</v>
      </c>
      <c r="B2742">
        <v>2300</v>
      </c>
      <c r="C2742">
        <v>4</v>
      </c>
      <c r="D2742" t="s">
        <v>35</v>
      </c>
      <c r="E2742" t="s">
        <v>666</v>
      </c>
      <c r="F2742" t="s">
        <v>1166</v>
      </c>
      <c r="G2742" t="s">
        <v>650</v>
      </c>
      <c r="H2742">
        <v>39</v>
      </c>
      <c r="I2742" t="s">
        <v>644</v>
      </c>
      <c r="J2742">
        <v>9200</v>
      </c>
      <c r="K2742" s="1">
        <v>44449</v>
      </c>
      <c r="L2742">
        <v>2021</v>
      </c>
      <c r="M2742" t="str">
        <f>UPPER(TEXT(_2020_2022[[#This Row],[Data da Venda]],"mmm"))</f>
        <v>SET</v>
      </c>
    </row>
    <row r="2743" spans="1:13" x14ac:dyDescent="0.25">
      <c r="A2743" t="s">
        <v>9</v>
      </c>
      <c r="B2743">
        <v>1500</v>
      </c>
      <c r="C2743">
        <v>1</v>
      </c>
      <c r="D2743" t="s">
        <v>29</v>
      </c>
      <c r="E2743" t="s">
        <v>641</v>
      </c>
      <c r="F2743" t="s">
        <v>957</v>
      </c>
      <c r="G2743" t="s">
        <v>643</v>
      </c>
      <c r="H2743">
        <v>38</v>
      </c>
      <c r="I2743" t="s">
        <v>644</v>
      </c>
      <c r="J2743">
        <v>1500</v>
      </c>
      <c r="K2743" s="1">
        <v>44203</v>
      </c>
      <c r="L2743">
        <v>2021</v>
      </c>
      <c r="M2743" t="str">
        <f>UPPER(TEXT(_2020_2022[[#This Row],[Data da Venda]],"mmm"))</f>
        <v>JAN</v>
      </c>
    </row>
    <row r="2744" spans="1:13" x14ac:dyDescent="0.25">
      <c r="A2744" t="s">
        <v>22</v>
      </c>
      <c r="B2744">
        <v>5200</v>
      </c>
      <c r="C2744">
        <v>4</v>
      </c>
      <c r="D2744" t="s">
        <v>40</v>
      </c>
      <c r="E2744" t="s">
        <v>657</v>
      </c>
      <c r="F2744" t="s">
        <v>876</v>
      </c>
      <c r="G2744" t="s">
        <v>650</v>
      </c>
      <c r="H2744">
        <v>28</v>
      </c>
      <c r="I2744" t="s">
        <v>651</v>
      </c>
      <c r="J2744">
        <v>20800</v>
      </c>
      <c r="K2744" s="1">
        <v>44334</v>
      </c>
      <c r="L2744">
        <v>2021</v>
      </c>
      <c r="M2744" t="str">
        <f>UPPER(TEXT(_2020_2022[[#This Row],[Data da Venda]],"mmm"))</f>
        <v>MAI</v>
      </c>
    </row>
    <row r="2745" spans="1:13" x14ac:dyDescent="0.25">
      <c r="A2745" t="s">
        <v>8</v>
      </c>
      <c r="B2745">
        <v>5500</v>
      </c>
      <c r="C2745">
        <v>2</v>
      </c>
      <c r="D2745" t="s">
        <v>39</v>
      </c>
      <c r="E2745" t="s">
        <v>641</v>
      </c>
      <c r="F2745" t="s">
        <v>1290</v>
      </c>
      <c r="G2745" t="s">
        <v>650</v>
      </c>
      <c r="H2745">
        <v>39</v>
      </c>
      <c r="I2745" t="s">
        <v>644</v>
      </c>
      <c r="J2745">
        <v>11000</v>
      </c>
      <c r="K2745" s="1">
        <v>44364</v>
      </c>
      <c r="L2745">
        <v>2021</v>
      </c>
      <c r="M2745" t="str">
        <f>UPPER(TEXT(_2020_2022[[#This Row],[Data da Venda]],"mmm"))</f>
        <v>JUN</v>
      </c>
    </row>
    <row r="2746" spans="1:13" x14ac:dyDescent="0.25">
      <c r="A2746" t="s">
        <v>12</v>
      </c>
      <c r="B2746">
        <v>6500</v>
      </c>
      <c r="C2746">
        <v>1</v>
      </c>
      <c r="D2746" t="s">
        <v>32</v>
      </c>
      <c r="E2746" t="s">
        <v>652</v>
      </c>
      <c r="F2746" t="s">
        <v>1098</v>
      </c>
      <c r="G2746" t="s">
        <v>650</v>
      </c>
      <c r="H2746">
        <v>44</v>
      </c>
      <c r="I2746" t="s">
        <v>644</v>
      </c>
      <c r="J2746">
        <v>6500</v>
      </c>
      <c r="K2746" s="1">
        <v>44487</v>
      </c>
      <c r="L2746">
        <v>2021</v>
      </c>
      <c r="M2746" t="str">
        <f>UPPER(TEXT(_2020_2022[[#This Row],[Data da Venda]],"mmm"))</f>
        <v>OUT</v>
      </c>
    </row>
    <row r="2747" spans="1:13" x14ac:dyDescent="0.25">
      <c r="A2747" t="s">
        <v>22</v>
      </c>
      <c r="B2747">
        <v>5200</v>
      </c>
      <c r="C2747">
        <v>1</v>
      </c>
      <c r="D2747" t="s">
        <v>31</v>
      </c>
      <c r="E2747" t="s">
        <v>645</v>
      </c>
      <c r="F2747" t="s">
        <v>1252</v>
      </c>
      <c r="G2747" t="s">
        <v>650</v>
      </c>
      <c r="H2747">
        <v>33</v>
      </c>
      <c r="I2747" t="s">
        <v>644</v>
      </c>
      <c r="J2747">
        <v>5200</v>
      </c>
      <c r="K2747" s="1">
        <v>44361</v>
      </c>
      <c r="L2747">
        <v>2021</v>
      </c>
      <c r="M2747" t="str">
        <f>UPPER(TEXT(_2020_2022[[#This Row],[Data da Venda]],"mmm"))</f>
        <v>JUN</v>
      </c>
    </row>
    <row r="2748" spans="1:13" x14ac:dyDescent="0.25">
      <c r="A2748" t="s">
        <v>26</v>
      </c>
      <c r="B2748">
        <v>1100</v>
      </c>
      <c r="C2748">
        <v>2</v>
      </c>
      <c r="D2748" t="s">
        <v>29</v>
      </c>
      <c r="E2748" t="s">
        <v>641</v>
      </c>
      <c r="F2748" t="s">
        <v>888</v>
      </c>
      <c r="G2748" t="s">
        <v>650</v>
      </c>
      <c r="H2748">
        <v>60</v>
      </c>
      <c r="I2748" t="s">
        <v>647</v>
      </c>
      <c r="J2748">
        <v>2200</v>
      </c>
      <c r="K2748" s="1">
        <v>44466</v>
      </c>
      <c r="L2748">
        <v>2021</v>
      </c>
      <c r="M2748" t="str">
        <f>UPPER(TEXT(_2020_2022[[#This Row],[Data da Venda]],"mmm"))</f>
        <v>SET</v>
      </c>
    </row>
    <row r="2749" spans="1:13" x14ac:dyDescent="0.25">
      <c r="A2749" t="s">
        <v>12</v>
      </c>
      <c r="B2749">
        <v>6500</v>
      </c>
      <c r="C2749">
        <v>1</v>
      </c>
      <c r="D2749" t="s">
        <v>39</v>
      </c>
      <c r="E2749" t="s">
        <v>641</v>
      </c>
      <c r="F2749" t="s">
        <v>1050</v>
      </c>
      <c r="G2749" t="s">
        <v>643</v>
      </c>
      <c r="H2749">
        <v>40</v>
      </c>
      <c r="I2749" t="s">
        <v>644</v>
      </c>
      <c r="J2749">
        <v>6500</v>
      </c>
      <c r="K2749" s="1">
        <v>44514</v>
      </c>
      <c r="L2749">
        <v>2021</v>
      </c>
      <c r="M2749" t="str">
        <f>UPPER(TEXT(_2020_2022[[#This Row],[Data da Venda]],"mmm"))</f>
        <v>NOV</v>
      </c>
    </row>
    <row r="2750" spans="1:13" x14ac:dyDescent="0.25">
      <c r="A2750" t="s">
        <v>7</v>
      </c>
      <c r="B2750">
        <v>750</v>
      </c>
      <c r="C2750">
        <v>3</v>
      </c>
      <c r="D2750" t="s">
        <v>34</v>
      </c>
      <c r="E2750" t="s">
        <v>679</v>
      </c>
      <c r="F2750" t="s">
        <v>1342</v>
      </c>
      <c r="G2750" t="s">
        <v>643</v>
      </c>
      <c r="H2750">
        <v>39</v>
      </c>
      <c r="I2750" t="s">
        <v>644</v>
      </c>
      <c r="J2750">
        <v>2250</v>
      </c>
      <c r="K2750" s="1">
        <v>44210</v>
      </c>
      <c r="L2750">
        <v>2021</v>
      </c>
      <c r="M2750" t="str">
        <f>UPPER(TEXT(_2020_2022[[#This Row],[Data da Venda]],"mmm"))</f>
        <v>JAN</v>
      </c>
    </row>
    <row r="2751" spans="1:13" x14ac:dyDescent="0.25">
      <c r="A2751" t="s">
        <v>25</v>
      </c>
      <c r="B2751">
        <v>2500</v>
      </c>
      <c r="C2751">
        <v>4</v>
      </c>
      <c r="D2751" t="s">
        <v>33</v>
      </c>
      <c r="E2751" t="s">
        <v>641</v>
      </c>
      <c r="F2751" t="s">
        <v>840</v>
      </c>
      <c r="G2751" t="s">
        <v>650</v>
      </c>
      <c r="H2751">
        <v>64</v>
      </c>
      <c r="I2751" t="s">
        <v>647</v>
      </c>
      <c r="J2751">
        <v>10000</v>
      </c>
      <c r="K2751" s="1">
        <v>44351</v>
      </c>
      <c r="L2751">
        <v>2021</v>
      </c>
      <c r="M2751" t="str">
        <f>UPPER(TEXT(_2020_2022[[#This Row],[Data da Venda]],"mmm"))</f>
        <v>JUN</v>
      </c>
    </row>
    <row r="2752" spans="1:13" x14ac:dyDescent="0.25">
      <c r="A2752" t="s">
        <v>8</v>
      </c>
      <c r="B2752">
        <v>5500</v>
      </c>
      <c r="C2752">
        <v>1</v>
      </c>
      <c r="D2752" t="s">
        <v>40</v>
      </c>
      <c r="E2752" t="s">
        <v>657</v>
      </c>
      <c r="F2752" t="s">
        <v>1200</v>
      </c>
      <c r="G2752" t="s">
        <v>650</v>
      </c>
      <c r="H2752">
        <v>64</v>
      </c>
      <c r="I2752" t="s">
        <v>647</v>
      </c>
      <c r="J2752">
        <v>5500</v>
      </c>
      <c r="K2752" s="1">
        <v>44524</v>
      </c>
      <c r="L2752">
        <v>2021</v>
      </c>
      <c r="M2752" t="str">
        <f>UPPER(TEXT(_2020_2022[[#This Row],[Data da Venda]],"mmm"))</f>
        <v>NOV</v>
      </c>
    </row>
    <row r="2753" spans="1:13" x14ac:dyDescent="0.25">
      <c r="A2753" t="s">
        <v>13</v>
      </c>
      <c r="B2753">
        <v>2300</v>
      </c>
      <c r="C2753">
        <v>5</v>
      </c>
      <c r="D2753" t="s">
        <v>32</v>
      </c>
      <c r="E2753" t="s">
        <v>652</v>
      </c>
      <c r="F2753" t="s">
        <v>745</v>
      </c>
      <c r="G2753" t="s">
        <v>650</v>
      </c>
      <c r="H2753">
        <v>64</v>
      </c>
      <c r="I2753" t="s">
        <v>647</v>
      </c>
      <c r="J2753">
        <v>11500</v>
      </c>
      <c r="K2753" s="1">
        <v>44336</v>
      </c>
      <c r="L2753">
        <v>2021</v>
      </c>
      <c r="M2753" t="str">
        <f>UPPER(TEXT(_2020_2022[[#This Row],[Data da Venda]],"mmm"))</f>
        <v>MAI</v>
      </c>
    </row>
    <row r="2754" spans="1:13" x14ac:dyDescent="0.25">
      <c r="A2754" t="s">
        <v>13</v>
      </c>
      <c r="B2754">
        <v>2300</v>
      </c>
      <c r="C2754">
        <v>5</v>
      </c>
      <c r="D2754" t="s">
        <v>30</v>
      </c>
      <c r="E2754" t="s">
        <v>645</v>
      </c>
      <c r="F2754" t="s">
        <v>725</v>
      </c>
      <c r="G2754" t="s">
        <v>650</v>
      </c>
      <c r="H2754">
        <v>36</v>
      </c>
      <c r="I2754" t="s">
        <v>644</v>
      </c>
      <c r="J2754">
        <v>11500</v>
      </c>
      <c r="K2754" s="1">
        <v>44484</v>
      </c>
      <c r="L2754">
        <v>2021</v>
      </c>
      <c r="M2754" t="str">
        <f>UPPER(TEXT(_2020_2022[[#This Row],[Data da Venda]],"mmm"))</f>
        <v>OUT</v>
      </c>
    </row>
    <row r="2755" spans="1:13" x14ac:dyDescent="0.25">
      <c r="A2755" t="s">
        <v>9</v>
      </c>
      <c r="B2755">
        <v>1500</v>
      </c>
      <c r="C2755">
        <v>3</v>
      </c>
      <c r="D2755" t="s">
        <v>40</v>
      </c>
      <c r="E2755" t="s">
        <v>657</v>
      </c>
      <c r="F2755" t="s">
        <v>913</v>
      </c>
      <c r="G2755" t="s">
        <v>650</v>
      </c>
      <c r="H2755">
        <v>27</v>
      </c>
      <c r="I2755" t="s">
        <v>651</v>
      </c>
      <c r="J2755">
        <v>4500</v>
      </c>
      <c r="K2755" s="1">
        <v>44347</v>
      </c>
      <c r="L2755">
        <v>2021</v>
      </c>
      <c r="M2755" t="str">
        <f>UPPER(TEXT(_2020_2022[[#This Row],[Data da Venda]],"mmm"))</f>
        <v>MAI</v>
      </c>
    </row>
    <row r="2756" spans="1:13" x14ac:dyDescent="0.25">
      <c r="A2756" t="s">
        <v>26</v>
      </c>
      <c r="B2756">
        <v>1100</v>
      </c>
      <c r="C2756">
        <v>3</v>
      </c>
      <c r="D2756" t="s">
        <v>31</v>
      </c>
      <c r="E2756" t="s">
        <v>645</v>
      </c>
      <c r="F2756" t="s">
        <v>747</v>
      </c>
      <c r="G2756" t="s">
        <v>650</v>
      </c>
      <c r="H2756">
        <v>45</v>
      </c>
      <c r="I2756" t="s">
        <v>644</v>
      </c>
      <c r="J2756">
        <v>3300</v>
      </c>
      <c r="K2756" s="1">
        <v>44508</v>
      </c>
      <c r="L2756">
        <v>2021</v>
      </c>
      <c r="M2756" t="str">
        <f>UPPER(TEXT(_2020_2022[[#This Row],[Data da Venda]],"mmm"))</f>
        <v>NOV</v>
      </c>
    </row>
    <row r="2757" spans="1:13" x14ac:dyDescent="0.25">
      <c r="A2757" t="s">
        <v>12</v>
      </c>
      <c r="B2757">
        <v>6500</v>
      </c>
      <c r="C2757">
        <v>4</v>
      </c>
      <c r="D2757" t="s">
        <v>39</v>
      </c>
      <c r="E2757" t="s">
        <v>641</v>
      </c>
      <c r="F2757" t="s">
        <v>1275</v>
      </c>
      <c r="G2757" t="s">
        <v>643</v>
      </c>
      <c r="H2757">
        <v>26</v>
      </c>
      <c r="I2757" t="s">
        <v>651</v>
      </c>
      <c r="J2757">
        <v>26000</v>
      </c>
      <c r="K2757" s="1">
        <v>44517</v>
      </c>
      <c r="L2757">
        <v>2021</v>
      </c>
      <c r="M2757" t="str">
        <f>UPPER(TEXT(_2020_2022[[#This Row],[Data da Venda]],"mmm"))</f>
        <v>NOV</v>
      </c>
    </row>
    <row r="2758" spans="1:13" x14ac:dyDescent="0.25">
      <c r="A2758" t="s">
        <v>1444</v>
      </c>
      <c r="B2758">
        <v>1500</v>
      </c>
      <c r="C2758">
        <v>2</v>
      </c>
      <c r="D2758" t="s">
        <v>40</v>
      </c>
      <c r="E2758" t="s">
        <v>657</v>
      </c>
      <c r="F2758" t="s">
        <v>876</v>
      </c>
      <c r="G2758" t="s">
        <v>650</v>
      </c>
      <c r="H2758">
        <v>28</v>
      </c>
      <c r="I2758" t="s">
        <v>651</v>
      </c>
      <c r="J2758">
        <v>3000</v>
      </c>
      <c r="K2758" s="1">
        <v>44388</v>
      </c>
      <c r="L2758">
        <v>2021</v>
      </c>
      <c r="M2758" t="str">
        <f>UPPER(TEXT(_2020_2022[[#This Row],[Data da Venda]],"mmm"))</f>
        <v>JUL</v>
      </c>
    </row>
    <row r="2759" spans="1:13" x14ac:dyDescent="0.25">
      <c r="A2759" t="s">
        <v>11</v>
      </c>
      <c r="B2759">
        <v>4500</v>
      </c>
      <c r="C2759">
        <v>2</v>
      </c>
      <c r="D2759" t="s">
        <v>33</v>
      </c>
      <c r="E2759" t="s">
        <v>641</v>
      </c>
      <c r="F2759" t="s">
        <v>1306</v>
      </c>
      <c r="G2759" t="s">
        <v>650</v>
      </c>
      <c r="H2759">
        <v>28</v>
      </c>
      <c r="I2759" t="s">
        <v>651</v>
      </c>
      <c r="J2759">
        <v>9000</v>
      </c>
      <c r="K2759" s="1">
        <v>44439</v>
      </c>
      <c r="L2759">
        <v>2021</v>
      </c>
      <c r="M2759" t="str">
        <f>UPPER(TEXT(_2020_2022[[#This Row],[Data da Venda]],"mmm"))</f>
        <v>AGO</v>
      </c>
    </row>
    <row r="2760" spans="1:13" x14ac:dyDescent="0.25">
      <c r="A2760" t="s">
        <v>1441</v>
      </c>
      <c r="B2760">
        <v>1450</v>
      </c>
      <c r="C2760">
        <v>3</v>
      </c>
      <c r="D2760" t="s">
        <v>35</v>
      </c>
      <c r="E2760" t="s">
        <v>666</v>
      </c>
      <c r="F2760" t="s">
        <v>1407</v>
      </c>
      <c r="G2760" t="s">
        <v>643</v>
      </c>
      <c r="H2760">
        <v>75</v>
      </c>
      <c r="I2760" t="s">
        <v>647</v>
      </c>
      <c r="J2760">
        <v>4350</v>
      </c>
      <c r="K2760" s="1">
        <v>44464</v>
      </c>
      <c r="L2760">
        <v>2021</v>
      </c>
      <c r="M2760" t="str">
        <f>UPPER(TEXT(_2020_2022[[#This Row],[Data da Venda]],"mmm"))</f>
        <v>SET</v>
      </c>
    </row>
    <row r="2761" spans="1:13" x14ac:dyDescent="0.25">
      <c r="A2761" t="s">
        <v>28</v>
      </c>
      <c r="B2761">
        <v>1400</v>
      </c>
      <c r="C2761">
        <v>1</v>
      </c>
      <c r="D2761" t="s">
        <v>29</v>
      </c>
      <c r="E2761" t="s">
        <v>641</v>
      </c>
      <c r="F2761" t="s">
        <v>1033</v>
      </c>
      <c r="G2761" t="s">
        <v>650</v>
      </c>
      <c r="H2761">
        <v>44</v>
      </c>
      <c r="I2761" t="s">
        <v>644</v>
      </c>
      <c r="J2761">
        <v>1400</v>
      </c>
      <c r="K2761" s="1">
        <v>44219</v>
      </c>
      <c r="L2761">
        <v>2021</v>
      </c>
      <c r="M2761" t="str">
        <f>UPPER(TEXT(_2020_2022[[#This Row],[Data da Venda]],"mmm"))</f>
        <v>JAN</v>
      </c>
    </row>
    <row r="2762" spans="1:13" x14ac:dyDescent="0.25">
      <c r="A2762" t="s">
        <v>24</v>
      </c>
      <c r="B2762">
        <v>2000</v>
      </c>
      <c r="C2762">
        <v>4</v>
      </c>
      <c r="D2762" t="s">
        <v>36</v>
      </c>
      <c r="E2762" t="s">
        <v>677</v>
      </c>
      <c r="F2762" t="s">
        <v>842</v>
      </c>
      <c r="G2762" t="s">
        <v>643</v>
      </c>
      <c r="H2762">
        <v>49</v>
      </c>
      <c r="I2762" t="s">
        <v>644</v>
      </c>
      <c r="J2762">
        <v>8000</v>
      </c>
      <c r="K2762" s="1">
        <v>44370</v>
      </c>
      <c r="L2762">
        <v>2021</v>
      </c>
      <c r="M2762" t="str">
        <f>UPPER(TEXT(_2020_2022[[#This Row],[Data da Venda]],"mmm"))</f>
        <v>JUN</v>
      </c>
    </row>
    <row r="2763" spans="1:13" x14ac:dyDescent="0.25">
      <c r="A2763" t="s">
        <v>20</v>
      </c>
      <c r="B2763">
        <v>2600</v>
      </c>
      <c r="C2763">
        <v>3</v>
      </c>
      <c r="D2763" t="s">
        <v>36</v>
      </c>
      <c r="E2763" t="s">
        <v>677</v>
      </c>
      <c r="F2763" t="s">
        <v>819</v>
      </c>
      <c r="G2763" t="s">
        <v>643</v>
      </c>
      <c r="H2763">
        <v>63</v>
      </c>
      <c r="I2763" t="s">
        <v>647</v>
      </c>
      <c r="J2763">
        <v>7800</v>
      </c>
      <c r="K2763" s="1">
        <v>44372</v>
      </c>
      <c r="L2763">
        <v>2021</v>
      </c>
      <c r="M2763" t="str">
        <f>UPPER(TEXT(_2020_2022[[#This Row],[Data da Venda]],"mmm"))</f>
        <v>JUN</v>
      </c>
    </row>
    <row r="2764" spans="1:13" x14ac:dyDescent="0.25">
      <c r="A2764" t="s">
        <v>1445</v>
      </c>
      <c r="B2764">
        <v>1500</v>
      </c>
      <c r="C2764">
        <v>5</v>
      </c>
      <c r="D2764" t="s">
        <v>34</v>
      </c>
      <c r="E2764" t="s">
        <v>679</v>
      </c>
      <c r="F2764" t="s">
        <v>1342</v>
      </c>
      <c r="G2764" t="s">
        <v>643</v>
      </c>
      <c r="H2764">
        <v>39</v>
      </c>
      <c r="I2764" t="s">
        <v>644</v>
      </c>
      <c r="J2764">
        <v>7500</v>
      </c>
      <c r="K2764" s="1">
        <v>44500</v>
      </c>
      <c r="L2764">
        <v>2021</v>
      </c>
      <c r="M2764" t="str">
        <f>UPPER(TEXT(_2020_2022[[#This Row],[Data da Venda]],"mmm"))</f>
        <v>OUT</v>
      </c>
    </row>
    <row r="2765" spans="1:13" x14ac:dyDescent="0.25">
      <c r="A2765" t="s">
        <v>1444</v>
      </c>
      <c r="B2765">
        <v>1500</v>
      </c>
      <c r="C2765">
        <v>2</v>
      </c>
      <c r="D2765" t="s">
        <v>41</v>
      </c>
      <c r="E2765" t="s">
        <v>681</v>
      </c>
      <c r="F2765" t="s">
        <v>1260</v>
      </c>
      <c r="G2765" t="s">
        <v>650</v>
      </c>
      <c r="H2765">
        <v>38</v>
      </c>
      <c r="I2765" t="s">
        <v>644</v>
      </c>
      <c r="J2765">
        <v>3000</v>
      </c>
      <c r="K2765" s="1">
        <v>44239</v>
      </c>
      <c r="L2765">
        <v>2021</v>
      </c>
      <c r="M2765" t="str">
        <f>UPPER(TEXT(_2020_2022[[#This Row],[Data da Venda]],"mmm"))</f>
        <v>FEV</v>
      </c>
    </row>
    <row r="2766" spans="1:13" x14ac:dyDescent="0.25">
      <c r="A2766" t="s">
        <v>14</v>
      </c>
      <c r="B2766">
        <v>2000</v>
      </c>
      <c r="C2766">
        <v>2</v>
      </c>
      <c r="D2766" t="s">
        <v>36</v>
      </c>
      <c r="E2766" t="s">
        <v>677</v>
      </c>
      <c r="F2766" t="s">
        <v>799</v>
      </c>
      <c r="G2766" t="s">
        <v>650</v>
      </c>
      <c r="H2766">
        <v>50</v>
      </c>
      <c r="I2766" t="s">
        <v>644</v>
      </c>
      <c r="J2766">
        <v>4000</v>
      </c>
      <c r="K2766" s="1">
        <v>44457</v>
      </c>
      <c r="L2766">
        <v>2021</v>
      </c>
      <c r="M2766" t="str">
        <f>UPPER(TEXT(_2020_2022[[#This Row],[Data da Venda]],"mmm"))</f>
        <v>SET</v>
      </c>
    </row>
    <row r="2767" spans="1:13" x14ac:dyDescent="0.25">
      <c r="A2767" t="s">
        <v>8</v>
      </c>
      <c r="B2767">
        <v>5500</v>
      </c>
      <c r="C2767">
        <v>5</v>
      </c>
      <c r="D2767" t="s">
        <v>38</v>
      </c>
      <c r="E2767" t="s">
        <v>648</v>
      </c>
      <c r="F2767" t="s">
        <v>859</v>
      </c>
      <c r="G2767" t="s">
        <v>650</v>
      </c>
      <c r="H2767">
        <v>42</v>
      </c>
      <c r="I2767" t="s">
        <v>644</v>
      </c>
      <c r="J2767">
        <v>27500</v>
      </c>
      <c r="K2767" s="1">
        <v>44206</v>
      </c>
      <c r="L2767">
        <v>2021</v>
      </c>
      <c r="M2767" t="str">
        <f>UPPER(TEXT(_2020_2022[[#This Row],[Data da Venda]],"mmm"))</f>
        <v>JAN</v>
      </c>
    </row>
    <row r="2768" spans="1:13" x14ac:dyDescent="0.25">
      <c r="A2768" t="s">
        <v>1444</v>
      </c>
      <c r="B2768">
        <v>1500</v>
      </c>
      <c r="C2768">
        <v>1</v>
      </c>
      <c r="D2768" t="s">
        <v>32</v>
      </c>
      <c r="E2768" t="s">
        <v>652</v>
      </c>
      <c r="F2768" t="s">
        <v>1259</v>
      </c>
      <c r="G2768" t="s">
        <v>643</v>
      </c>
      <c r="H2768">
        <v>69</v>
      </c>
      <c r="I2768" t="s">
        <v>647</v>
      </c>
      <c r="J2768">
        <v>1500</v>
      </c>
      <c r="K2768" s="1">
        <v>44423</v>
      </c>
      <c r="L2768">
        <v>2021</v>
      </c>
      <c r="M2768" t="str">
        <f>UPPER(TEXT(_2020_2022[[#This Row],[Data da Venda]],"mmm"))</f>
        <v>AGO</v>
      </c>
    </row>
    <row r="2769" spans="1:13" x14ac:dyDescent="0.25">
      <c r="A2769" t="s">
        <v>8</v>
      </c>
      <c r="B2769">
        <v>5500</v>
      </c>
      <c r="C2769">
        <v>1</v>
      </c>
      <c r="D2769" t="s">
        <v>35</v>
      </c>
      <c r="E2769" t="s">
        <v>666</v>
      </c>
      <c r="F2769" t="s">
        <v>1407</v>
      </c>
      <c r="G2769" t="s">
        <v>643</v>
      </c>
      <c r="H2769">
        <v>75</v>
      </c>
      <c r="I2769" t="s">
        <v>647</v>
      </c>
      <c r="J2769">
        <v>5500</v>
      </c>
      <c r="K2769" s="1">
        <v>44420</v>
      </c>
      <c r="L2769">
        <v>2021</v>
      </c>
      <c r="M2769" t="str">
        <f>UPPER(TEXT(_2020_2022[[#This Row],[Data da Venda]],"mmm"))</f>
        <v>AGO</v>
      </c>
    </row>
    <row r="2770" spans="1:13" x14ac:dyDescent="0.25">
      <c r="A2770" t="s">
        <v>18</v>
      </c>
      <c r="B2770">
        <v>3000</v>
      </c>
      <c r="C2770">
        <v>1</v>
      </c>
      <c r="D2770" t="s">
        <v>32</v>
      </c>
      <c r="E2770" t="s">
        <v>652</v>
      </c>
      <c r="F2770" t="s">
        <v>1101</v>
      </c>
      <c r="G2770" t="s">
        <v>643</v>
      </c>
      <c r="H2770">
        <v>72</v>
      </c>
      <c r="I2770" t="s">
        <v>647</v>
      </c>
      <c r="J2770">
        <v>3000</v>
      </c>
      <c r="K2770" s="1">
        <v>44561</v>
      </c>
      <c r="L2770">
        <v>2021</v>
      </c>
      <c r="M2770" t="str">
        <f>UPPER(TEXT(_2020_2022[[#This Row],[Data da Venda]],"mmm"))</f>
        <v>DEZ</v>
      </c>
    </row>
    <row r="2771" spans="1:13" x14ac:dyDescent="0.25">
      <c r="A2771" t="s">
        <v>18</v>
      </c>
      <c r="B2771">
        <v>3000</v>
      </c>
      <c r="C2771">
        <v>5</v>
      </c>
      <c r="D2771" t="s">
        <v>30</v>
      </c>
      <c r="E2771" t="s">
        <v>645</v>
      </c>
      <c r="F2771" t="s">
        <v>1082</v>
      </c>
      <c r="G2771" t="s">
        <v>650</v>
      </c>
      <c r="H2771">
        <v>53</v>
      </c>
      <c r="I2771" t="s">
        <v>647</v>
      </c>
      <c r="J2771">
        <v>15000</v>
      </c>
      <c r="K2771" s="1">
        <v>44310</v>
      </c>
      <c r="L2771">
        <v>2021</v>
      </c>
      <c r="M2771" t="str">
        <f>UPPER(TEXT(_2020_2022[[#This Row],[Data da Venda]],"mmm"))</f>
        <v>ABR</v>
      </c>
    </row>
    <row r="2772" spans="1:13" x14ac:dyDescent="0.25">
      <c r="A2772" t="s">
        <v>21</v>
      </c>
      <c r="B2772">
        <v>2400</v>
      </c>
      <c r="C2772">
        <v>1</v>
      </c>
      <c r="D2772" t="s">
        <v>34</v>
      </c>
      <c r="E2772" t="s">
        <v>679</v>
      </c>
      <c r="F2772" t="s">
        <v>927</v>
      </c>
      <c r="G2772" t="s">
        <v>650</v>
      </c>
      <c r="H2772">
        <v>48</v>
      </c>
      <c r="I2772" t="s">
        <v>644</v>
      </c>
      <c r="J2772">
        <v>2400</v>
      </c>
      <c r="K2772" s="1">
        <v>44508</v>
      </c>
      <c r="L2772">
        <v>2021</v>
      </c>
      <c r="M2772" t="str">
        <f>UPPER(TEXT(_2020_2022[[#This Row],[Data da Venda]],"mmm"))</f>
        <v>NOV</v>
      </c>
    </row>
    <row r="2773" spans="1:13" x14ac:dyDescent="0.25">
      <c r="A2773" t="s">
        <v>5</v>
      </c>
      <c r="B2773">
        <v>1750</v>
      </c>
      <c r="C2773">
        <v>3</v>
      </c>
      <c r="D2773" t="s">
        <v>32</v>
      </c>
      <c r="E2773" t="s">
        <v>652</v>
      </c>
      <c r="F2773" t="s">
        <v>1031</v>
      </c>
      <c r="G2773" t="s">
        <v>643</v>
      </c>
      <c r="H2773">
        <v>44</v>
      </c>
      <c r="I2773" t="s">
        <v>644</v>
      </c>
      <c r="J2773">
        <v>5250</v>
      </c>
      <c r="K2773" s="1">
        <v>44272</v>
      </c>
      <c r="L2773">
        <v>2021</v>
      </c>
      <c r="M2773" t="str">
        <f>UPPER(TEXT(_2020_2022[[#This Row],[Data da Venda]],"mmm"))</f>
        <v>MAR</v>
      </c>
    </row>
    <row r="2774" spans="1:13" x14ac:dyDescent="0.25">
      <c r="A2774" t="s">
        <v>1445</v>
      </c>
      <c r="B2774">
        <v>1500</v>
      </c>
      <c r="C2774">
        <v>2</v>
      </c>
      <c r="D2774" t="s">
        <v>29</v>
      </c>
      <c r="E2774" t="s">
        <v>641</v>
      </c>
      <c r="F2774" t="s">
        <v>1033</v>
      </c>
      <c r="G2774" t="s">
        <v>650</v>
      </c>
      <c r="H2774">
        <v>44</v>
      </c>
      <c r="I2774" t="s">
        <v>644</v>
      </c>
      <c r="J2774">
        <v>3000</v>
      </c>
      <c r="K2774" s="1">
        <v>44329</v>
      </c>
      <c r="L2774">
        <v>2021</v>
      </c>
      <c r="M2774" t="str">
        <f>UPPER(TEXT(_2020_2022[[#This Row],[Data da Venda]],"mmm"))</f>
        <v>MAI</v>
      </c>
    </row>
    <row r="2775" spans="1:13" x14ac:dyDescent="0.25">
      <c r="A2775" t="s">
        <v>26</v>
      </c>
      <c r="B2775">
        <v>1100</v>
      </c>
      <c r="C2775">
        <v>5</v>
      </c>
      <c r="D2775" t="s">
        <v>34</v>
      </c>
      <c r="E2775" t="s">
        <v>679</v>
      </c>
      <c r="F2775" t="s">
        <v>1060</v>
      </c>
      <c r="G2775" t="s">
        <v>643</v>
      </c>
      <c r="H2775">
        <v>64</v>
      </c>
      <c r="I2775" t="s">
        <v>647</v>
      </c>
      <c r="J2775">
        <v>5500</v>
      </c>
      <c r="K2775" s="1">
        <v>44521</v>
      </c>
      <c r="L2775">
        <v>2021</v>
      </c>
      <c r="M2775" t="str">
        <f>UPPER(TEXT(_2020_2022[[#This Row],[Data da Venda]],"mmm"))</f>
        <v>NOV</v>
      </c>
    </row>
    <row r="2776" spans="1:13" x14ac:dyDescent="0.25">
      <c r="A2776" t="s">
        <v>14</v>
      </c>
      <c r="B2776">
        <v>2000</v>
      </c>
      <c r="C2776">
        <v>2</v>
      </c>
      <c r="D2776" t="s">
        <v>37</v>
      </c>
      <c r="E2776" t="s">
        <v>645</v>
      </c>
      <c r="F2776" t="s">
        <v>1214</v>
      </c>
      <c r="G2776" t="s">
        <v>643</v>
      </c>
      <c r="H2776">
        <v>64</v>
      </c>
      <c r="I2776" t="s">
        <v>647</v>
      </c>
      <c r="J2776">
        <v>4000</v>
      </c>
      <c r="K2776" s="1">
        <v>44423</v>
      </c>
      <c r="L2776">
        <v>2021</v>
      </c>
      <c r="M2776" t="str">
        <f>UPPER(TEXT(_2020_2022[[#This Row],[Data da Venda]],"mmm"))</f>
        <v>AGO</v>
      </c>
    </row>
    <row r="2777" spans="1:13" x14ac:dyDescent="0.25">
      <c r="A2777" t="s">
        <v>21</v>
      </c>
      <c r="B2777">
        <v>2400</v>
      </c>
      <c r="C2777">
        <v>3</v>
      </c>
      <c r="D2777" t="s">
        <v>32</v>
      </c>
      <c r="E2777" t="s">
        <v>652</v>
      </c>
      <c r="F2777" t="s">
        <v>808</v>
      </c>
      <c r="G2777" t="s">
        <v>650</v>
      </c>
      <c r="H2777">
        <v>57</v>
      </c>
      <c r="I2777" t="s">
        <v>647</v>
      </c>
      <c r="J2777">
        <v>7200</v>
      </c>
      <c r="K2777" s="1">
        <v>44396</v>
      </c>
      <c r="L2777">
        <v>2021</v>
      </c>
      <c r="M2777" t="str">
        <f>UPPER(TEXT(_2020_2022[[#This Row],[Data da Venda]],"mmm"))</f>
        <v>JUL</v>
      </c>
    </row>
    <row r="2778" spans="1:13" x14ac:dyDescent="0.25">
      <c r="A2778" t="s">
        <v>16</v>
      </c>
      <c r="B2778">
        <v>1400</v>
      </c>
      <c r="C2778">
        <v>5</v>
      </c>
      <c r="D2778" t="s">
        <v>37</v>
      </c>
      <c r="E2778" t="s">
        <v>645</v>
      </c>
      <c r="F2778" t="s">
        <v>691</v>
      </c>
      <c r="G2778" t="s">
        <v>650</v>
      </c>
      <c r="H2778">
        <v>45</v>
      </c>
      <c r="I2778" t="s">
        <v>644</v>
      </c>
      <c r="J2778">
        <v>7000</v>
      </c>
      <c r="K2778" s="1">
        <v>44532</v>
      </c>
      <c r="L2778">
        <v>2021</v>
      </c>
      <c r="M2778" t="str">
        <f>UPPER(TEXT(_2020_2022[[#This Row],[Data da Venda]],"mmm"))</f>
        <v>DEZ</v>
      </c>
    </row>
    <row r="2779" spans="1:13" x14ac:dyDescent="0.25">
      <c r="A2779" t="s">
        <v>1440</v>
      </c>
      <c r="B2779">
        <v>700</v>
      </c>
      <c r="C2779">
        <v>3</v>
      </c>
      <c r="D2779" t="s">
        <v>30</v>
      </c>
      <c r="E2779" t="s">
        <v>645</v>
      </c>
      <c r="F2779" t="s">
        <v>1185</v>
      </c>
      <c r="G2779" t="s">
        <v>650</v>
      </c>
      <c r="H2779">
        <v>42</v>
      </c>
      <c r="I2779" t="s">
        <v>644</v>
      </c>
      <c r="J2779">
        <v>2100</v>
      </c>
      <c r="K2779" s="1">
        <v>44401</v>
      </c>
      <c r="L2779">
        <v>2021</v>
      </c>
      <c r="M2779" t="str">
        <f>UPPER(TEXT(_2020_2022[[#This Row],[Data da Venda]],"mmm"))</f>
        <v>JUL</v>
      </c>
    </row>
    <row r="2780" spans="1:13" x14ac:dyDescent="0.25">
      <c r="A2780" t="s">
        <v>21</v>
      </c>
      <c r="B2780">
        <v>2400</v>
      </c>
      <c r="C2780">
        <v>2</v>
      </c>
      <c r="D2780" t="s">
        <v>37</v>
      </c>
      <c r="E2780" t="s">
        <v>645</v>
      </c>
      <c r="F2780" t="s">
        <v>1043</v>
      </c>
      <c r="G2780" t="s">
        <v>650</v>
      </c>
      <c r="H2780">
        <v>43</v>
      </c>
      <c r="I2780" t="s">
        <v>644</v>
      </c>
      <c r="J2780">
        <v>4800</v>
      </c>
      <c r="K2780" s="1">
        <v>44435</v>
      </c>
      <c r="L2780">
        <v>2021</v>
      </c>
      <c r="M2780" t="str">
        <f>UPPER(TEXT(_2020_2022[[#This Row],[Data da Venda]],"mmm"))</f>
        <v>AGO</v>
      </c>
    </row>
    <row r="2781" spans="1:13" x14ac:dyDescent="0.25">
      <c r="A2781" t="s">
        <v>21</v>
      </c>
      <c r="B2781">
        <v>2400</v>
      </c>
      <c r="C2781">
        <v>4</v>
      </c>
      <c r="D2781" t="s">
        <v>32</v>
      </c>
      <c r="E2781" t="s">
        <v>652</v>
      </c>
      <c r="F2781" t="s">
        <v>893</v>
      </c>
      <c r="G2781" t="s">
        <v>650</v>
      </c>
      <c r="H2781">
        <v>69</v>
      </c>
      <c r="I2781" t="s">
        <v>647</v>
      </c>
      <c r="J2781">
        <v>9600</v>
      </c>
      <c r="K2781" s="1">
        <v>44473</v>
      </c>
      <c r="L2781">
        <v>2021</v>
      </c>
      <c r="M2781" t="str">
        <f>UPPER(TEXT(_2020_2022[[#This Row],[Data da Venda]],"mmm"))</f>
        <v>OUT</v>
      </c>
    </row>
    <row r="2782" spans="1:13" x14ac:dyDescent="0.25">
      <c r="A2782" t="s">
        <v>21</v>
      </c>
      <c r="B2782">
        <v>2400</v>
      </c>
      <c r="C2782">
        <v>2</v>
      </c>
      <c r="D2782" t="s">
        <v>37</v>
      </c>
      <c r="E2782" t="s">
        <v>645</v>
      </c>
      <c r="F2782" t="s">
        <v>1116</v>
      </c>
      <c r="G2782" t="s">
        <v>643</v>
      </c>
      <c r="H2782">
        <v>34</v>
      </c>
      <c r="I2782" t="s">
        <v>644</v>
      </c>
      <c r="J2782">
        <v>4800</v>
      </c>
      <c r="K2782" s="1">
        <v>44438</v>
      </c>
      <c r="L2782">
        <v>2021</v>
      </c>
      <c r="M2782" t="str">
        <f>UPPER(TEXT(_2020_2022[[#This Row],[Data da Venda]],"mmm"))</f>
        <v>AGO</v>
      </c>
    </row>
    <row r="2783" spans="1:13" x14ac:dyDescent="0.25">
      <c r="A2783" t="s">
        <v>24</v>
      </c>
      <c r="B2783">
        <v>2000</v>
      </c>
      <c r="C2783">
        <v>3</v>
      </c>
      <c r="D2783" t="s">
        <v>35</v>
      </c>
      <c r="E2783" t="s">
        <v>666</v>
      </c>
      <c r="F2783" t="s">
        <v>751</v>
      </c>
      <c r="G2783" t="s">
        <v>650</v>
      </c>
      <c r="H2783">
        <v>67</v>
      </c>
      <c r="I2783" t="s">
        <v>647</v>
      </c>
      <c r="J2783">
        <v>6000</v>
      </c>
      <c r="K2783" s="1">
        <v>44263</v>
      </c>
      <c r="L2783">
        <v>2021</v>
      </c>
      <c r="M2783" t="str">
        <f>UPPER(TEXT(_2020_2022[[#This Row],[Data da Venda]],"mmm"))</f>
        <v>MAR</v>
      </c>
    </row>
    <row r="2784" spans="1:13" x14ac:dyDescent="0.25">
      <c r="A2784" t="s">
        <v>1441</v>
      </c>
      <c r="B2784">
        <v>1450</v>
      </c>
      <c r="C2784">
        <v>3</v>
      </c>
      <c r="D2784" t="s">
        <v>36</v>
      </c>
      <c r="E2784" t="s">
        <v>677</v>
      </c>
      <c r="F2784" t="s">
        <v>825</v>
      </c>
      <c r="G2784" t="s">
        <v>643</v>
      </c>
      <c r="H2784">
        <v>27</v>
      </c>
      <c r="I2784" t="s">
        <v>651</v>
      </c>
      <c r="J2784">
        <v>4350</v>
      </c>
      <c r="K2784" s="1">
        <v>44387</v>
      </c>
      <c r="L2784">
        <v>2021</v>
      </c>
      <c r="M2784" t="str">
        <f>UPPER(TEXT(_2020_2022[[#This Row],[Data da Venda]],"mmm"))</f>
        <v>JUL</v>
      </c>
    </row>
    <row r="2785" spans="1:13" x14ac:dyDescent="0.25">
      <c r="A2785" t="s">
        <v>1440</v>
      </c>
      <c r="B2785">
        <v>700</v>
      </c>
      <c r="C2785">
        <v>1</v>
      </c>
      <c r="D2785" t="s">
        <v>36</v>
      </c>
      <c r="E2785" t="s">
        <v>677</v>
      </c>
      <c r="F2785" t="s">
        <v>1387</v>
      </c>
      <c r="G2785" t="s">
        <v>650</v>
      </c>
      <c r="H2785">
        <v>44</v>
      </c>
      <c r="I2785" t="s">
        <v>644</v>
      </c>
      <c r="J2785">
        <v>700</v>
      </c>
      <c r="K2785" s="1">
        <v>44368</v>
      </c>
      <c r="L2785">
        <v>2021</v>
      </c>
      <c r="M2785" t="str">
        <f>UPPER(TEXT(_2020_2022[[#This Row],[Data da Venda]],"mmm"))</f>
        <v>JUN</v>
      </c>
    </row>
    <row r="2786" spans="1:13" x14ac:dyDescent="0.25">
      <c r="A2786" t="s">
        <v>14</v>
      </c>
      <c r="B2786">
        <v>2000</v>
      </c>
      <c r="C2786">
        <v>4</v>
      </c>
      <c r="D2786" t="s">
        <v>34</v>
      </c>
      <c r="E2786" t="s">
        <v>679</v>
      </c>
      <c r="F2786" t="s">
        <v>896</v>
      </c>
      <c r="G2786" t="s">
        <v>643</v>
      </c>
      <c r="H2786">
        <v>71</v>
      </c>
      <c r="I2786" t="s">
        <v>647</v>
      </c>
      <c r="J2786">
        <v>8000</v>
      </c>
      <c r="K2786" s="1">
        <v>44400</v>
      </c>
      <c r="L2786">
        <v>2021</v>
      </c>
      <c r="M2786" t="str">
        <f>UPPER(TEXT(_2020_2022[[#This Row],[Data da Venda]],"mmm"))</f>
        <v>JUL</v>
      </c>
    </row>
    <row r="2787" spans="1:13" x14ac:dyDescent="0.25">
      <c r="A2787" t="s">
        <v>25</v>
      </c>
      <c r="B2787">
        <v>2500</v>
      </c>
      <c r="C2787">
        <v>3</v>
      </c>
      <c r="D2787" t="s">
        <v>33</v>
      </c>
      <c r="E2787" t="s">
        <v>641</v>
      </c>
      <c r="F2787" t="s">
        <v>1408</v>
      </c>
      <c r="G2787" t="s">
        <v>650</v>
      </c>
      <c r="H2787">
        <v>62</v>
      </c>
      <c r="I2787" t="s">
        <v>647</v>
      </c>
      <c r="J2787">
        <v>7500</v>
      </c>
      <c r="K2787" s="1">
        <v>44452</v>
      </c>
      <c r="L2787">
        <v>2021</v>
      </c>
      <c r="M2787" t="str">
        <f>UPPER(TEXT(_2020_2022[[#This Row],[Data da Venda]],"mmm"))</f>
        <v>SET</v>
      </c>
    </row>
    <row r="2788" spans="1:13" x14ac:dyDescent="0.25">
      <c r="A2788" t="s">
        <v>8</v>
      </c>
      <c r="B2788">
        <v>5500</v>
      </c>
      <c r="C2788">
        <v>2</v>
      </c>
      <c r="D2788" t="s">
        <v>31</v>
      </c>
      <c r="E2788" t="s">
        <v>645</v>
      </c>
      <c r="F2788" t="s">
        <v>1064</v>
      </c>
      <c r="G2788" t="s">
        <v>643</v>
      </c>
      <c r="H2788">
        <v>64</v>
      </c>
      <c r="I2788" t="s">
        <v>647</v>
      </c>
      <c r="J2788">
        <v>11000</v>
      </c>
      <c r="K2788" s="1">
        <v>44289</v>
      </c>
      <c r="L2788">
        <v>2021</v>
      </c>
      <c r="M2788" t="str">
        <f>UPPER(TEXT(_2020_2022[[#This Row],[Data da Venda]],"mmm"))</f>
        <v>ABR</v>
      </c>
    </row>
    <row r="2789" spans="1:13" x14ac:dyDescent="0.25">
      <c r="A2789" t="s">
        <v>1443</v>
      </c>
      <c r="B2789">
        <v>1550</v>
      </c>
      <c r="C2789">
        <v>1</v>
      </c>
      <c r="D2789" t="s">
        <v>36</v>
      </c>
      <c r="E2789" t="s">
        <v>677</v>
      </c>
      <c r="F2789" t="s">
        <v>886</v>
      </c>
      <c r="G2789" t="s">
        <v>650</v>
      </c>
      <c r="H2789">
        <v>27</v>
      </c>
      <c r="I2789" t="s">
        <v>651</v>
      </c>
      <c r="J2789">
        <v>1550</v>
      </c>
      <c r="K2789" s="1">
        <v>44309</v>
      </c>
      <c r="L2789">
        <v>2021</v>
      </c>
      <c r="M2789" t="str">
        <f>UPPER(TEXT(_2020_2022[[#This Row],[Data da Venda]],"mmm"))</f>
        <v>ABR</v>
      </c>
    </row>
    <row r="2790" spans="1:13" x14ac:dyDescent="0.25">
      <c r="A2790" t="s">
        <v>7</v>
      </c>
      <c r="B2790">
        <v>750</v>
      </c>
      <c r="C2790">
        <v>5</v>
      </c>
      <c r="D2790" t="s">
        <v>35</v>
      </c>
      <c r="E2790" t="s">
        <v>666</v>
      </c>
      <c r="F2790" t="s">
        <v>724</v>
      </c>
      <c r="G2790" t="s">
        <v>643</v>
      </c>
      <c r="H2790">
        <v>55</v>
      </c>
      <c r="I2790" t="s">
        <v>647</v>
      </c>
      <c r="J2790">
        <v>3750</v>
      </c>
      <c r="K2790" s="1">
        <v>44237</v>
      </c>
      <c r="L2790">
        <v>2021</v>
      </c>
      <c r="M2790" t="str">
        <f>UPPER(TEXT(_2020_2022[[#This Row],[Data da Venda]],"mmm"))</f>
        <v>FEV</v>
      </c>
    </row>
    <row r="2791" spans="1:13" x14ac:dyDescent="0.25">
      <c r="A2791" t="s">
        <v>14</v>
      </c>
      <c r="B2791">
        <v>2000</v>
      </c>
      <c r="C2791">
        <v>5</v>
      </c>
      <c r="D2791" t="s">
        <v>29</v>
      </c>
      <c r="E2791" t="s">
        <v>641</v>
      </c>
      <c r="F2791" t="s">
        <v>1215</v>
      </c>
      <c r="G2791" t="s">
        <v>643</v>
      </c>
      <c r="H2791">
        <v>60</v>
      </c>
      <c r="I2791" t="s">
        <v>647</v>
      </c>
      <c r="J2791">
        <v>10000</v>
      </c>
      <c r="K2791" s="1">
        <v>44422</v>
      </c>
      <c r="L2791">
        <v>2021</v>
      </c>
      <c r="M2791" t="str">
        <f>UPPER(TEXT(_2020_2022[[#This Row],[Data da Venda]],"mmm"))</f>
        <v>AGO</v>
      </c>
    </row>
    <row r="2792" spans="1:13" x14ac:dyDescent="0.25">
      <c r="A2792" t="s">
        <v>25</v>
      </c>
      <c r="B2792">
        <v>2500</v>
      </c>
      <c r="C2792">
        <v>1</v>
      </c>
      <c r="D2792" t="s">
        <v>39</v>
      </c>
      <c r="E2792" t="s">
        <v>641</v>
      </c>
      <c r="F2792" t="s">
        <v>1355</v>
      </c>
      <c r="G2792" t="s">
        <v>650</v>
      </c>
      <c r="H2792">
        <v>75</v>
      </c>
      <c r="I2792" t="s">
        <v>647</v>
      </c>
      <c r="J2792">
        <v>2500</v>
      </c>
      <c r="K2792" s="1">
        <v>44534</v>
      </c>
      <c r="L2792">
        <v>2021</v>
      </c>
      <c r="M2792" t="str">
        <f>UPPER(TEXT(_2020_2022[[#This Row],[Data da Venda]],"mmm"))</f>
        <v>DEZ</v>
      </c>
    </row>
    <row r="2793" spans="1:13" x14ac:dyDescent="0.25">
      <c r="A2793" t="s">
        <v>15</v>
      </c>
      <c r="B2793">
        <v>1900</v>
      </c>
      <c r="C2793">
        <v>1</v>
      </c>
      <c r="D2793" t="s">
        <v>31</v>
      </c>
      <c r="E2793" t="s">
        <v>645</v>
      </c>
      <c r="F2793" t="s">
        <v>811</v>
      </c>
      <c r="G2793" t="s">
        <v>650</v>
      </c>
      <c r="H2793">
        <v>56</v>
      </c>
      <c r="I2793" t="s">
        <v>647</v>
      </c>
      <c r="J2793">
        <v>1900</v>
      </c>
      <c r="K2793" s="1">
        <v>44531</v>
      </c>
      <c r="L2793">
        <v>2021</v>
      </c>
      <c r="M2793" t="str">
        <f>UPPER(TEXT(_2020_2022[[#This Row],[Data da Venda]],"mmm"))</f>
        <v>DEZ</v>
      </c>
    </row>
    <row r="2794" spans="1:13" x14ac:dyDescent="0.25">
      <c r="A2794" t="s">
        <v>11</v>
      </c>
      <c r="B2794">
        <v>4500</v>
      </c>
      <c r="C2794">
        <v>5</v>
      </c>
      <c r="D2794" t="s">
        <v>39</v>
      </c>
      <c r="E2794" t="s">
        <v>641</v>
      </c>
      <c r="F2794" t="s">
        <v>1210</v>
      </c>
      <c r="G2794" t="s">
        <v>650</v>
      </c>
      <c r="H2794">
        <v>30</v>
      </c>
      <c r="I2794" t="s">
        <v>644</v>
      </c>
      <c r="J2794">
        <v>22500</v>
      </c>
      <c r="K2794" s="1">
        <v>44345</v>
      </c>
      <c r="L2794">
        <v>2021</v>
      </c>
      <c r="M2794" t="str">
        <f>UPPER(TEXT(_2020_2022[[#This Row],[Data da Venda]],"mmm"))</f>
        <v>MAI</v>
      </c>
    </row>
    <row r="2795" spans="1:13" x14ac:dyDescent="0.25">
      <c r="A2795" t="s">
        <v>9</v>
      </c>
      <c r="B2795">
        <v>1500</v>
      </c>
      <c r="C2795">
        <v>3</v>
      </c>
      <c r="D2795" t="s">
        <v>40</v>
      </c>
      <c r="E2795" t="s">
        <v>657</v>
      </c>
      <c r="F2795" t="s">
        <v>992</v>
      </c>
      <c r="G2795" t="s">
        <v>643</v>
      </c>
      <c r="H2795">
        <v>52</v>
      </c>
      <c r="I2795" t="s">
        <v>647</v>
      </c>
      <c r="J2795">
        <v>4500</v>
      </c>
      <c r="K2795" s="1">
        <v>44256</v>
      </c>
      <c r="L2795">
        <v>2021</v>
      </c>
      <c r="M2795" t="str">
        <f>UPPER(TEXT(_2020_2022[[#This Row],[Data da Venda]],"mmm"))</f>
        <v>MAR</v>
      </c>
    </row>
    <row r="2796" spans="1:13" x14ac:dyDescent="0.25">
      <c r="A2796" t="s">
        <v>11</v>
      </c>
      <c r="B2796">
        <v>4500</v>
      </c>
      <c r="C2796">
        <v>3</v>
      </c>
      <c r="D2796" t="s">
        <v>37</v>
      </c>
      <c r="E2796" t="s">
        <v>645</v>
      </c>
      <c r="F2796" t="s">
        <v>1300</v>
      </c>
      <c r="G2796" t="s">
        <v>650</v>
      </c>
      <c r="H2796">
        <v>66</v>
      </c>
      <c r="I2796" t="s">
        <v>647</v>
      </c>
      <c r="J2796">
        <v>13500</v>
      </c>
      <c r="K2796" s="1">
        <v>44247</v>
      </c>
      <c r="L2796">
        <v>2021</v>
      </c>
      <c r="M2796" t="str">
        <f>UPPER(TEXT(_2020_2022[[#This Row],[Data da Venda]],"mmm"))</f>
        <v>FEV</v>
      </c>
    </row>
    <row r="2797" spans="1:13" x14ac:dyDescent="0.25">
      <c r="A2797" t="s">
        <v>22</v>
      </c>
      <c r="B2797">
        <v>5200</v>
      </c>
      <c r="C2797">
        <v>4</v>
      </c>
      <c r="D2797" t="s">
        <v>35</v>
      </c>
      <c r="E2797" t="s">
        <v>666</v>
      </c>
      <c r="F2797" t="s">
        <v>1059</v>
      </c>
      <c r="G2797" t="s">
        <v>643</v>
      </c>
      <c r="H2797">
        <v>57</v>
      </c>
      <c r="I2797" t="s">
        <v>647</v>
      </c>
      <c r="J2797">
        <v>20800</v>
      </c>
      <c r="K2797" s="1">
        <v>44327</v>
      </c>
      <c r="L2797">
        <v>2021</v>
      </c>
      <c r="M2797" t="str">
        <f>UPPER(TEXT(_2020_2022[[#This Row],[Data da Venda]],"mmm"))</f>
        <v>MAI</v>
      </c>
    </row>
    <row r="2798" spans="1:13" x14ac:dyDescent="0.25">
      <c r="A2798" t="s">
        <v>28</v>
      </c>
      <c r="B2798">
        <v>1400</v>
      </c>
      <c r="C2798">
        <v>1</v>
      </c>
      <c r="D2798" t="s">
        <v>41</v>
      </c>
      <c r="E2798" t="s">
        <v>681</v>
      </c>
      <c r="F2798" t="s">
        <v>1278</v>
      </c>
      <c r="G2798" t="s">
        <v>650</v>
      </c>
      <c r="H2798">
        <v>52</v>
      </c>
      <c r="I2798" t="s">
        <v>647</v>
      </c>
      <c r="J2798">
        <v>1400</v>
      </c>
      <c r="K2798" s="1">
        <v>44319</v>
      </c>
      <c r="L2798">
        <v>2021</v>
      </c>
      <c r="M2798" t="str">
        <f>UPPER(TEXT(_2020_2022[[#This Row],[Data da Venda]],"mmm"))</f>
        <v>MAI</v>
      </c>
    </row>
    <row r="2799" spans="1:13" x14ac:dyDescent="0.25">
      <c r="A2799" t="s">
        <v>18</v>
      </c>
      <c r="B2799">
        <v>3000</v>
      </c>
      <c r="C2799">
        <v>2</v>
      </c>
      <c r="D2799" t="s">
        <v>38</v>
      </c>
      <c r="E2799" t="s">
        <v>648</v>
      </c>
      <c r="F2799" t="s">
        <v>1261</v>
      </c>
      <c r="G2799" t="s">
        <v>650</v>
      </c>
      <c r="H2799">
        <v>37</v>
      </c>
      <c r="I2799" t="s">
        <v>644</v>
      </c>
      <c r="J2799">
        <v>6000</v>
      </c>
      <c r="K2799" s="1">
        <v>44462</v>
      </c>
      <c r="L2799">
        <v>2021</v>
      </c>
      <c r="M2799" t="str">
        <f>UPPER(TEXT(_2020_2022[[#This Row],[Data da Venda]],"mmm"))</f>
        <v>SET</v>
      </c>
    </row>
    <row r="2800" spans="1:13" x14ac:dyDescent="0.25">
      <c r="A2800" t="s">
        <v>14</v>
      </c>
      <c r="B2800">
        <v>2000</v>
      </c>
      <c r="C2800">
        <v>2</v>
      </c>
      <c r="D2800" t="s">
        <v>34</v>
      </c>
      <c r="E2800" t="s">
        <v>679</v>
      </c>
      <c r="F2800" t="s">
        <v>1409</v>
      </c>
      <c r="G2800" t="s">
        <v>650</v>
      </c>
      <c r="H2800">
        <v>32</v>
      </c>
      <c r="I2800" t="s">
        <v>644</v>
      </c>
      <c r="J2800">
        <v>4000</v>
      </c>
      <c r="K2800" s="1">
        <v>44305</v>
      </c>
      <c r="L2800">
        <v>2021</v>
      </c>
      <c r="M2800" t="str">
        <f>UPPER(TEXT(_2020_2022[[#This Row],[Data da Venda]],"mmm"))</f>
        <v>ABR</v>
      </c>
    </row>
    <row r="2801" spans="1:13" x14ac:dyDescent="0.25">
      <c r="A2801" t="s">
        <v>1440</v>
      </c>
      <c r="B2801">
        <v>700</v>
      </c>
      <c r="C2801">
        <v>5</v>
      </c>
      <c r="D2801" t="s">
        <v>39</v>
      </c>
      <c r="E2801" t="s">
        <v>641</v>
      </c>
      <c r="F2801" t="s">
        <v>1225</v>
      </c>
      <c r="G2801" t="s">
        <v>650</v>
      </c>
      <c r="H2801">
        <v>45</v>
      </c>
      <c r="I2801" t="s">
        <v>644</v>
      </c>
      <c r="J2801">
        <v>3500</v>
      </c>
      <c r="K2801" s="1">
        <v>44360</v>
      </c>
      <c r="L2801">
        <v>2021</v>
      </c>
      <c r="M2801" t="str">
        <f>UPPER(TEXT(_2020_2022[[#This Row],[Data da Venda]],"mmm"))</f>
        <v>JUN</v>
      </c>
    </row>
    <row r="2802" spans="1:13" x14ac:dyDescent="0.25">
      <c r="A2802" t="s">
        <v>22</v>
      </c>
      <c r="B2802">
        <v>5200</v>
      </c>
      <c r="C2802">
        <v>2</v>
      </c>
      <c r="D2802" t="s">
        <v>39</v>
      </c>
      <c r="E2802" t="s">
        <v>641</v>
      </c>
      <c r="F2802" t="s">
        <v>1318</v>
      </c>
      <c r="G2802" t="s">
        <v>643</v>
      </c>
      <c r="H2802">
        <v>63</v>
      </c>
      <c r="I2802" t="s">
        <v>647</v>
      </c>
      <c r="J2802">
        <v>10400</v>
      </c>
      <c r="K2802" s="1">
        <v>44430</v>
      </c>
      <c r="L2802">
        <v>2021</v>
      </c>
      <c r="M2802" t="str">
        <f>UPPER(TEXT(_2020_2022[[#This Row],[Data da Venda]],"mmm"))</f>
        <v>AGO</v>
      </c>
    </row>
    <row r="2803" spans="1:13" x14ac:dyDescent="0.25">
      <c r="A2803" t="s">
        <v>9</v>
      </c>
      <c r="B2803">
        <v>1500</v>
      </c>
      <c r="C2803">
        <v>3</v>
      </c>
      <c r="D2803" t="s">
        <v>39</v>
      </c>
      <c r="E2803" t="s">
        <v>641</v>
      </c>
      <c r="F2803" t="s">
        <v>760</v>
      </c>
      <c r="G2803" t="s">
        <v>643</v>
      </c>
      <c r="H2803">
        <v>28</v>
      </c>
      <c r="I2803" t="s">
        <v>651</v>
      </c>
      <c r="J2803">
        <v>4500</v>
      </c>
      <c r="K2803" s="1">
        <v>44335</v>
      </c>
      <c r="L2803">
        <v>2021</v>
      </c>
      <c r="M2803" t="str">
        <f>UPPER(TEXT(_2020_2022[[#This Row],[Data da Venda]],"mmm"))</f>
        <v>MAI</v>
      </c>
    </row>
    <row r="2804" spans="1:13" x14ac:dyDescent="0.25">
      <c r="A2804" t="s">
        <v>5</v>
      </c>
      <c r="B2804">
        <v>1750</v>
      </c>
      <c r="C2804">
        <v>2</v>
      </c>
      <c r="D2804" t="s">
        <v>32</v>
      </c>
      <c r="E2804" t="s">
        <v>652</v>
      </c>
      <c r="F2804" t="s">
        <v>1396</v>
      </c>
      <c r="G2804" t="s">
        <v>643</v>
      </c>
      <c r="H2804">
        <v>45</v>
      </c>
      <c r="I2804" t="s">
        <v>644</v>
      </c>
      <c r="J2804">
        <v>3500</v>
      </c>
      <c r="K2804" s="1">
        <v>44293</v>
      </c>
      <c r="L2804">
        <v>2021</v>
      </c>
      <c r="M2804" t="str">
        <f>UPPER(TEXT(_2020_2022[[#This Row],[Data da Venda]],"mmm"))</f>
        <v>ABR</v>
      </c>
    </row>
    <row r="2805" spans="1:13" x14ac:dyDescent="0.25">
      <c r="A2805" t="s">
        <v>1441</v>
      </c>
      <c r="B2805">
        <v>1450</v>
      </c>
      <c r="C2805">
        <v>4</v>
      </c>
      <c r="D2805" t="s">
        <v>29</v>
      </c>
      <c r="E2805" t="s">
        <v>641</v>
      </c>
      <c r="F2805" t="s">
        <v>925</v>
      </c>
      <c r="G2805" t="s">
        <v>643</v>
      </c>
      <c r="H2805">
        <v>72</v>
      </c>
      <c r="I2805" t="s">
        <v>647</v>
      </c>
      <c r="J2805">
        <v>5800</v>
      </c>
      <c r="K2805" s="1">
        <v>44393</v>
      </c>
      <c r="L2805">
        <v>2021</v>
      </c>
      <c r="M2805" t="str">
        <f>UPPER(TEXT(_2020_2022[[#This Row],[Data da Venda]],"mmm"))</f>
        <v>JUL</v>
      </c>
    </row>
    <row r="2806" spans="1:13" x14ac:dyDescent="0.25">
      <c r="A2806" t="s">
        <v>24</v>
      </c>
      <c r="B2806">
        <v>2000</v>
      </c>
      <c r="C2806">
        <v>1</v>
      </c>
      <c r="D2806" t="s">
        <v>29</v>
      </c>
      <c r="E2806" t="s">
        <v>641</v>
      </c>
      <c r="F2806" t="s">
        <v>1410</v>
      </c>
      <c r="G2806" t="s">
        <v>650</v>
      </c>
      <c r="H2806">
        <v>71</v>
      </c>
      <c r="I2806" t="s">
        <v>647</v>
      </c>
      <c r="J2806">
        <v>2000</v>
      </c>
      <c r="K2806" s="1">
        <v>44426</v>
      </c>
      <c r="L2806">
        <v>2021</v>
      </c>
      <c r="M2806" t="str">
        <f>UPPER(TEXT(_2020_2022[[#This Row],[Data da Venda]],"mmm"))</f>
        <v>AGO</v>
      </c>
    </row>
    <row r="2807" spans="1:13" x14ac:dyDescent="0.25">
      <c r="A2807" t="s">
        <v>7</v>
      </c>
      <c r="B2807">
        <v>750</v>
      </c>
      <c r="C2807">
        <v>4</v>
      </c>
      <c r="D2807" t="s">
        <v>35</v>
      </c>
      <c r="E2807" t="s">
        <v>666</v>
      </c>
      <c r="F2807" t="s">
        <v>707</v>
      </c>
      <c r="G2807" t="s">
        <v>643</v>
      </c>
      <c r="H2807">
        <v>60</v>
      </c>
      <c r="I2807" t="s">
        <v>647</v>
      </c>
      <c r="J2807">
        <v>3000</v>
      </c>
      <c r="K2807" s="1">
        <v>44484</v>
      </c>
      <c r="L2807">
        <v>2021</v>
      </c>
      <c r="M2807" t="str">
        <f>UPPER(TEXT(_2020_2022[[#This Row],[Data da Venda]],"mmm"))</f>
        <v>OUT</v>
      </c>
    </row>
    <row r="2808" spans="1:13" x14ac:dyDescent="0.25">
      <c r="A2808" t="s">
        <v>16</v>
      </c>
      <c r="B2808">
        <v>1400</v>
      </c>
      <c r="C2808">
        <v>5</v>
      </c>
      <c r="D2808" t="s">
        <v>33</v>
      </c>
      <c r="E2808" t="s">
        <v>641</v>
      </c>
      <c r="F2808" t="s">
        <v>1337</v>
      </c>
      <c r="G2808" t="s">
        <v>643</v>
      </c>
      <c r="H2808">
        <v>29</v>
      </c>
      <c r="I2808" t="s">
        <v>651</v>
      </c>
      <c r="J2808">
        <v>7000</v>
      </c>
      <c r="K2808" s="1">
        <v>44395</v>
      </c>
      <c r="L2808">
        <v>2021</v>
      </c>
      <c r="M2808" t="str">
        <f>UPPER(TEXT(_2020_2022[[#This Row],[Data da Venda]],"mmm"))</f>
        <v>JUL</v>
      </c>
    </row>
    <row r="2809" spans="1:13" x14ac:dyDescent="0.25">
      <c r="A2809" t="s">
        <v>1445</v>
      </c>
      <c r="B2809">
        <v>1500</v>
      </c>
      <c r="C2809">
        <v>3</v>
      </c>
      <c r="D2809" t="s">
        <v>32</v>
      </c>
      <c r="E2809" t="s">
        <v>652</v>
      </c>
      <c r="F2809" t="s">
        <v>909</v>
      </c>
      <c r="G2809" t="s">
        <v>650</v>
      </c>
      <c r="H2809">
        <v>67</v>
      </c>
      <c r="I2809" t="s">
        <v>647</v>
      </c>
      <c r="J2809">
        <v>4500</v>
      </c>
      <c r="K2809" s="1">
        <v>44426</v>
      </c>
      <c r="L2809">
        <v>2021</v>
      </c>
      <c r="M2809" t="str">
        <f>UPPER(TEXT(_2020_2022[[#This Row],[Data da Venda]],"mmm"))</f>
        <v>AGO</v>
      </c>
    </row>
    <row r="2810" spans="1:13" x14ac:dyDescent="0.25">
      <c r="A2810" t="s">
        <v>25</v>
      </c>
      <c r="B2810">
        <v>2500</v>
      </c>
      <c r="C2810">
        <v>3</v>
      </c>
      <c r="D2810" t="s">
        <v>33</v>
      </c>
      <c r="E2810" t="s">
        <v>641</v>
      </c>
      <c r="F2810" t="s">
        <v>1241</v>
      </c>
      <c r="G2810" t="s">
        <v>650</v>
      </c>
      <c r="H2810">
        <v>59</v>
      </c>
      <c r="I2810" t="s">
        <v>647</v>
      </c>
      <c r="J2810">
        <v>7500</v>
      </c>
      <c r="K2810" s="1">
        <v>44316</v>
      </c>
      <c r="L2810">
        <v>2021</v>
      </c>
      <c r="M2810" t="str">
        <f>UPPER(TEXT(_2020_2022[[#This Row],[Data da Venda]],"mmm"))</f>
        <v>ABR</v>
      </c>
    </row>
    <row r="2811" spans="1:13" x14ac:dyDescent="0.25">
      <c r="A2811" t="s">
        <v>1445</v>
      </c>
      <c r="B2811">
        <v>1500</v>
      </c>
      <c r="C2811">
        <v>4</v>
      </c>
      <c r="D2811" t="s">
        <v>35</v>
      </c>
      <c r="E2811" t="s">
        <v>666</v>
      </c>
      <c r="F2811" t="s">
        <v>884</v>
      </c>
      <c r="G2811" t="s">
        <v>650</v>
      </c>
      <c r="H2811">
        <v>58</v>
      </c>
      <c r="I2811" t="s">
        <v>647</v>
      </c>
      <c r="J2811">
        <v>6000</v>
      </c>
      <c r="K2811" s="1">
        <v>44488</v>
      </c>
      <c r="L2811">
        <v>2021</v>
      </c>
      <c r="M2811" t="str">
        <f>UPPER(TEXT(_2020_2022[[#This Row],[Data da Venda]],"mmm"))</f>
        <v>OUT</v>
      </c>
    </row>
    <row r="2812" spans="1:13" x14ac:dyDescent="0.25">
      <c r="A2812" t="s">
        <v>22</v>
      </c>
      <c r="B2812">
        <v>5200</v>
      </c>
      <c r="C2812">
        <v>2</v>
      </c>
      <c r="D2812" t="s">
        <v>38</v>
      </c>
      <c r="E2812" t="s">
        <v>648</v>
      </c>
      <c r="F2812" t="s">
        <v>911</v>
      </c>
      <c r="G2812" t="s">
        <v>650</v>
      </c>
      <c r="H2812">
        <v>42</v>
      </c>
      <c r="I2812" t="s">
        <v>644</v>
      </c>
      <c r="J2812">
        <v>10400</v>
      </c>
      <c r="K2812" s="1">
        <v>44539</v>
      </c>
      <c r="L2812">
        <v>2021</v>
      </c>
      <c r="M2812" t="str">
        <f>UPPER(TEXT(_2020_2022[[#This Row],[Data da Venda]],"mmm"))</f>
        <v>DEZ</v>
      </c>
    </row>
    <row r="2813" spans="1:13" x14ac:dyDescent="0.25">
      <c r="A2813" t="s">
        <v>1445</v>
      </c>
      <c r="B2813">
        <v>1500</v>
      </c>
      <c r="C2813">
        <v>1</v>
      </c>
      <c r="D2813" t="s">
        <v>38</v>
      </c>
      <c r="E2813" t="s">
        <v>648</v>
      </c>
      <c r="F2813" t="s">
        <v>1143</v>
      </c>
      <c r="G2813" t="s">
        <v>643</v>
      </c>
      <c r="H2813">
        <v>27</v>
      </c>
      <c r="I2813" t="s">
        <v>651</v>
      </c>
      <c r="J2813">
        <v>1500</v>
      </c>
      <c r="K2813" s="1">
        <v>44290</v>
      </c>
      <c r="L2813">
        <v>2021</v>
      </c>
      <c r="M2813" t="str">
        <f>UPPER(TEXT(_2020_2022[[#This Row],[Data da Venda]],"mmm"))</f>
        <v>ABR</v>
      </c>
    </row>
    <row r="2814" spans="1:13" x14ac:dyDescent="0.25">
      <c r="A2814" t="s">
        <v>24</v>
      </c>
      <c r="B2814">
        <v>2000</v>
      </c>
      <c r="C2814">
        <v>4</v>
      </c>
      <c r="D2814" t="s">
        <v>30</v>
      </c>
      <c r="E2814" t="s">
        <v>645</v>
      </c>
      <c r="F2814" t="s">
        <v>736</v>
      </c>
      <c r="G2814" t="s">
        <v>643</v>
      </c>
      <c r="H2814">
        <v>37</v>
      </c>
      <c r="I2814" t="s">
        <v>644</v>
      </c>
      <c r="J2814">
        <v>8000</v>
      </c>
      <c r="K2814" s="1">
        <v>44463</v>
      </c>
      <c r="L2814">
        <v>2021</v>
      </c>
      <c r="M2814" t="str">
        <f>UPPER(TEXT(_2020_2022[[#This Row],[Data da Venda]],"mmm"))</f>
        <v>SET</v>
      </c>
    </row>
    <row r="2815" spans="1:13" x14ac:dyDescent="0.25">
      <c r="A2815" t="s">
        <v>1441</v>
      </c>
      <c r="B2815">
        <v>1450</v>
      </c>
      <c r="C2815">
        <v>3</v>
      </c>
      <c r="D2815" t="s">
        <v>30</v>
      </c>
      <c r="E2815" t="s">
        <v>645</v>
      </c>
      <c r="F2815" t="s">
        <v>864</v>
      </c>
      <c r="G2815" t="s">
        <v>650</v>
      </c>
      <c r="H2815">
        <v>29</v>
      </c>
      <c r="I2815" t="s">
        <v>651</v>
      </c>
      <c r="J2815">
        <v>4350</v>
      </c>
      <c r="K2815" s="1">
        <v>44538</v>
      </c>
      <c r="L2815">
        <v>2021</v>
      </c>
      <c r="M2815" t="str">
        <f>UPPER(TEXT(_2020_2022[[#This Row],[Data da Venda]],"mmm"))</f>
        <v>DEZ</v>
      </c>
    </row>
    <row r="2816" spans="1:13" x14ac:dyDescent="0.25">
      <c r="A2816" t="s">
        <v>20</v>
      </c>
      <c r="B2816">
        <v>2600</v>
      </c>
      <c r="C2816">
        <v>3</v>
      </c>
      <c r="D2816" t="s">
        <v>36</v>
      </c>
      <c r="E2816" t="s">
        <v>677</v>
      </c>
      <c r="F2816" t="s">
        <v>678</v>
      </c>
      <c r="G2816" t="s">
        <v>650</v>
      </c>
      <c r="H2816">
        <v>65</v>
      </c>
      <c r="I2816" t="s">
        <v>647</v>
      </c>
      <c r="J2816">
        <v>7800</v>
      </c>
      <c r="K2816" s="1">
        <v>44199</v>
      </c>
      <c r="L2816">
        <v>2021</v>
      </c>
      <c r="M2816" t="str">
        <f>UPPER(TEXT(_2020_2022[[#This Row],[Data da Venda]],"mmm"))</f>
        <v>JAN</v>
      </c>
    </row>
    <row r="2817" spans="1:13" x14ac:dyDescent="0.25">
      <c r="A2817" t="s">
        <v>15</v>
      </c>
      <c r="B2817">
        <v>1900</v>
      </c>
      <c r="C2817">
        <v>1</v>
      </c>
      <c r="D2817" t="s">
        <v>39</v>
      </c>
      <c r="E2817" t="s">
        <v>641</v>
      </c>
      <c r="F2817" t="s">
        <v>1355</v>
      </c>
      <c r="G2817" t="s">
        <v>650</v>
      </c>
      <c r="H2817">
        <v>75</v>
      </c>
      <c r="I2817" t="s">
        <v>647</v>
      </c>
      <c r="J2817">
        <v>1900</v>
      </c>
      <c r="K2817" s="1">
        <v>44521</v>
      </c>
      <c r="L2817">
        <v>2021</v>
      </c>
      <c r="M2817" t="str">
        <f>UPPER(TEXT(_2020_2022[[#This Row],[Data da Venda]],"mmm"))</f>
        <v>NOV</v>
      </c>
    </row>
    <row r="2818" spans="1:13" x14ac:dyDescent="0.25">
      <c r="A2818" t="s">
        <v>11</v>
      </c>
      <c r="B2818">
        <v>4500</v>
      </c>
      <c r="C2818">
        <v>5</v>
      </c>
      <c r="D2818" t="s">
        <v>39</v>
      </c>
      <c r="E2818" t="s">
        <v>641</v>
      </c>
      <c r="F2818" t="s">
        <v>818</v>
      </c>
      <c r="G2818" t="s">
        <v>643</v>
      </c>
      <c r="H2818">
        <v>71</v>
      </c>
      <c r="I2818" t="s">
        <v>647</v>
      </c>
      <c r="J2818">
        <v>22500</v>
      </c>
      <c r="K2818" s="1">
        <v>44531</v>
      </c>
      <c r="L2818">
        <v>2021</v>
      </c>
      <c r="M2818" t="str">
        <f>UPPER(TEXT(_2020_2022[[#This Row],[Data da Venda]],"mmm"))</f>
        <v>DEZ</v>
      </c>
    </row>
    <row r="2819" spans="1:13" x14ac:dyDescent="0.25">
      <c r="A2819" t="s">
        <v>25</v>
      </c>
      <c r="B2819">
        <v>2500</v>
      </c>
      <c r="C2819">
        <v>2</v>
      </c>
      <c r="D2819" t="s">
        <v>41</v>
      </c>
      <c r="E2819" t="s">
        <v>681</v>
      </c>
      <c r="F2819" t="s">
        <v>860</v>
      </c>
      <c r="G2819" t="s">
        <v>643</v>
      </c>
      <c r="H2819">
        <v>42</v>
      </c>
      <c r="I2819" t="s">
        <v>644</v>
      </c>
      <c r="J2819">
        <v>5000</v>
      </c>
      <c r="K2819" s="1">
        <v>44280</v>
      </c>
      <c r="L2819">
        <v>2021</v>
      </c>
      <c r="M2819" t="str">
        <f>UPPER(TEXT(_2020_2022[[#This Row],[Data da Venda]],"mmm"))</f>
        <v>MAR</v>
      </c>
    </row>
    <row r="2820" spans="1:13" x14ac:dyDescent="0.25">
      <c r="A2820" t="s">
        <v>1440</v>
      </c>
      <c r="B2820">
        <v>700</v>
      </c>
      <c r="C2820">
        <v>1</v>
      </c>
      <c r="D2820" t="s">
        <v>30</v>
      </c>
      <c r="E2820" t="s">
        <v>645</v>
      </c>
      <c r="F2820" t="s">
        <v>1072</v>
      </c>
      <c r="G2820" t="s">
        <v>643</v>
      </c>
      <c r="H2820">
        <v>66</v>
      </c>
      <c r="I2820" t="s">
        <v>647</v>
      </c>
      <c r="J2820">
        <v>700</v>
      </c>
      <c r="K2820" s="1">
        <v>44290</v>
      </c>
      <c r="L2820">
        <v>2021</v>
      </c>
      <c r="M2820" t="str">
        <f>UPPER(TEXT(_2020_2022[[#This Row],[Data da Venda]],"mmm"))</f>
        <v>ABR</v>
      </c>
    </row>
    <row r="2821" spans="1:13" x14ac:dyDescent="0.25">
      <c r="A2821" t="s">
        <v>1443</v>
      </c>
      <c r="B2821">
        <v>1550</v>
      </c>
      <c r="C2821">
        <v>4</v>
      </c>
      <c r="D2821" t="s">
        <v>33</v>
      </c>
      <c r="E2821" t="s">
        <v>641</v>
      </c>
      <c r="F2821" t="s">
        <v>917</v>
      </c>
      <c r="G2821" t="s">
        <v>643</v>
      </c>
      <c r="H2821">
        <v>45</v>
      </c>
      <c r="I2821" t="s">
        <v>644</v>
      </c>
      <c r="J2821">
        <v>6200</v>
      </c>
      <c r="K2821" s="1">
        <v>44384</v>
      </c>
      <c r="L2821">
        <v>2021</v>
      </c>
      <c r="M2821" t="str">
        <f>UPPER(TEXT(_2020_2022[[#This Row],[Data da Venda]],"mmm"))</f>
        <v>JUL</v>
      </c>
    </row>
    <row r="2822" spans="1:13" x14ac:dyDescent="0.25">
      <c r="A2822" t="s">
        <v>5</v>
      </c>
      <c r="B2822">
        <v>1750</v>
      </c>
      <c r="C2822">
        <v>5</v>
      </c>
      <c r="D2822" t="s">
        <v>31</v>
      </c>
      <c r="E2822" t="s">
        <v>645</v>
      </c>
      <c r="F2822" t="s">
        <v>846</v>
      </c>
      <c r="G2822" t="s">
        <v>643</v>
      </c>
      <c r="H2822">
        <v>35</v>
      </c>
      <c r="I2822" t="s">
        <v>644</v>
      </c>
      <c r="J2822">
        <v>8750</v>
      </c>
      <c r="K2822" s="1">
        <v>44391</v>
      </c>
      <c r="L2822">
        <v>2021</v>
      </c>
      <c r="M2822" t="str">
        <f>UPPER(TEXT(_2020_2022[[#This Row],[Data da Venda]],"mmm"))</f>
        <v>JUL</v>
      </c>
    </row>
    <row r="2823" spans="1:13" x14ac:dyDescent="0.25">
      <c r="A2823" t="s">
        <v>15</v>
      </c>
      <c r="B2823">
        <v>1900</v>
      </c>
      <c r="C2823">
        <v>5</v>
      </c>
      <c r="D2823" t="s">
        <v>40</v>
      </c>
      <c r="E2823" t="s">
        <v>657</v>
      </c>
      <c r="F2823" t="s">
        <v>1013</v>
      </c>
      <c r="G2823" t="s">
        <v>643</v>
      </c>
      <c r="H2823">
        <v>38</v>
      </c>
      <c r="I2823" t="s">
        <v>644</v>
      </c>
      <c r="J2823">
        <v>9500</v>
      </c>
      <c r="K2823" s="1">
        <v>44323</v>
      </c>
      <c r="L2823">
        <v>2021</v>
      </c>
      <c r="M2823" t="str">
        <f>UPPER(TEXT(_2020_2022[[#This Row],[Data da Venda]],"mmm"))</f>
        <v>MAI</v>
      </c>
    </row>
    <row r="2824" spans="1:13" x14ac:dyDescent="0.25">
      <c r="A2824" t="s">
        <v>1441</v>
      </c>
      <c r="B2824">
        <v>1450</v>
      </c>
      <c r="C2824">
        <v>3</v>
      </c>
      <c r="D2824" t="s">
        <v>32</v>
      </c>
      <c r="E2824" t="s">
        <v>652</v>
      </c>
      <c r="F2824" t="s">
        <v>1197</v>
      </c>
      <c r="G2824" t="s">
        <v>643</v>
      </c>
      <c r="H2824">
        <v>34</v>
      </c>
      <c r="I2824" t="s">
        <v>644</v>
      </c>
      <c r="J2824">
        <v>4350</v>
      </c>
      <c r="K2824" s="1">
        <v>44377</v>
      </c>
      <c r="L2824">
        <v>2021</v>
      </c>
      <c r="M2824" t="str">
        <f>UPPER(TEXT(_2020_2022[[#This Row],[Data da Venda]],"mmm"))</f>
        <v>JUN</v>
      </c>
    </row>
    <row r="2825" spans="1:13" x14ac:dyDescent="0.25">
      <c r="A2825" t="s">
        <v>5</v>
      </c>
      <c r="B2825">
        <v>1750</v>
      </c>
      <c r="C2825">
        <v>2</v>
      </c>
      <c r="D2825" t="s">
        <v>37</v>
      </c>
      <c r="E2825" t="s">
        <v>645</v>
      </c>
      <c r="F2825" t="s">
        <v>1043</v>
      </c>
      <c r="G2825" t="s">
        <v>650</v>
      </c>
      <c r="H2825">
        <v>43</v>
      </c>
      <c r="I2825" t="s">
        <v>644</v>
      </c>
      <c r="J2825">
        <v>3500</v>
      </c>
      <c r="K2825" s="1">
        <v>44416</v>
      </c>
      <c r="L2825">
        <v>2021</v>
      </c>
      <c r="M2825" t="str">
        <f>UPPER(TEXT(_2020_2022[[#This Row],[Data da Venda]],"mmm"))</f>
        <v>AGO</v>
      </c>
    </row>
    <row r="2826" spans="1:13" x14ac:dyDescent="0.25">
      <c r="A2826" t="s">
        <v>24</v>
      </c>
      <c r="B2826">
        <v>2000</v>
      </c>
      <c r="C2826">
        <v>4</v>
      </c>
      <c r="D2826" t="s">
        <v>31</v>
      </c>
      <c r="E2826" t="s">
        <v>645</v>
      </c>
      <c r="F2826" t="s">
        <v>923</v>
      </c>
      <c r="G2826" t="s">
        <v>650</v>
      </c>
      <c r="H2826">
        <v>57</v>
      </c>
      <c r="I2826" t="s">
        <v>647</v>
      </c>
      <c r="J2826">
        <v>8000</v>
      </c>
      <c r="K2826" s="1">
        <v>44206</v>
      </c>
      <c r="L2826">
        <v>2021</v>
      </c>
      <c r="M2826" t="str">
        <f>UPPER(TEXT(_2020_2022[[#This Row],[Data da Venda]],"mmm"))</f>
        <v>JAN</v>
      </c>
    </row>
    <row r="2827" spans="1:13" x14ac:dyDescent="0.25">
      <c r="A2827" t="s">
        <v>8</v>
      </c>
      <c r="B2827">
        <v>5500</v>
      </c>
      <c r="C2827">
        <v>3</v>
      </c>
      <c r="D2827" t="s">
        <v>38</v>
      </c>
      <c r="E2827" t="s">
        <v>648</v>
      </c>
      <c r="F2827" t="s">
        <v>1170</v>
      </c>
      <c r="G2827" t="s">
        <v>650</v>
      </c>
      <c r="H2827">
        <v>62</v>
      </c>
      <c r="I2827" t="s">
        <v>647</v>
      </c>
      <c r="J2827">
        <v>16500</v>
      </c>
      <c r="K2827" s="1">
        <v>44528</v>
      </c>
      <c r="L2827">
        <v>2021</v>
      </c>
      <c r="M2827" t="str">
        <f>UPPER(TEXT(_2020_2022[[#This Row],[Data da Venda]],"mmm"))</f>
        <v>NOV</v>
      </c>
    </row>
    <row r="2828" spans="1:13" x14ac:dyDescent="0.25">
      <c r="A2828" t="s">
        <v>24</v>
      </c>
      <c r="B2828">
        <v>2000</v>
      </c>
      <c r="C2828">
        <v>5</v>
      </c>
      <c r="D2828" t="s">
        <v>32</v>
      </c>
      <c r="E2828" t="s">
        <v>652</v>
      </c>
      <c r="F2828" t="s">
        <v>902</v>
      </c>
      <c r="G2828" t="s">
        <v>650</v>
      </c>
      <c r="H2828">
        <v>26</v>
      </c>
      <c r="I2828" t="s">
        <v>651</v>
      </c>
      <c r="J2828">
        <v>10000</v>
      </c>
      <c r="K2828" s="1">
        <v>44230</v>
      </c>
      <c r="L2828">
        <v>2021</v>
      </c>
      <c r="M2828" t="str">
        <f>UPPER(TEXT(_2020_2022[[#This Row],[Data da Venda]],"mmm"))</f>
        <v>FEV</v>
      </c>
    </row>
    <row r="2829" spans="1:13" x14ac:dyDescent="0.25">
      <c r="A2829" t="s">
        <v>25</v>
      </c>
      <c r="B2829">
        <v>2500</v>
      </c>
      <c r="C2829">
        <v>3</v>
      </c>
      <c r="D2829" t="s">
        <v>39</v>
      </c>
      <c r="E2829" t="s">
        <v>641</v>
      </c>
      <c r="F2829" t="s">
        <v>1411</v>
      </c>
      <c r="G2829" t="s">
        <v>643</v>
      </c>
      <c r="H2829">
        <v>35</v>
      </c>
      <c r="I2829" t="s">
        <v>644</v>
      </c>
      <c r="J2829">
        <v>7500</v>
      </c>
      <c r="K2829" s="1">
        <v>44423</v>
      </c>
      <c r="L2829">
        <v>2021</v>
      </c>
      <c r="M2829" t="str">
        <f>UPPER(TEXT(_2020_2022[[#This Row],[Data da Venda]],"mmm"))</f>
        <v>AGO</v>
      </c>
    </row>
    <row r="2830" spans="1:13" x14ac:dyDescent="0.25">
      <c r="A2830" t="s">
        <v>1444</v>
      </c>
      <c r="B2830">
        <v>1500</v>
      </c>
      <c r="C2830">
        <v>2</v>
      </c>
      <c r="D2830" t="s">
        <v>29</v>
      </c>
      <c r="E2830" t="s">
        <v>641</v>
      </c>
      <c r="F2830" t="s">
        <v>991</v>
      </c>
      <c r="G2830" t="s">
        <v>643</v>
      </c>
      <c r="H2830">
        <v>36</v>
      </c>
      <c r="I2830" t="s">
        <v>644</v>
      </c>
      <c r="J2830">
        <v>3000</v>
      </c>
      <c r="K2830" s="1">
        <v>44372</v>
      </c>
      <c r="L2830">
        <v>2021</v>
      </c>
      <c r="M2830" t="str">
        <f>UPPER(TEXT(_2020_2022[[#This Row],[Data da Venda]],"mmm"))</f>
        <v>JUN</v>
      </c>
    </row>
    <row r="2831" spans="1:13" x14ac:dyDescent="0.25">
      <c r="A2831" t="s">
        <v>28</v>
      </c>
      <c r="B2831">
        <v>1400</v>
      </c>
      <c r="C2831">
        <v>4</v>
      </c>
      <c r="D2831" t="s">
        <v>38</v>
      </c>
      <c r="E2831" t="s">
        <v>648</v>
      </c>
      <c r="F2831" t="s">
        <v>1282</v>
      </c>
      <c r="G2831" t="s">
        <v>643</v>
      </c>
      <c r="H2831">
        <v>74</v>
      </c>
      <c r="I2831" t="s">
        <v>647</v>
      </c>
      <c r="J2831">
        <v>5600</v>
      </c>
      <c r="K2831" s="1">
        <v>44458</v>
      </c>
      <c r="L2831">
        <v>2021</v>
      </c>
      <c r="M2831" t="str">
        <f>UPPER(TEXT(_2020_2022[[#This Row],[Data da Venda]],"mmm"))</f>
        <v>SET</v>
      </c>
    </row>
    <row r="2832" spans="1:13" x14ac:dyDescent="0.25">
      <c r="A2832" t="s">
        <v>12</v>
      </c>
      <c r="B2832">
        <v>6500</v>
      </c>
      <c r="C2832">
        <v>5</v>
      </c>
      <c r="D2832" t="s">
        <v>29</v>
      </c>
      <c r="E2832" t="s">
        <v>641</v>
      </c>
      <c r="F2832" t="s">
        <v>1155</v>
      </c>
      <c r="G2832" t="s">
        <v>650</v>
      </c>
      <c r="H2832">
        <v>29</v>
      </c>
      <c r="I2832" t="s">
        <v>651</v>
      </c>
      <c r="J2832">
        <v>32500</v>
      </c>
      <c r="K2832" s="1">
        <v>44414</v>
      </c>
      <c r="L2832">
        <v>2021</v>
      </c>
      <c r="M2832" t="str">
        <f>UPPER(TEXT(_2020_2022[[#This Row],[Data da Venda]],"mmm"))</f>
        <v>AGO</v>
      </c>
    </row>
    <row r="2833" spans="1:13" x14ac:dyDescent="0.25">
      <c r="A2833" t="s">
        <v>9</v>
      </c>
      <c r="B2833">
        <v>1500</v>
      </c>
      <c r="C2833">
        <v>2</v>
      </c>
      <c r="D2833" t="s">
        <v>30</v>
      </c>
      <c r="E2833" t="s">
        <v>645</v>
      </c>
      <c r="F2833" t="s">
        <v>725</v>
      </c>
      <c r="G2833" t="s">
        <v>650</v>
      </c>
      <c r="H2833">
        <v>36</v>
      </c>
      <c r="I2833" t="s">
        <v>644</v>
      </c>
      <c r="J2833">
        <v>3000</v>
      </c>
      <c r="K2833" s="1">
        <v>44479</v>
      </c>
      <c r="L2833">
        <v>2021</v>
      </c>
      <c r="M2833" t="str">
        <f>UPPER(TEXT(_2020_2022[[#This Row],[Data da Venda]],"mmm"))</f>
        <v>OUT</v>
      </c>
    </row>
    <row r="2834" spans="1:13" x14ac:dyDescent="0.25">
      <c r="A2834" t="s">
        <v>1445</v>
      </c>
      <c r="B2834">
        <v>1500</v>
      </c>
      <c r="C2834">
        <v>2</v>
      </c>
      <c r="D2834" t="s">
        <v>29</v>
      </c>
      <c r="E2834" t="s">
        <v>641</v>
      </c>
      <c r="F2834" t="s">
        <v>957</v>
      </c>
      <c r="G2834" t="s">
        <v>643</v>
      </c>
      <c r="H2834">
        <v>38</v>
      </c>
      <c r="I2834" t="s">
        <v>644</v>
      </c>
      <c r="J2834">
        <v>3000</v>
      </c>
      <c r="K2834" s="1">
        <v>44336</v>
      </c>
      <c r="L2834">
        <v>2021</v>
      </c>
      <c r="M2834" t="str">
        <f>UPPER(TEXT(_2020_2022[[#This Row],[Data da Venda]],"mmm"))</f>
        <v>MAI</v>
      </c>
    </row>
    <row r="2835" spans="1:13" x14ac:dyDescent="0.25">
      <c r="A2835" t="s">
        <v>1445</v>
      </c>
      <c r="B2835">
        <v>1500</v>
      </c>
      <c r="C2835">
        <v>1</v>
      </c>
      <c r="D2835" t="s">
        <v>29</v>
      </c>
      <c r="E2835" t="s">
        <v>641</v>
      </c>
      <c r="F2835" t="s">
        <v>953</v>
      </c>
      <c r="G2835" t="s">
        <v>643</v>
      </c>
      <c r="H2835">
        <v>45</v>
      </c>
      <c r="I2835" t="s">
        <v>644</v>
      </c>
      <c r="J2835">
        <v>1500</v>
      </c>
      <c r="K2835" s="1">
        <v>44510</v>
      </c>
      <c r="L2835">
        <v>2021</v>
      </c>
      <c r="M2835" t="str">
        <f>UPPER(TEXT(_2020_2022[[#This Row],[Data da Venda]],"mmm"))</f>
        <v>NOV</v>
      </c>
    </row>
    <row r="2836" spans="1:13" x14ac:dyDescent="0.25">
      <c r="A2836" t="s">
        <v>15</v>
      </c>
      <c r="B2836">
        <v>1900</v>
      </c>
      <c r="C2836">
        <v>4</v>
      </c>
      <c r="D2836" t="s">
        <v>41</v>
      </c>
      <c r="E2836" t="s">
        <v>681</v>
      </c>
      <c r="F2836" t="s">
        <v>671</v>
      </c>
      <c r="G2836" t="s">
        <v>643</v>
      </c>
      <c r="H2836">
        <v>64</v>
      </c>
      <c r="I2836" t="s">
        <v>647</v>
      </c>
      <c r="J2836">
        <v>7600</v>
      </c>
      <c r="K2836" s="1">
        <v>44428</v>
      </c>
      <c r="L2836">
        <v>2021</v>
      </c>
      <c r="M2836" t="str">
        <f>UPPER(TEXT(_2020_2022[[#This Row],[Data da Venda]],"mmm"))</f>
        <v>AGO</v>
      </c>
    </row>
    <row r="2837" spans="1:13" x14ac:dyDescent="0.25">
      <c r="A2837" t="s">
        <v>7</v>
      </c>
      <c r="B2837">
        <v>750</v>
      </c>
      <c r="C2837">
        <v>4</v>
      </c>
      <c r="D2837" t="s">
        <v>40</v>
      </c>
      <c r="E2837" t="s">
        <v>657</v>
      </c>
      <c r="F2837" t="s">
        <v>716</v>
      </c>
      <c r="G2837" t="s">
        <v>650</v>
      </c>
      <c r="H2837">
        <v>52</v>
      </c>
      <c r="I2837" t="s">
        <v>647</v>
      </c>
      <c r="J2837">
        <v>3000</v>
      </c>
      <c r="K2837" s="1">
        <v>44366</v>
      </c>
      <c r="L2837">
        <v>2021</v>
      </c>
      <c r="M2837" t="str">
        <f>UPPER(TEXT(_2020_2022[[#This Row],[Data da Venda]],"mmm"))</f>
        <v>JUN</v>
      </c>
    </row>
    <row r="2838" spans="1:13" x14ac:dyDescent="0.25">
      <c r="A2838" t="s">
        <v>25</v>
      </c>
      <c r="B2838">
        <v>2500</v>
      </c>
      <c r="C2838">
        <v>2</v>
      </c>
      <c r="D2838" t="s">
        <v>31</v>
      </c>
      <c r="E2838" t="s">
        <v>645</v>
      </c>
      <c r="F2838" t="s">
        <v>905</v>
      </c>
      <c r="G2838" t="s">
        <v>643</v>
      </c>
      <c r="H2838">
        <v>40</v>
      </c>
      <c r="I2838" t="s">
        <v>644</v>
      </c>
      <c r="J2838">
        <v>5000</v>
      </c>
      <c r="K2838" s="1">
        <v>44472</v>
      </c>
      <c r="L2838">
        <v>2021</v>
      </c>
      <c r="M2838" t="str">
        <f>UPPER(TEXT(_2020_2022[[#This Row],[Data da Venda]],"mmm"))</f>
        <v>OUT</v>
      </c>
    </row>
    <row r="2839" spans="1:13" x14ac:dyDescent="0.25">
      <c r="A2839" t="s">
        <v>1441</v>
      </c>
      <c r="B2839">
        <v>1450</v>
      </c>
      <c r="C2839">
        <v>2</v>
      </c>
      <c r="D2839" t="s">
        <v>41</v>
      </c>
      <c r="E2839" t="s">
        <v>681</v>
      </c>
      <c r="F2839" t="s">
        <v>914</v>
      </c>
      <c r="G2839" t="s">
        <v>643</v>
      </c>
      <c r="H2839">
        <v>55</v>
      </c>
      <c r="I2839" t="s">
        <v>647</v>
      </c>
      <c r="J2839">
        <v>2900</v>
      </c>
      <c r="K2839" s="1">
        <v>44287</v>
      </c>
      <c r="L2839">
        <v>2021</v>
      </c>
      <c r="M2839" t="str">
        <f>UPPER(TEXT(_2020_2022[[#This Row],[Data da Venda]],"mmm"))</f>
        <v>ABR</v>
      </c>
    </row>
    <row r="2840" spans="1:13" x14ac:dyDescent="0.25">
      <c r="A2840" t="s">
        <v>18</v>
      </c>
      <c r="B2840">
        <v>3000</v>
      </c>
      <c r="C2840">
        <v>1</v>
      </c>
      <c r="D2840" t="s">
        <v>30</v>
      </c>
      <c r="E2840" t="s">
        <v>645</v>
      </c>
      <c r="F2840" t="s">
        <v>1316</v>
      </c>
      <c r="G2840" t="s">
        <v>643</v>
      </c>
      <c r="H2840">
        <v>66</v>
      </c>
      <c r="I2840" t="s">
        <v>647</v>
      </c>
      <c r="J2840">
        <v>3000</v>
      </c>
      <c r="K2840" s="1">
        <v>44500</v>
      </c>
      <c r="L2840">
        <v>2021</v>
      </c>
      <c r="M2840" t="str">
        <f>UPPER(TEXT(_2020_2022[[#This Row],[Data da Venda]],"mmm"))</f>
        <v>OUT</v>
      </c>
    </row>
    <row r="2841" spans="1:13" x14ac:dyDescent="0.25">
      <c r="A2841" t="s">
        <v>21</v>
      </c>
      <c r="B2841">
        <v>2400</v>
      </c>
      <c r="C2841">
        <v>3</v>
      </c>
      <c r="D2841" t="s">
        <v>30</v>
      </c>
      <c r="E2841" t="s">
        <v>645</v>
      </c>
      <c r="F2841" t="s">
        <v>1316</v>
      </c>
      <c r="G2841" t="s">
        <v>643</v>
      </c>
      <c r="H2841">
        <v>66</v>
      </c>
      <c r="I2841" t="s">
        <v>647</v>
      </c>
      <c r="J2841">
        <v>7200</v>
      </c>
      <c r="K2841" s="1">
        <v>44527</v>
      </c>
      <c r="L2841">
        <v>2021</v>
      </c>
      <c r="M2841" t="str">
        <f>UPPER(TEXT(_2020_2022[[#This Row],[Data da Venda]],"mmm"))</f>
        <v>NOV</v>
      </c>
    </row>
    <row r="2842" spans="1:13" x14ac:dyDescent="0.25">
      <c r="A2842" t="s">
        <v>12</v>
      </c>
      <c r="B2842">
        <v>6500</v>
      </c>
      <c r="C2842">
        <v>1</v>
      </c>
      <c r="D2842" t="s">
        <v>29</v>
      </c>
      <c r="E2842" t="s">
        <v>641</v>
      </c>
      <c r="F2842" t="s">
        <v>1195</v>
      </c>
      <c r="G2842" t="s">
        <v>643</v>
      </c>
      <c r="H2842">
        <v>74</v>
      </c>
      <c r="I2842" t="s">
        <v>647</v>
      </c>
      <c r="J2842">
        <v>6500</v>
      </c>
      <c r="K2842" s="1">
        <v>44355</v>
      </c>
      <c r="L2842">
        <v>2021</v>
      </c>
      <c r="M2842" t="str">
        <f>UPPER(TEXT(_2020_2022[[#This Row],[Data da Venda]],"mmm"))</f>
        <v>JUN</v>
      </c>
    </row>
    <row r="2843" spans="1:13" x14ac:dyDescent="0.25">
      <c r="A2843" t="s">
        <v>1441</v>
      </c>
      <c r="B2843">
        <v>1450</v>
      </c>
      <c r="C2843">
        <v>1</v>
      </c>
      <c r="D2843" t="s">
        <v>31</v>
      </c>
      <c r="E2843" t="s">
        <v>645</v>
      </c>
      <c r="F2843" t="s">
        <v>889</v>
      </c>
      <c r="G2843" t="s">
        <v>643</v>
      </c>
      <c r="H2843">
        <v>26</v>
      </c>
      <c r="I2843" t="s">
        <v>651</v>
      </c>
      <c r="J2843">
        <v>1450</v>
      </c>
      <c r="K2843" s="1">
        <v>44416</v>
      </c>
      <c r="L2843">
        <v>2021</v>
      </c>
      <c r="M2843" t="str">
        <f>UPPER(TEXT(_2020_2022[[#This Row],[Data da Venda]],"mmm"))</f>
        <v>AGO</v>
      </c>
    </row>
    <row r="2844" spans="1:13" x14ac:dyDescent="0.25">
      <c r="A2844" t="s">
        <v>18</v>
      </c>
      <c r="B2844">
        <v>3000</v>
      </c>
      <c r="C2844">
        <v>4</v>
      </c>
      <c r="D2844" t="s">
        <v>32</v>
      </c>
      <c r="E2844" t="s">
        <v>652</v>
      </c>
      <c r="F2844" t="s">
        <v>1319</v>
      </c>
      <c r="G2844" t="s">
        <v>643</v>
      </c>
      <c r="H2844">
        <v>38</v>
      </c>
      <c r="I2844" t="s">
        <v>644</v>
      </c>
      <c r="J2844">
        <v>12000</v>
      </c>
      <c r="K2844" s="1">
        <v>44287</v>
      </c>
      <c r="L2844">
        <v>2021</v>
      </c>
      <c r="M2844" t="str">
        <f>UPPER(TEXT(_2020_2022[[#This Row],[Data da Venda]],"mmm"))</f>
        <v>ABR</v>
      </c>
    </row>
    <row r="2845" spans="1:13" x14ac:dyDescent="0.25">
      <c r="A2845" t="s">
        <v>14</v>
      </c>
      <c r="B2845">
        <v>2000</v>
      </c>
      <c r="C2845">
        <v>1</v>
      </c>
      <c r="D2845" t="s">
        <v>33</v>
      </c>
      <c r="E2845" t="s">
        <v>641</v>
      </c>
      <c r="F2845" t="s">
        <v>894</v>
      </c>
      <c r="G2845" t="s">
        <v>643</v>
      </c>
      <c r="H2845">
        <v>33</v>
      </c>
      <c r="I2845" t="s">
        <v>644</v>
      </c>
      <c r="J2845">
        <v>2000</v>
      </c>
      <c r="K2845" s="1">
        <v>44283</v>
      </c>
      <c r="L2845">
        <v>2021</v>
      </c>
      <c r="M2845" t="str">
        <f>UPPER(TEXT(_2020_2022[[#This Row],[Data da Venda]],"mmm"))</f>
        <v>MAR</v>
      </c>
    </row>
    <row r="2846" spans="1:13" x14ac:dyDescent="0.25">
      <c r="A2846" t="s">
        <v>1440</v>
      </c>
      <c r="B2846">
        <v>700</v>
      </c>
      <c r="C2846">
        <v>5</v>
      </c>
      <c r="D2846" t="s">
        <v>34</v>
      </c>
      <c r="E2846" t="s">
        <v>679</v>
      </c>
      <c r="F2846" t="s">
        <v>1122</v>
      </c>
      <c r="G2846" t="s">
        <v>643</v>
      </c>
      <c r="H2846">
        <v>40</v>
      </c>
      <c r="I2846" t="s">
        <v>644</v>
      </c>
      <c r="J2846">
        <v>3500</v>
      </c>
      <c r="K2846" s="1">
        <v>44440</v>
      </c>
      <c r="L2846">
        <v>2021</v>
      </c>
      <c r="M2846" t="str">
        <f>UPPER(TEXT(_2020_2022[[#This Row],[Data da Venda]],"mmm"))</f>
        <v>SET</v>
      </c>
    </row>
    <row r="2847" spans="1:13" x14ac:dyDescent="0.25">
      <c r="A2847" t="s">
        <v>1443</v>
      </c>
      <c r="B2847">
        <v>1550</v>
      </c>
      <c r="C2847">
        <v>3</v>
      </c>
      <c r="D2847" t="s">
        <v>30</v>
      </c>
      <c r="E2847" t="s">
        <v>645</v>
      </c>
      <c r="F2847" t="s">
        <v>1412</v>
      </c>
      <c r="G2847" t="s">
        <v>650</v>
      </c>
      <c r="H2847">
        <v>75</v>
      </c>
      <c r="I2847" t="s">
        <v>647</v>
      </c>
      <c r="J2847">
        <v>4650</v>
      </c>
      <c r="K2847" s="1">
        <v>44495</v>
      </c>
      <c r="L2847">
        <v>2021</v>
      </c>
      <c r="M2847" t="str">
        <f>UPPER(TEXT(_2020_2022[[#This Row],[Data da Venda]],"mmm"))</f>
        <v>OUT</v>
      </c>
    </row>
    <row r="2848" spans="1:13" x14ac:dyDescent="0.25">
      <c r="A2848" t="s">
        <v>22</v>
      </c>
      <c r="B2848">
        <v>5200</v>
      </c>
      <c r="C2848">
        <v>3</v>
      </c>
      <c r="D2848" t="s">
        <v>32</v>
      </c>
      <c r="E2848" t="s">
        <v>652</v>
      </c>
      <c r="F2848" t="s">
        <v>1058</v>
      </c>
      <c r="G2848" t="s">
        <v>650</v>
      </c>
      <c r="H2848">
        <v>59</v>
      </c>
      <c r="I2848" t="s">
        <v>647</v>
      </c>
      <c r="J2848">
        <v>15600</v>
      </c>
      <c r="K2848" s="1">
        <v>44486</v>
      </c>
      <c r="L2848">
        <v>2021</v>
      </c>
      <c r="M2848" t="str">
        <f>UPPER(TEXT(_2020_2022[[#This Row],[Data da Venda]],"mmm"))</f>
        <v>OUT</v>
      </c>
    </row>
    <row r="2849" spans="1:13" x14ac:dyDescent="0.25">
      <c r="A2849" t="s">
        <v>13</v>
      </c>
      <c r="B2849">
        <v>2300</v>
      </c>
      <c r="C2849">
        <v>4</v>
      </c>
      <c r="D2849" t="s">
        <v>31</v>
      </c>
      <c r="E2849" t="s">
        <v>645</v>
      </c>
      <c r="F2849" t="s">
        <v>1250</v>
      </c>
      <c r="G2849" t="s">
        <v>650</v>
      </c>
      <c r="H2849">
        <v>59</v>
      </c>
      <c r="I2849" t="s">
        <v>647</v>
      </c>
      <c r="J2849">
        <v>9200</v>
      </c>
      <c r="K2849" s="1">
        <v>44390</v>
      </c>
      <c r="L2849">
        <v>2021</v>
      </c>
      <c r="M2849" t="str">
        <f>UPPER(TEXT(_2020_2022[[#This Row],[Data da Venda]],"mmm"))</f>
        <v>JUL</v>
      </c>
    </row>
    <row r="2850" spans="1:13" x14ac:dyDescent="0.25">
      <c r="A2850" t="s">
        <v>21</v>
      </c>
      <c r="B2850">
        <v>2400</v>
      </c>
      <c r="C2850">
        <v>1</v>
      </c>
      <c r="D2850" t="s">
        <v>38</v>
      </c>
      <c r="E2850" t="s">
        <v>648</v>
      </c>
      <c r="F2850" t="s">
        <v>845</v>
      </c>
      <c r="G2850" t="s">
        <v>643</v>
      </c>
      <c r="H2850">
        <v>75</v>
      </c>
      <c r="I2850" t="s">
        <v>647</v>
      </c>
      <c r="J2850">
        <v>2400</v>
      </c>
      <c r="K2850" s="1">
        <v>44330</v>
      </c>
      <c r="L2850">
        <v>2021</v>
      </c>
      <c r="M2850" t="str">
        <f>UPPER(TEXT(_2020_2022[[#This Row],[Data da Venda]],"mmm"))</f>
        <v>MAI</v>
      </c>
    </row>
    <row r="2851" spans="1:13" x14ac:dyDescent="0.25">
      <c r="A2851" t="s">
        <v>1443</v>
      </c>
      <c r="B2851">
        <v>1550</v>
      </c>
      <c r="C2851">
        <v>1</v>
      </c>
      <c r="D2851" t="s">
        <v>41</v>
      </c>
      <c r="E2851" t="s">
        <v>681</v>
      </c>
      <c r="F2851" t="s">
        <v>1347</v>
      </c>
      <c r="G2851" t="s">
        <v>643</v>
      </c>
      <c r="H2851">
        <v>30</v>
      </c>
      <c r="I2851" t="s">
        <v>644</v>
      </c>
      <c r="J2851">
        <v>1550</v>
      </c>
      <c r="K2851" s="1">
        <v>44372</v>
      </c>
      <c r="L2851">
        <v>2021</v>
      </c>
      <c r="M2851" t="str">
        <f>UPPER(TEXT(_2020_2022[[#This Row],[Data da Venda]],"mmm"))</f>
        <v>JUN</v>
      </c>
    </row>
    <row r="2852" spans="1:13" x14ac:dyDescent="0.25">
      <c r="A2852" t="s">
        <v>11</v>
      </c>
      <c r="B2852">
        <v>4500</v>
      </c>
      <c r="C2852">
        <v>4</v>
      </c>
      <c r="D2852" t="s">
        <v>37</v>
      </c>
      <c r="E2852" t="s">
        <v>645</v>
      </c>
      <c r="F2852" t="s">
        <v>746</v>
      </c>
      <c r="G2852" t="s">
        <v>643</v>
      </c>
      <c r="H2852">
        <v>45</v>
      </c>
      <c r="I2852" t="s">
        <v>644</v>
      </c>
      <c r="J2852">
        <v>18000</v>
      </c>
      <c r="K2852" s="1">
        <v>44412</v>
      </c>
      <c r="L2852">
        <v>2021</v>
      </c>
      <c r="M2852" t="str">
        <f>UPPER(TEXT(_2020_2022[[#This Row],[Data da Venda]],"mmm"))</f>
        <v>AGO</v>
      </c>
    </row>
    <row r="2853" spans="1:13" x14ac:dyDescent="0.25">
      <c r="A2853" t="s">
        <v>12</v>
      </c>
      <c r="B2853">
        <v>6500</v>
      </c>
      <c r="C2853">
        <v>5</v>
      </c>
      <c r="D2853" t="s">
        <v>35</v>
      </c>
      <c r="E2853" t="s">
        <v>666</v>
      </c>
      <c r="F2853" t="s">
        <v>671</v>
      </c>
      <c r="G2853" t="s">
        <v>643</v>
      </c>
      <c r="H2853">
        <v>63</v>
      </c>
      <c r="I2853" t="s">
        <v>647</v>
      </c>
      <c r="J2853">
        <v>32500</v>
      </c>
      <c r="K2853" s="1">
        <v>44530</v>
      </c>
      <c r="L2853">
        <v>2021</v>
      </c>
      <c r="M2853" t="str">
        <f>UPPER(TEXT(_2020_2022[[#This Row],[Data da Venda]],"mmm"))</f>
        <v>NOV</v>
      </c>
    </row>
    <row r="2854" spans="1:13" x14ac:dyDescent="0.25">
      <c r="A2854" t="s">
        <v>18</v>
      </c>
      <c r="B2854">
        <v>3000</v>
      </c>
      <c r="C2854">
        <v>4</v>
      </c>
      <c r="D2854" t="s">
        <v>32</v>
      </c>
      <c r="E2854" t="s">
        <v>652</v>
      </c>
      <c r="F2854" t="s">
        <v>861</v>
      </c>
      <c r="G2854" t="s">
        <v>650</v>
      </c>
      <c r="H2854">
        <v>34</v>
      </c>
      <c r="I2854" t="s">
        <v>644</v>
      </c>
      <c r="J2854">
        <v>12000</v>
      </c>
      <c r="K2854" s="1">
        <v>44279</v>
      </c>
      <c r="L2854">
        <v>2021</v>
      </c>
      <c r="M2854" t="str">
        <f>UPPER(TEXT(_2020_2022[[#This Row],[Data da Venda]],"mmm"))</f>
        <v>MAR</v>
      </c>
    </row>
    <row r="2855" spans="1:13" x14ac:dyDescent="0.25">
      <c r="A2855" t="s">
        <v>1445</v>
      </c>
      <c r="B2855">
        <v>1500</v>
      </c>
      <c r="C2855">
        <v>2</v>
      </c>
      <c r="D2855" t="s">
        <v>41</v>
      </c>
      <c r="E2855" t="s">
        <v>681</v>
      </c>
      <c r="F2855" t="s">
        <v>1413</v>
      </c>
      <c r="G2855" t="s">
        <v>643</v>
      </c>
      <c r="H2855">
        <v>55</v>
      </c>
      <c r="I2855" t="s">
        <v>647</v>
      </c>
      <c r="J2855">
        <v>3000</v>
      </c>
      <c r="K2855" s="1">
        <v>44277</v>
      </c>
      <c r="L2855">
        <v>2021</v>
      </c>
      <c r="M2855" t="str">
        <f>UPPER(TEXT(_2020_2022[[#This Row],[Data da Venda]],"mmm"))</f>
        <v>MAR</v>
      </c>
    </row>
    <row r="2856" spans="1:13" x14ac:dyDescent="0.25">
      <c r="A2856" t="s">
        <v>8</v>
      </c>
      <c r="B2856">
        <v>5500</v>
      </c>
      <c r="C2856">
        <v>5</v>
      </c>
      <c r="D2856" t="s">
        <v>29</v>
      </c>
      <c r="E2856" t="s">
        <v>641</v>
      </c>
      <c r="F2856" t="s">
        <v>957</v>
      </c>
      <c r="G2856" t="s">
        <v>643</v>
      </c>
      <c r="H2856">
        <v>38</v>
      </c>
      <c r="I2856" t="s">
        <v>644</v>
      </c>
      <c r="J2856">
        <v>27500</v>
      </c>
      <c r="K2856" s="1">
        <v>44418</v>
      </c>
      <c r="L2856">
        <v>2021</v>
      </c>
      <c r="M2856" t="str">
        <f>UPPER(TEXT(_2020_2022[[#This Row],[Data da Venda]],"mmm"))</f>
        <v>AGO</v>
      </c>
    </row>
    <row r="2857" spans="1:13" x14ac:dyDescent="0.25">
      <c r="A2857" t="s">
        <v>11</v>
      </c>
      <c r="B2857">
        <v>4500</v>
      </c>
      <c r="C2857">
        <v>5</v>
      </c>
      <c r="D2857" t="s">
        <v>40</v>
      </c>
      <c r="E2857" t="s">
        <v>657</v>
      </c>
      <c r="F2857" t="s">
        <v>1157</v>
      </c>
      <c r="G2857" t="s">
        <v>643</v>
      </c>
      <c r="H2857">
        <v>36</v>
      </c>
      <c r="I2857" t="s">
        <v>644</v>
      </c>
      <c r="J2857">
        <v>22500</v>
      </c>
      <c r="K2857" s="1">
        <v>44287</v>
      </c>
      <c r="L2857">
        <v>2021</v>
      </c>
      <c r="M2857" t="str">
        <f>UPPER(TEXT(_2020_2022[[#This Row],[Data da Venda]],"mmm"))</f>
        <v>ABR</v>
      </c>
    </row>
    <row r="2858" spans="1:13" x14ac:dyDescent="0.25">
      <c r="A2858" t="s">
        <v>13</v>
      </c>
      <c r="B2858">
        <v>2300</v>
      </c>
      <c r="C2858">
        <v>2</v>
      </c>
      <c r="D2858" t="s">
        <v>29</v>
      </c>
      <c r="E2858" t="s">
        <v>641</v>
      </c>
      <c r="F2858" t="s">
        <v>1022</v>
      </c>
      <c r="G2858" t="s">
        <v>650</v>
      </c>
      <c r="H2858">
        <v>61</v>
      </c>
      <c r="I2858" t="s">
        <v>647</v>
      </c>
      <c r="J2858">
        <v>4600</v>
      </c>
      <c r="K2858" s="1">
        <v>44392</v>
      </c>
      <c r="L2858">
        <v>2021</v>
      </c>
      <c r="M2858" t="str">
        <f>UPPER(TEXT(_2020_2022[[#This Row],[Data da Venda]],"mmm"))</f>
        <v>JUL</v>
      </c>
    </row>
    <row r="2859" spans="1:13" x14ac:dyDescent="0.25">
      <c r="A2859" t="s">
        <v>12</v>
      </c>
      <c r="B2859">
        <v>6500</v>
      </c>
      <c r="C2859">
        <v>1</v>
      </c>
      <c r="D2859" t="s">
        <v>36</v>
      </c>
      <c r="E2859" t="s">
        <v>677</v>
      </c>
      <c r="F2859" t="s">
        <v>1105</v>
      </c>
      <c r="G2859" t="s">
        <v>650</v>
      </c>
      <c r="H2859">
        <v>31</v>
      </c>
      <c r="I2859" t="s">
        <v>644</v>
      </c>
      <c r="J2859">
        <v>6500</v>
      </c>
      <c r="K2859" s="1">
        <v>44345</v>
      </c>
      <c r="L2859">
        <v>2021</v>
      </c>
      <c r="M2859" t="str">
        <f>UPPER(TEXT(_2020_2022[[#This Row],[Data da Venda]],"mmm"))</f>
        <v>MAI</v>
      </c>
    </row>
    <row r="2860" spans="1:13" x14ac:dyDescent="0.25">
      <c r="A2860" t="s">
        <v>26</v>
      </c>
      <c r="B2860">
        <v>1100</v>
      </c>
      <c r="C2860">
        <v>3</v>
      </c>
      <c r="D2860" t="s">
        <v>34</v>
      </c>
      <c r="E2860" t="s">
        <v>679</v>
      </c>
      <c r="F2860" t="s">
        <v>700</v>
      </c>
      <c r="G2860" t="s">
        <v>650</v>
      </c>
      <c r="H2860">
        <v>40</v>
      </c>
      <c r="I2860" t="s">
        <v>644</v>
      </c>
      <c r="J2860">
        <v>3300</v>
      </c>
      <c r="K2860" s="1">
        <v>44454</v>
      </c>
      <c r="L2860">
        <v>2021</v>
      </c>
      <c r="M2860" t="str">
        <f>UPPER(TEXT(_2020_2022[[#This Row],[Data da Venda]],"mmm"))</f>
        <v>SET</v>
      </c>
    </row>
    <row r="2861" spans="1:13" x14ac:dyDescent="0.25">
      <c r="A2861" t="s">
        <v>14</v>
      </c>
      <c r="B2861">
        <v>2000</v>
      </c>
      <c r="C2861">
        <v>1</v>
      </c>
      <c r="D2861" t="s">
        <v>36</v>
      </c>
      <c r="E2861" t="s">
        <v>677</v>
      </c>
      <c r="F2861" t="s">
        <v>1036</v>
      </c>
      <c r="G2861" t="s">
        <v>650</v>
      </c>
      <c r="H2861">
        <v>49</v>
      </c>
      <c r="I2861" t="s">
        <v>644</v>
      </c>
      <c r="J2861">
        <v>2000</v>
      </c>
      <c r="K2861" s="1">
        <v>44502</v>
      </c>
      <c r="L2861">
        <v>2021</v>
      </c>
      <c r="M2861" t="str">
        <f>UPPER(TEXT(_2020_2022[[#This Row],[Data da Venda]],"mmm"))</f>
        <v>NOV</v>
      </c>
    </row>
    <row r="2862" spans="1:13" x14ac:dyDescent="0.25">
      <c r="A2862" t="s">
        <v>22</v>
      </c>
      <c r="B2862">
        <v>5200</v>
      </c>
      <c r="C2862">
        <v>1</v>
      </c>
      <c r="D2862" t="s">
        <v>38</v>
      </c>
      <c r="E2862" t="s">
        <v>648</v>
      </c>
      <c r="F2862" t="s">
        <v>867</v>
      </c>
      <c r="G2862" t="s">
        <v>643</v>
      </c>
      <c r="H2862">
        <v>37</v>
      </c>
      <c r="I2862" t="s">
        <v>644</v>
      </c>
      <c r="J2862">
        <v>5200</v>
      </c>
      <c r="K2862" s="1">
        <v>44451</v>
      </c>
      <c r="L2862">
        <v>2021</v>
      </c>
      <c r="M2862" t="str">
        <f>UPPER(TEXT(_2020_2022[[#This Row],[Data da Venda]],"mmm"))</f>
        <v>SET</v>
      </c>
    </row>
    <row r="2863" spans="1:13" x14ac:dyDescent="0.25">
      <c r="A2863" t="s">
        <v>26</v>
      </c>
      <c r="B2863">
        <v>1100</v>
      </c>
      <c r="C2863">
        <v>4</v>
      </c>
      <c r="D2863" t="s">
        <v>31</v>
      </c>
      <c r="E2863" t="s">
        <v>645</v>
      </c>
      <c r="F2863" t="s">
        <v>1279</v>
      </c>
      <c r="G2863" t="s">
        <v>643</v>
      </c>
      <c r="H2863">
        <v>30</v>
      </c>
      <c r="I2863" t="s">
        <v>644</v>
      </c>
      <c r="J2863">
        <v>4400</v>
      </c>
      <c r="K2863" s="1">
        <v>44294</v>
      </c>
      <c r="L2863">
        <v>2021</v>
      </c>
      <c r="M2863" t="str">
        <f>UPPER(TEXT(_2020_2022[[#This Row],[Data da Venda]],"mmm"))</f>
        <v>ABR</v>
      </c>
    </row>
    <row r="2864" spans="1:13" x14ac:dyDescent="0.25">
      <c r="A2864" t="s">
        <v>1441</v>
      </c>
      <c r="B2864">
        <v>1450</v>
      </c>
      <c r="C2864">
        <v>4</v>
      </c>
      <c r="D2864" t="s">
        <v>29</v>
      </c>
      <c r="E2864" t="s">
        <v>641</v>
      </c>
      <c r="F2864" t="s">
        <v>989</v>
      </c>
      <c r="G2864" t="s">
        <v>643</v>
      </c>
      <c r="H2864">
        <v>33</v>
      </c>
      <c r="I2864" t="s">
        <v>644</v>
      </c>
      <c r="J2864">
        <v>5800</v>
      </c>
      <c r="K2864" s="1">
        <v>44499</v>
      </c>
      <c r="L2864">
        <v>2021</v>
      </c>
      <c r="M2864" t="str">
        <f>UPPER(TEXT(_2020_2022[[#This Row],[Data da Venda]],"mmm"))</f>
        <v>OUT</v>
      </c>
    </row>
    <row r="2865" spans="1:13" x14ac:dyDescent="0.25">
      <c r="A2865" t="s">
        <v>24</v>
      </c>
      <c r="B2865">
        <v>2000</v>
      </c>
      <c r="C2865">
        <v>4</v>
      </c>
      <c r="D2865" t="s">
        <v>38</v>
      </c>
      <c r="E2865" t="s">
        <v>648</v>
      </c>
      <c r="F2865" t="s">
        <v>649</v>
      </c>
      <c r="G2865" t="s">
        <v>650</v>
      </c>
      <c r="H2865">
        <v>27</v>
      </c>
      <c r="I2865" t="s">
        <v>651</v>
      </c>
      <c r="J2865">
        <v>8000</v>
      </c>
      <c r="K2865" s="1">
        <v>44256</v>
      </c>
      <c r="L2865">
        <v>2021</v>
      </c>
      <c r="M2865" t="str">
        <f>UPPER(TEXT(_2020_2022[[#This Row],[Data da Venda]],"mmm"))</f>
        <v>MAR</v>
      </c>
    </row>
    <row r="2866" spans="1:13" x14ac:dyDescent="0.25">
      <c r="A2866" t="s">
        <v>7</v>
      </c>
      <c r="B2866">
        <v>750</v>
      </c>
      <c r="C2866">
        <v>5</v>
      </c>
      <c r="D2866" t="s">
        <v>30</v>
      </c>
      <c r="E2866" t="s">
        <v>645</v>
      </c>
      <c r="F2866" t="s">
        <v>722</v>
      </c>
      <c r="G2866" t="s">
        <v>643</v>
      </c>
      <c r="H2866">
        <v>64</v>
      </c>
      <c r="I2866" t="s">
        <v>647</v>
      </c>
      <c r="J2866">
        <v>3750</v>
      </c>
      <c r="K2866" s="1">
        <v>44441</v>
      </c>
      <c r="L2866">
        <v>2021</v>
      </c>
      <c r="M2866" t="str">
        <f>UPPER(TEXT(_2020_2022[[#This Row],[Data da Venda]],"mmm"))</f>
        <v>SET</v>
      </c>
    </row>
    <row r="2867" spans="1:13" x14ac:dyDescent="0.25">
      <c r="A2867" t="s">
        <v>7</v>
      </c>
      <c r="B2867">
        <v>750</v>
      </c>
      <c r="C2867">
        <v>5</v>
      </c>
      <c r="D2867" t="s">
        <v>30</v>
      </c>
      <c r="E2867" t="s">
        <v>645</v>
      </c>
      <c r="F2867" t="s">
        <v>725</v>
      </c>
      <c r="G2867" t="s">
        <v>650</v>
      </c>
      <c r="H2867">
        <v>36</v>
      </c>
      <c r="I2867" t="s">
        <v>644</v>
      </c>
      <c r="J2867">
        <v>3750</v>
      </c>
      <c r="K2867" s="1">
        <v>44399</v>
      </c>
      <c r="L2867">
        <v>2021</v>
      </c>
      <c r="M2867" t="str">
        <f>UPPER(TEXT(_2020_2022[[#This Row],[Data da Venda]],"mmm"))</f>
        <v>JUL</v>
      </c>
    </row>
    <row r="2868" spans="1:13" x14ac:dyDescent="0.25">
      <c r="A2868" t="s">
        <v>8</v>
      </c>
      <c r="B2868">
        <v>5500</v>
      </c>
      <c r="C2868">
        <v>1</v>
      </c>
      <c r="D2868" t="s">
        <v>41</v>
      </c>
      <c r="E2868" t="s">
        <v>681</v>
      </c>
      <c r="F2868" t="s">
        <v>1336</v>
      </c>
      <c r="G2868" t="s">
        <v>643</v>
      </c>
      <c r="H2868">
        <v>68</v>
      </c>
      <c r="I2868" t="s">
        <v>647</v>
      </c>
      <c r="J2868">
        <v>5500</v>
      </c>
      <c r="K2868" s="1">
        <v>44237</v>
      </c>
      <c r="L2868">
        <v>2021</v>
      </c>
      <c r="M2868" t="str">
        <f>UPPER(TEXT(_2020_2022[[#This Row],[Data da Venda]],"mmm"))</f>
        <v>FEV</v>
      </c>
    </row>
    <row r="2869" spans="1:13" x14ac:dyDescent="0.25">
      <c r="A2869" t="s">
        <v>24</v>
      </c>
      <c r="B2869">
        <v>2000</v>
      </c>
      <c r="C2869">
        <v>2</v>
      </c>
      <c r="D2869" t="s">
        <v>38</v>
      </c>
      <c r="E2869" t="s">
        <v>648</v>
      </c>
      <c r="F2869" t="s">
        <v>664</v>
      </c>
      <c r="G2869" t="s">
        <v>650</v>
      </c>
      <c r="H2869">
        <v>38</v>
      </c>
      <c r="I2869" t="s">
        <v>644</v>
      </c>
      <c r="J2869">
        <v>4000</v>
      </c>
      <c r="K2869" s="1">
        <v>44531</v>
      </c>
      <c r="L2869">
        <v>2021</v>
      </c>
      <c r="M2869" t="str">
        <f>UPPER(TEXT(_2020_2022[[#This Row],[Data da Venda]],"mmm"))</f>
        <v>DEZ</v>
      </c>
    </row>
    <row r="2870" spans="1:13" x14ac:dyDescent="0.25">
      <c r="A2870" t="s">
        <v>28</v>
      </c>
      <c r="B2870">
        <v>1400</v>
      </c>
      <c r="C2870">
        <v>3</v>
      </c>
      <c r="D2870" t="s">
        <v>29</v>
      </c>
      <c r="E2870" t="s">
        <v>641</v>
      </c>
      <c r="F2870" t="s">
        <v>816</v>
      </c>
      <c r="G2870" t="s">
        <v>643</v>
      </c>
      <c r="H2870">
        <v>27</v>
      </c>
      <c r="I2870" t="s">
        <v>651</v>
      </c>
      <c r="J2870">
        <v>4200</v>
      </c>
      <c r="K2870" s="1">
        <v>44321</v>
      </c>
      <c r="L2870">
        <v>2021</v>
      </c>
      <c r="M2870" t="str">
        <f>UPPER(TEXT(_2020_2022[[#This Row],[Data da Venda]],"mmm"))</f>
        <v>MAI</v>
      </c>
    </row>
    <row r="2871" spans="1:13" x14ac:dyDescent="0.25">
      <c r="A2871" t="s">
        <v>9</v>
      </c>
      <c r="B2871">
        <v>1500</v>
      </c>
      <c r="C2871">
        <v>5</v>
      </c>
      <c r="D2871" t="s">
        <v>29</v>
      </c>
      <c r="E2871" t="s">
        <v>641</v>
      </c>
      <c r="F2871" t="s">
        <v>941</v>
      </c>
      <c r="G2871" t="s">
        <v>650</v>
      </c>
      <c r="H2871">
        <v>52</v>
      </c>
      <c r="I2871" t="s">
        <v>647</v>
      </c>
      <c r="J2871">
        <v>7500</v>
      </c>
      <c r="K2871" s="1">
        <v>44211</v>
      </c>
      <c r="L2871">
        <v>2021</v>
      </c>
      <c r="M2871" t="str">
        <f>UPPER(TEXT(_2020_2022[[#This Row],[Data da Venda]],"mmm"))</f>
        <v>JAN</v>
      </c>
    </row>
    <row r="2872" spans="1:13" x14ac:dyDescent="0.25">
      <c r="A2872" t="s">
        <v>24</v>
      </c>
      <c r="B2872">
        <v>2000</v>
      </c>
      <c r="C2872">
        <v>5</v>
      </c>
      <c r="D2872" t="s">
        <v>33</v>
      </c>
      <c r="E2872" t="s">
        <v>641</v>
      </c>
      <c r="F2872" t="s">
        <v>793</v>
      </c>
      <c r="G2872" t="s">
        <v>643</v>
      </c>
      <c r="H2872">
        <v>25</v>
      </c>
      <c r="I2872" t="s">
        <v>651</v>
      </c>
      <c r="J2872">
        <v>10000</v>
      </c>
      <c r="K2872" s="1">
        <v>44357</v>
      </c>
      <c r="L2872">
        <v>2021</v>
      </c>
      <c r="M2872" t="str">
        <f>UPPER(TEXT(_2020_2022[[#This Row],[Data da Venda]],"mmm"))</f>
        <v>JUN</v>
      </c>
    </row>
    <row r="2873" spans="1:13" x14ac:dyDescent="0.25">
      <c r="A2873" t="s">
        <v>21</v>
      </c>
      <c r="B2873">
        <v>2400</v>
      </c>
      <c r="C2873">
        <v>2</v>
      </c>
      <c r="D2873" t="s">
        <v>36</v>
      </c>
      <c r="E2873" t="s">
        <v>677</v>
      </c>
      <c r="F2873" t="s">
        <v>1105</v>
      </c>
      <c r="G2873" t="s">
        <v>650</v>
      </c>
      <c r="H2873">
        <v>31</v>
      </c>
      <c r="I2873" t="s">
        <v>644</v>
      </c>
      <c r="J2873">
        <v>4800</v>
      </c>
      <c r="K2873" s="1">
        <v>44205</v>
      </c>
      <c r="L2873">
        <v>2021</v>
      </c>
      <c r="M2873" t="str">
        <f>UPPER(TEXT(_2020_2022[[#This Row],[Data da Venda]],"mmm"))</f>
        <v>JAN</v>
      </c>
    </row>
    <row r="2874" spans="1:13" x14ac:dyDescent="0.25">
      <c r="A2874" t="s">
        <v>18</v>
      </c>
      <c r="B2874">
        <v>3000</v>
      </c>
      <c r="C2874">
        <v>3</v>
      </c>
      <c r="D2874" t="s">
        <v>30</v>
      </c>
      <c r="E2874" t="s">
        <v>645</v>
      </c>
      <c r="F2874" t="s">
        <v>655</v>
      </c>
      <c r="G2874" t="s">
        <v>643</v>
      </c>
      <c r="H2874">
        <v>75</v>
      </c>
      <c r="I2874" t="s">
        <v>647</v>
      </c>
      <c r="J2874">
        <v>9000</v>
      </c>
      <c r="K2874" s="1">
        <v>44223</v>
      </c>
      <c r="L2874">
        <v>2021</v>
      </c>
      <c r="M2874" t="str">
        <f>UPPER(TEXT(_2020_2022[[#This Row],[Data da Venda]],"mmm"))</f>
        <v>JAN</v>
      </c>
    </row>
    <row r="2875" spans="1:13" x14ac:dyDescent="0.25">
      <c r="A2875" t="s">
        <v>5</v>
      </c>
      <c r="B2875">
        <v>1750</v>
      </c>
      <c r="C2875">
        <v>4</v>
      </c>
      <c r="D2875" t="s">
        <v>34</v>
      </c>
      <c r="E2875" t="s">
        <v>679</v>
      </c>
      <c r="F2875" t="s">
        <v>995</v>
      </c>
      <c r="G2875" t="s">
        <v>643</v>
      </c>
      <c r="H2875">
        <v>35</v>
      </c>
      <c r="I2875" t="s">
        <v>644</v>
      </c>
      <c r="J2875">
        <v>7000</v>
      </c>
      <c r="K2875" s="1">
        <v>44449</v>
      </c>
      <c r="L2875">
        <v>2021</v>
      </c>
      <c r="M2875" t="str">
        <f>UPPER(TEXT(_2020_2022[[#This Row],[Data da Venda]],"mmm"))</f>
        <v>SET</v>
      </c>
    </row>
    <row r="2876" spans="1:13" x14ac:dyDescent="0.25">
      <c r="A2876" t="s">
        <v>24</v>
      </c>
      <c r="B2876">
        <v>2000</v>
      </c>
      <c r="C2876">
        <v>2</v>
      </c>
      <c r="D2876" t="s">
        <v>36</v>
      </c>
      <c r="E2876" t="s">
        <v>677</v>
      </c>
      <c r="F2876" t="s">
        <v>1080</v>
      </c>
      <c r="G2876" t="s">
        <v>650</v>
      </c>
      <c r="H2876">
        <v>66</v>
      </c>
      <c r="I2876" t="s">
        <v>647</v>
      </c>
      <c r="J2876">
        <v>4000</v>
      </c>
      <c r="K2876" s="1">
        <v>44330</v>
      </c>
      <c r="L2876">
        <v>2021</v>
      </c>
      <c r="M2876" t="str">
        <f>UPPER(TEXT(_2020_2022[[#This Row],[Data da Venda]],"mmm"))</f>
        <v>MAI</v>
      </c>
    </row>
    <row r="2877" spans="1:13" x14ac:dyDescent="0.25">
      <c r="A2877" t="s">
        <v>1442</v>
      </c>
      <c r="B2877">
        <v>1200</v>
      </c>
      <c r="C2877">
        <v>2</v>
      </c>
      <c r="D2877" t="s">
        <v>41</v>
      </c>
      <c r="E2877" t="s">
        <v>681</v>
      </c>
      <c r="F2877" t="s">
        <v>1162</v>
      </c>
      <c r="G2877" t="s">
        <v>650</v>
      </c>
      <c r="H2877">
        <v>57</v>
      </c>
      <c r="I2877" t="s">
        <v>647</v>
      </c>
      <c r="J2877">
        <v>2400</v>
      </c>
      <c r="K2877" s="1">
        <v>44536</v>
      </c>
      <c r="L2877">
        <v>2021</v>
      </c>
      <c r="M2877" t="str">
        <f>UPPER(TEXT(_2020_2022[[#This Row],[Data da Venda]],"mmm"))</f>
        <v>DEZ</v>
      </c>
    </row>
    <row r="2878" spans="1:13" x14ac:dyDescent="0.25">
      <c r="A2878" t="s">
        <v>11</v>
      </c>
      <c r="B2878">
        <v>4500</v>
      </c>
      <c r="C2878">
        <v>3</v>
      </c>
      <c r="D2878" t="s">
        <v>34</v>
      </c>
      <c r="E2878" t="s">
        <v>679</v>
      </c>
      <c r="F2878" t="s">
        <v>1125</v>
      </c>
      <c r="G2878" t="s">
        <v>643</v>
      </c>
      <c r="H2878">
        <v>67</v>
      </c>
      <c r="I2878" t="s">
        <v>647</v>
      </c>
      <c r="J2878">
        <v>13500</v>
      </c>
      <c r="K2878" s="1">
        <v>44475</v>
      </c>
      <c r="L2878">
        <v>2021</v>
      </c>
      <c r="M2878" t="str">
        <f>UPPER(TEXT(_2020_2022[[#This Row],[Data da Venda]],"mmm"))</f>
        <v>OUT</v>
      </c>
    </row>
    <row r="2879" spans="1:13" x14ac:dyDescent="0.25">
      <c r="A2879" t="s">
        <v>1443</v>
      </c>
      <c r="B2879">
        <v>1550</v>
      </c>
      <c r="C2879">
        <v>5</v>
      </c>
      <c r="D2879" t="s">
        <v>29</v>
      </c>
      <c r="E2879" t="s">
        <v>641</v>
      </c>
      <c r="F2879" t="s">
        <v>812</v>
      </c>
      <c r="G2879" t="s">
        <v>643</v>
      </c>
      <c r="H2879">
        <v>55</v>
      </c>
      <c r="I2879" t="s">
        <v>647</v>
      </c>
      <c r="J2879">
        <v>7750</v>
      </c>
      <c r="K2879" s="1">
        <v>44384</v>
      </c>
      <c r="L2879">
        <v>2021</v>
      </c>
      <c r="M2879" t="str">
        <f>UPPER(TEXT(_2020_2022[[#This Row],[Data da Venda]],"mmm"))</f>
        <v>JUL</v>
      </c>
    </row>
    <row r="2880" spans="1:13" x14ac:dyDescent="0.25">
      <c r="A2880" t="s">
        <v>1441</v>
      </c>
      <c r="B2880">
        <v>1450</v>
      </c>
      <c r="C2880">
        <v>5</v>
      </c>
      <c r="D2880" t="s">
        <v>39</v>
      </c>
      <c r="E2880" t="s">
        <v>641</v>
      </c>
      <c r="F2880" t="s">
        <v>844</v>
      </c>
      <c r="G2880" t="s">
        <v>650</v>
      </c>
      <c r="H2880">
        <v>30</v>
      </c>
      <c r="I2880" t="s">
        <v>644</v>
      </c>
      <c r="J2880">
        <v>7250</v>
      </c>
      <c r="K2880" s="1">
        <v>44378</v>
      </c>
      <c r="L2880">
        <v>2021</v>
      </c>
      <c r="M2880" t="str">
        <f>UPPER(TEXT(_2020_2022[[#This Row],[Data da Venda]],"mmm"))</f>
        <v>JUL</v>
      </c>
    </row>
    <row r="2881" spans="1:13" x14ac:dyDescent="0.25">
      <c r="A2881" t="s">
        <v>13</v>
      </c>
      <c r="B2881">
        <v>2300</v>
      </c>
      <c r="C2881">
        <v>3</v>
      </c>
      <c r="D2881" t="s">
        <v>30</v>
      </c>
      <c r="E2881" t="s">
        <v>645</v>
      </c>
      <c r="F2881" t="s">
        <v>1146</v>
      </c>
      <c r="G2881" t="s">
        <v>650</v>
      </c>
      <c r="H2881">
        <v>47</v>
      </c>
      <c r="I2881" t="s">
        <v>644</v>
      </c>
      <c r="J2881">
        <v>6900</v>
      </c>
      <c r="K2881" s="1">
        <v>44506</v>
      </c>
      <c r="L2881">
        <v>2021</v>
      </c>
      <c r="M2881" t="str">
        <f>UPPER(TEXT(_2020_2022[[#This Row],[Data da Venda]],"mmm"))</f>
        <v>NOV</v>
      </c>
    </row>
    <row r="2882" spans="1:13" x14ac:dyDescent="0.25">
      <c r="A2882" t="s">
        <v>28</v>
      </c>
      <c r="B2882">
        <v>1400</v>
      </c>
      <c r="C2882">
        <v>5</v>
      </c>
      <c r="D2882" t="s">
        <v>29</v>
      </c>
      <c r="E2882" t="s">
        <v>641</v>
      </c>
      <c r="F2882" t="s">
        <v>1155</v>
      </c>
      <c r="G2882" t="s">
        <v>650</v>
      </c>
      <c r="H2882">
        <v>29</v>
      </c>
      <c r="I2882" t="s">
        <v>651</v>
      </c>
      <c r="J2882">
        <v>7000</v>
      </c>
      <c r="K2882" s="1">
        <v>44265</v>
      </c>
      <c r="L2882">
        <v>2021</v>
      </c>
      <c r="M2882" t="str">
        <f>UPPER(TEXT(_2020_2022[[#This Row],[Data da Venda]],"mmm"))</f>
        <v>MAR</v>
      </c>
    </row>
    <row r="2883" spans="1:13" x14ac:dyDescent="0.25">
      <c r="A2883" t="s">
        <v>11</v>
      </c>
      <c r="B2883">
        <v>4500</v>
      </c>
      <c r="C2883">
        <v>5</v>
      </c>
      <c r="D2883" t="s">
        <v>31</v>
      </c>
      <c r="E2883" t="s">
        <v>645</v>
      </c>
      <c r="F2883" t="s">
        <v>1077</v>
      </c>
      <c r="G2883" t="s">
        <v>643</v>
      </c>
      <c r="H2883">
        <v>31</v>
      </c>
      <c r="I2883" t="s">
        <v>644</v>
      </c>
      <c r="J2883">
        <v>22500</v>
      </c>
      <c r="K2883" s="1">
        <v>44201</v>
      </c>
      <c r="L2883">
        <v>2021</v>
      </c>
      <c r="M2883" t="str">
        <f>UPPER(TEXT(_2020_2022[[#This Row],[Data da Venda]],"mmm"))</f>
        <v>JAN</v>
      </c>
    </row>
    <row r="2884" spans="1:13" x14ac:dyDescent="0.25">
      <c r="A2884" t="s">
        <v>7</v>
      </c>
      <c r="B2884">
        <v>750</v>
      </c>
      <c r="C2884">
        <v>4</v>
      </c>
      <c r="D2884" t="s">
        <v>37</v>
      </c>
      <c r="E2884" t="s">
        <v>645</v>
      </c>
      <c r="F2884" t="s">
        <v>848</v>
      </c>
      <c r="G2884" t="s">
        <v>650</v>
      </c>
      <c r="H2884">
        <v>26</v>
      </c>
      <c r="I2884" t="s">
        <v>651</v>
      </c>
      <c r="J2884">
        <v>3000</v>
      </c>
      <c r="K2884" s="1">
        <v>44428</v>
      </c>
      <c r="L2884">
        <v>2021</v>
      </c>
      <c r="M2884" t="str">
        <f>UPPER(TEXT(_2020_2022[[#This Row],[Data da Venda]],"mmm"))</f>
        <v>AGO</v>
      </c>
    </row>
    <row r="2885" spans="1:13" x14ac:dyDescent="0.25">
      <c r="A2885" t="s">
        <v>16</v>
      </c>
      <c r="B2885">
        <v>1400</v>
      </c>
      <c r="C2885">
        <v>2</v>
      </c>
      <c r="D2885" t="s">
        <v>36</v>
      </c>
      <c r="E2885" t="s">
        <v>677</v>
      </c>
      <c r="F2885" t="s">
        <v>819</v>
      </c>
      <c r="G2885" t="s">
        <v>643</v>
      </c>
      <c r="H2885">
        <v>63</v>
      </c>
      <c r="I2885" t="s">
        <v>647</v>
      </c>
      <c r="J2885">
        <v>2800</v>
      </c>
      <c r="K2885" s="1">
        <v>44267</v>
      </c>
      <c r="L2885">
        <v>2021</v>
      </c>
      <c r="M2885" t="str">
        <f>UPPER(TEXT(_2020_2022[[#This Row],[Data da Venda]],"mmm"))</f>
        <v>MAR</v>
      </c>
    </row>
    <row r="2886" spans="1:13" x14ac:dyDescent="0.25">
      <c r="A2886" t="s">
        <v>5</v>
      </c>
      <c r="B2886">
        <v>1750</v>
      </c>
      <c r="C2886">
        <v>3</v>
      </c>
      <c r="D2886" t="s">
        <v>36</v>
      </c>
      <c r="E2886" t="s">
        <v>677</v>
      </c>
      <c r="F2886" t="s">
        <v>763</v>
      </c>
      <c r="G2886" t="s">
        <v>643</v>
      </c>
      <c r="H2886">
        <v>33</v>
      </c>
      <c r="I2886" t="s">
        <v>644</v>
      </c>
      <c r="J2886">
        <v>5250</v>
      </c>
      <c r="K2886" s="1">
        <v>44544</v>
      </c>
      <c r="L2886">
        <v>2021</v>
      </c>
      <c r="M2886" t="str">
        <f>UPPER(TEXT(_2020_2022[[#This Row],[Data da Venda]],"mmm"))</f>
        <v>DEZ</v>
      </c>
    </row>
    <row r="2887" spans="1:13" x14ac:dyDescent="0.25">
      <c r="A2887" t="s">
        <v>1445</v>
      </c>
      <c r="B2887">
        <v>1500</v>
      </c>
      <c r="C2887">
        <v>3</v>
      </c>
      <c r="D2887" t="s">
        <v>31</v>
      </c>
      <c r="E2887" t="s">
        <v>645</v>
      </c>
      <c r="F2887" t="s">
        <v>1257</v>
      </c>
      <c r="G2887" t="s">
        <v>650</v>
      </c>
      <c r="H2887">
        <v>33</v>
      </c>
      <c r="I2887" t="s">
        <v>644</v>
      </c>
      <c r="J2887">
        <v>4500</v>
      </c>
      <c r="K2887" s="1">
        <v>44323</v>
      </c>
      <c r="L2887">
        <v>2021</v>
      </c>
      <c r="M2887" t="str">
        <f>UPPER(TEXT(_2020_2022[[#This Row],[Data da Venda]],"mmm"))</f>
        <v>MAI</v>
      </c>
    </row>
    <row r="2888" spans="1:13" x14ac:dyDescent="0.25">
      <c r="A2888" t="s">
        <v>22</v>
      </c>
      <c r="B2888">
        <v>5200</v>
      </c>
      <c r="C2888">
        <v>2</v>
      </c>
      <c r="D2888" t="s">
        <v>36</v>
      </c>
      <c r="E2888" t="s">
        <v>677</v>
      </c>
      <c r="F2888" t="s">
        <v>1161</v>
      </c>
      <c r="G2888" t="s">
        <v>643</v>
      </c>
      <c r="H2888">
        <v>70</v>
      </c>
      <c r="I2888" t="s">
        <v>647</v>
      </c>
      <c r="J2888">
        <v>10400</v>
      </c>
      <c r="K2888" s="1">
        <v>44314</v>
      </c>
      <c r="L2888">
        <v>2021</v>
      </c>
      <c r="M2888" t="str">
        <f>UPPER(TEXT(_2020_2022[[#This Row],[Data da Venda]],"mmm"))</f>
        <v>ABR</v>
      </c>
    </row>
    <row r="2889" spans="1:13" x14ac:dyDescent="0.25">
      <c r="A2889" t="s">
        <v>1444</v>
      </c>
      <c r="B2889">
        <v>1500</v>
      </c>
      <c r="C2889">
        <v>4</v>
      </c>
      <c r="D2889" t="s">
        <v>29</v>
      </c>
      <c r="E2889" t="s">
        <v>641</v>
      </c>
      <c r="F2889" t="s">
        <v>675</v>
      </c>
      <c r="G2889" t="s">
        <v>643</v>
      </c>
      <c r="H2889">
        <v>71</v>
      </c>
      <c r="I2889" t="s">
        <v>647</v>
      </c>
      <c r="J2889">
        <v>6000</v>
      </c>
      <c r="K2889" s="1">
        <v>44544</v>
      </c>
      <c r="L2889">
        <v>2021</v>
      </c>
      <c r="M2889" t="str">
        <f>UPPER(TEXT(_2020_2022[[#This Row],[Data da Venda]],"mmm"))</f>
        <v>DEZ</v>
      </c>
    </row>
    <row r="2890" spans="1:13" x14ac:dyDescent="0.25">
      <c r="A2890" t="s">
        <v>18</v>
      </c>
      <c r="B2890">
        <v>3000</v>
      </c>
      <c r="C2890">
        <v>1</v>
      </c>
      <c r="D2890" t="s">
        <v>33</v>
      </c>
      <c r="E2890" t="s">
        <v>641</v>
      </c>
      <c r="F2890" t="s">
        <v>880</v>
      </c>
      <c r="G2890" t="s">
        <v>643</v>
      </c>
      <c r="H2890">
        <v>44</v>
      </c>
      <c r="I2890" t="s">
        <v>644</v>
      </c>
      <c r="J2890">
        <v>3000</v>
      </c>
      <c r="K2890" s="1">
        <v>44531</v>
      </c>
      <c r="L2890">
        <v>2021</v>
      </c>
      <c r="M2890" t="str">
        <f>UPPER(TEXT(_2020_2022[[#This Row],[Data da Venda]],"mmm"))</f>
        <v>DEZ</v>
      </c>
    </row>
    <row r="2891" spans="1:13" x14ac:dyDescent="0.25">
      <c r="A2891" t="s">
        <v>5</v>
      </c>
      <c r="B2891">
        <v>1750</v>
      </c>
      <c r="C2891">
        <v>5</v>
      </c>
      <c r="D2891" t="s">
        <v>39</v>
      </c>
      <c r="E2891" t="s">
        <v>641</v>
      </c>
      <c r="F2891" t="s">
        <v>831</v>
      </c>
      <c r="G2891" t="s">
        <v>643</v>
      </c>
      <c r="H2891">
        <v>26</v>
      </c>
      <c r="I2891" t="s">
        <v>651</v>
      </c>
      <c r="J2891">
        <v>8750</v>
      </c>
      <c r="K2891" s="1">
        <v>44482</v>
      </c>
      <c r="L2891">
        <v>2021</v>
      </c>
      <c r="M2891" t="str">
        <f>UPPER(TEXT(_2020_2022[[#This Row],[Data da Venda]],"mmm"))</f>
        <v>OUT</v>
      </c>
    </row>
    <row r="2892" spans="1:13" x14ac:dyDescent="0.25">
      <c r="A2892" t="s">
        <v>21</v>
      </c>
      <c r="B2892">
        <v>2400</v>
      </c>
      <c r="C2892">
        <v>2</v>
      </c>
      <c r="D2892" t="s">
        <v>32</v>
      </c>
      <c r="E2892" t="s">
        <v>652</v>
      </c>
      <c r="F2892" t="s">
        <v>1024</v>
      </c>
      <c r="G2892" t="s">
        <v>643</v>
      </c>
      <c r="H2892">
        <v>76</v>
      </c>
      <c r="I2892" t="s">
        <v>647</v>
      </c>
      <c r="J2892">
        <v>4800</v>
      </c>
      <c r="K2892" s="1">
        <v>44219</v>
      </c>
      <c r="L2892">
        <v>2021</v>
      </c>
      <c r="M2892" t="str">
        <f>UPPER(TEXT(_2020_2022[[#This Row],[Data da Venda]],"mmm"))</f>
        <v>JAN</v>
      </c>
    </row>
    <row r="2893" spans="1:13" x14ac:dyDescent="0.25">
      <c r="A2893" t="s">
        <v>20</v>
      </c>
      <c r="B2893">
        <v>2600</v>
      </c>
      <c r="C2893">
        <v>1</v>
      </c>
      <c r="D2893" t="s">
        <v>35</v>
      </c>
      <c r="E2893" t="s">
        <v>666</v>
      </c>
      <c r="F2893" t="s">
        <v>1407</v>
      </c>
      <c r="G2893" t="s">
        <v>643</v>
      </c>
      <c r="H2893">
        <v>75</v>
      </c>
      <c r="I2893" t="s">
        <v>647</v>
      </c>
      <c r="J2893">
        <v>2600</v>
      </c>
      <c r="K2893" s="1">
        <v>44517</v>
      </c>
      <c r="L2893">
        <v>2021</v>
      </c>
      <c r="M2893" t="str">
        <f>UPPER(TEXT(_2020_2022[[#This Row],[Data da Venda]],"mmm"))</f>
        <v>NOV</v>
      </c>
    </row>
    <row r="2894" spans="1:13" x14ac:dyDescent="0.25">
      <c r="A2894" t="s">
        <v>20</v>
      </c>
      <c r="B2894">
        <v>2600</v>
      </c>
      <c r="C2894">
        <v>5</v>
      </c>
      <c r="D2894" t="s">
        <v>32</v>
      </c>
      <c r="E2894" t="s">
        <v>652</v>
      </c>
      <c r="F2894" t="s">
        <v>715</v>
      </c>
      <c r="G2894" t="s">
        <v>643</v>
      </c>
      <c r="H2894">
        <v>72</v>
      </c>
      <c r="I2894" t="s">
        <v>647</v>
      </c>
      <c r="J2894">
        <v>13000</v>
      </c>
      <c r="K2894" s="1">
        <v>44301</v>
      </c>
      <c r="L2894">
        <v>2021</v>
      </c>
      <c r="M2894" t="str">
        <f>UPPER(TEXT(_2020_2022[[#This Row],[Data da Venda]],"mmm"))</f>
        <v>ABR</v>
      </c>
    </row>
    <row r="2895" spans="1:13" x14ac:dyDescent="0.25">
      <c r="A2895" t="s">
        <v>25</v>
      </c>
      <c r="B2895">
        <v>2500</v>
      </c>
      <c r="C2895">
        <v>4</v>
      </c>
      <c r="D2895" t="s">
        <v>36</v>
      </c>
      <c r="E2895" t="s">
        <v>677</v>
      </c>
      <c r="F2895" t="s">
        <v>1161</v>
      </c>
      <c r="G2895" t="s">
        <v>643</v>
      </c>
      <c r="H2895">
        <v>70</v>
      </c>
      <c r="I2895" t="s">
        <v>647</v>
      </c>
      <c r="J2895">
        <v>10000</v>
      </c>
      <c r="K2895" s="1">
        <v>44450</v>
      </c>
      <c r="L2895">
        <v>2021</v>
      </c>
      <c r="M2895" t="str">
        <f>UPPER(TEXT(_2020_2022[[#This Row],[Data da Venda]],"mmm"))</f>
        <v>SET</v>
      </c>
    </row>
    <row r="2896" spans="1:13" x14ac:dyDescent="0.25">
      <c r="A2896" t="s">
        <v>28</v>
      </c>
      <c r="B2896">
        <v>1400</v>
      </c>
      <c r="C2896">
        <v>1</v>
      </c>
      <c r="D2896" t="s">
        <v>41</v>
      </c>
      <c r="E2896" t="s">
        <v>681</v>
      </c>
      <c r="F2896" t="s">
        <v>734</v>
      </c>
      <c r="G2896" t="s">
        <v>643</v>
      </c>
      <c r="H2896">
        <v>31</v>
      </c>
      <c r="I2896" t="s">
        <v>644</v>
      </c>
      <c r="J2896">
        <v>1400</v>
      </c>
      <c r="K2896" s="1">
        <v>44323</v>
      </c>
      <c r="L2896">
        <v>2021</v>
      </c>
      <c r="M2896" t="str">
        <f>UPPER(TEXT(_2020_2022[[#This Row],[Data da Venda]],"mmm"))</f>
        <v>MAI</v>
      </c>
    </row>
    <row r="2897" spans="1:13" x14ac:dyDescent="0.25">
      <c r="A2897" t="s">
        <v>16</v>
      </c>
      <c r="B2897">
        <v>1400</v>
      </c>
      <c r="C2897">
        <v>3</v>
      </c>
      <c r="D2897" t="s">
        <v>41</v>
      </c>
      <c r="E2897" t="s">
        <v>681</v>
      </c>
      <c r="F2897" t="s">
        <v>1278</v>
      </c>
      <c r="G2897" t="s">
        <v>650</v>
      </c>
      <c r="H2897">
        <v>52</v>
      </c>
      <c r="I2897" t="s">
        <v>647</v>
      </c>
      <c r="J2897">
        <v>4200</v>
      </c>
      <c r="K2897" s="1">
        <v>44437</v>
      </c>
      <c r="L2897">
        <v>2021</v>
      </c>
      <c r="M2897" t="str">
        <f>UPPER(TEXT(_2020_2022[[#This Row],[Data da Venda]],"mmm"))</f>
        <v>AGO</v>
      </c>
    </row>
    <row r="2898" spans="1:13" x14ac:dyDescent="0.25">
      <c r="A2898" t="s">
        <v>7</v>
      </c>
      <c r="B2898">
        <v>750</v>
      </c>
      <c r="C2898">
        <v>2</v>
      </c>
      <c r="D2898" t="s">
        <v>37</v>
      </c>
      <c r="E2898" t="s">
        <v>645</v>
      </c>
      <c r="F2898" t="s">
        <v>1264</v>
      </c>
      <c r="G2898" t="s">
        <v>643</v>
      </c>
      <c r="H2898">
        <v>49</v>
      </c>
      <c r="I2898" t="s">
        <v>644</v>
      </c>
      <c r="J2898">
        <v>1500</v>
      </c>
      <c r="K2898" s="1">
        <v>44410</v>
      </c>
      <c r="L2898">
        <v>2021</v>
      </c>
      <c r="M2898" t="str">
        <f>UPPER(TEXT(_2020_2022[[#This Row],[Data da Venda]],"mmm"))</f>
        <v>AGO</v>
      </c>
    </row>
    <row r="2899" spans="1:13" x14ac:dyDescent="0.25">
      <c r="A2899" t="s">
        <v>15</v>
      </c>
      <c r="B2899">
        <v>1900</v>
      </c>
      <c r="C2899">
        <v>3</v>
      </c>
      <c r="D2899" t="s">
        <v>35</v>
      </c>
      <c r="E2899" t="s">
        <v>666</v>
      </c>
      <c r="F2899" t="s">
        <v>751</v>
      </c>
      <c r="G2899" t="s">
        <v>650</v>
      </c>
      <c r="H2899">
        <v>67</v>
      </c>
      <c r="I2899" t="s">
        <v>647</v>
      </c>
      <c r="J2899">
        <v>5700</v>
      </c>
      <c r="K2899" s="1">
        <v>44451</v>
      </c>
      <c r="L2899">
        <v>2021</v>
      </c>
      <c r="M2899" t="str">
        <f>UPPER(TEXT(_2020_2022[[#This Row],[Data da Venda]],"mmm"))</f>
        <v>SET</v>
      </c>
    </row>
    <row r="2900" spans="1:13" x14ac:dyDescent="0.25">
      <c r="A2900" t="s">
        <v>1443</v>
      </c>
      <c r="B2900">
        <v>1550</v>
      </c>
      <c r="C2900">
        <v>1</v>
      </c>
      <c r="D2900" t="s">
        <v>33</v>
      </c>
      <c r="E2900" t="s">
        <v>641</v>
      </c>
      <c r="F2900" t="s">
        <v>1009</v>
      </c>
      <c r="G2900" t="s">
        <v>650</v>
      </c>
      <c r="H2900">
        <v>40</v>
      </c>
      <c r="I2900" t="s">
        <v>644</v>
      </c>
      <c r="J2900">
        <v>1550</v>
      </c>
      <c r="K2900" s="1">
        <v>44384</v>
      </c>
      <c r="L2900">
        <v>2021</v>
      </c>
      <c r="M2900" t="str">
        <f>UPPER(TEXT(_2020_2022[[#This Row],[Data da Venda]],"mmm"))</f>
        <v>JUL</v>
      </c>
    </row>
    <row r="2901" spans="1:13" x14ac:dyDescent="0.25">
      <c r="A2901" t="s">
        <v>25</v>
      </c>
      <c r="B2901">
        <v>2500</v>
      </c>
      <c r="C2901">
        <v>5</v>
      </c>
      <c r="D2901" t="s">
        <v>30</v>
      </c>
      <c r="E2901" t="s">
        <v>645</v>
      </c>
      <c r="F2901" t="s">
        <v>955</v>
      </c>
      <c r="G2901" t="s">
        <v>643</v>
      </c>
      <c r="H2901">
        <v>75</v>
      </c>
      <c r="I2901" t="s">
        <v>647</v>
      </c>
      <c r="J2901">
        <v>12500</v>
      </c>
      <c r="K2901" s="1">
        <v>44224</v>
      </c>
      <c r="L2901">
        <v>2021</v>
      </c>
      <c r="M2901" t="str">
        <f>UPPER(TEXT(_2020_2022[[#This Row],[Data da Venda]],"mmm"))</f>
        <v>JAN</v>
      </c>
    </row>
    <row r="2902" spans="1:13" x14ac:dyDescent="0.25">
      <c r="A2902" t="s">
        <v>28</v>
      </c>
      <c r="B2902">
        <v>1400</v>
      </c>
      <c r="C2902">
        <v>4</v>
      </c>
      <c r="D2902" t="s">
        <v>29</v>
      </c>
      <c r="E2902" t="s">
        <v>641</v>
      </c>
      <c r="F2902" t="s">
        <v>675</v>
      </c>
      <c r="G2902" t="s">
        <v>643</v>
      </c>
      <c r="H2902">
        <v>71</v>
      </c>
      <c r="I2902" t="s">
        <v>647</v>
      </c>
      <c r="J2902">
        <v>5600</v>
      </c>
      <c r="K2902" s="1">
        <v>44479</v>
      </c>
      <c r="L2902">
        <v>2021</v>
      </c>
      <c r="M2902" t="str">
        <f>UPPER(TEXT(_2020_2022[[#This Row],[Data da Venda]],"mmm"))</f>
        <v>OUT</v>
      </c>
    </row>
    <row r="2903" spans="1:13" x14ac:dyDescent="0.25">
      <c r="A2903" t="s">
        <v>1440</v>
      </c>
      <c r="B2903">
        <v>700</v>
      </c>
      <c r="C2903">
        <v>5</v>
      </c>
      <c r="D2903" t="s">
        <v>32</v>
      </c>
      <c r="E2903" t="s">
        <v>652</v>
      </c>
      <c r="F2903" t="s">
        <v>1192</v>
      </c>
      <c r="G2903" t="s">
        <v>650</v>
      </c>
      <c r="H2903">
        <v>67</v>
      </c>
      <c r="I2903" t="s">
        <v>647</v>
      </c>
      <c r="J2903">
        <v>3500</v>
      </c>
      <c r="K2903" s="1">
        <v>44213</v>
      </c>
      <c r="L2903">
        <v>2021</v>
      </c>
      <c r="M2903" t="str">
        <f>UPPER(TEXT(_2020_2022[[#This Row],[Data da Venda]],"mmm"))</f>
        <v>JAN</v>
      </c>
    </row>
    <row r="2904" spans="1:13" x14ac:dyDescent="0.25">
      <c r="A2904" t="s">
        <v>13</v>
      </c>
      <c r="B2904">
        <v>2300</v>
      </c>
      <c r="C2904">
        <v>1</v>
      </c>
      <c r="D2904" t="s">
        <v>35</v>
      </c>
      <c r="E2904" t="s">
        <v>666</v>
      </c>
      <c r="F2904" t="s">
        <v>1209</v>
      </c>
      <c r="G2904" t="s">
        <v>643</v>
      </c>
      <c r="H2904">
        <v>33</v>
      </c>
      <c r="I2904" t="s">
        <v>644</v>
      </c>
      <c r="J2904">
        <v>2300</v>
      </c>
      <c r="K2904" s="1">
        <v>44247</v>
      </c>
      <c r="L2904">
        <v>2021</v>
      </c>
      <c r="M2904" t="str">
        <f>UPPER(TEXT(_2020_2022[[#This Row],[Data da Venda]],"mmm"))</f>
        <v>FEV</v>
      </c>
    </row>
    <row r="2905" spans="1:13" x14ac:dyDescent="0.25">
      <c r="A2905" t="s">
        <v>1442</v>
      </c>
      <c r="B2905">
        <v>1200</v>
      </c>
      <c r="C2905">
        <v>4</v>
      </c>
      <c r="D2905" t="s">
        <v>29</v>
      </c>
      <c r="E2905" t="s">
        <v>641</v>
      </c>
      <c r="F2905" t="s">
        <v>1313</v>
      </c>
      <c r="G2905" t="s">
        <v>650</v>
      </c>
      <c r="H2905">
        <v>30</v>
      </c>
      <c r="I2905" t="s">
        <v>644</v>
      </c>
      <c r="J2905">
        <v>4800</v>
      </c>
      <c r="K2905" s="1">
        <v>44238</v>
      </c>
      <c r="L2905">
        <v>2021</v>
      </c>
      <c r="M2905" t="str">
        <f>UPPER(TEXT(_2020_2022[[#This Row],[Data da Venda]],"mmm"))</f>
        <v>FEV</v>
      </c>
    </row>
    <row r="2906" spans="1:13" x14ac:dyDescent="0.25">
      <c r="A2906" t="s">
        <v>21</v>
      </c>
      <c r="B2906">
        <v>2400</v>
      </c>
      <c r="C2906">
        <v>3</v>
      </c>
      <c r="D2906" t="s">
        <v>37</v>
      </c>
      <c r="E2906" t="s">
        <v>645</v>
      </c>
      <c r="F2906" t="s">
        <v>852</v>
      </c>
      <c r="G2906" t="s">
        <v>650</v>
      </c>
      <c r="H2906">
        <v>28</v>
      </c>
      <c r="I2906" t="s">
        <v>651</v>
      </c>
      <c r="J2906">
        <v>7200</v>
      </c>
      <c r="K2906" s="1">
        <v>44524</v>
      </c>
      <c r="L2906">
        <v>2021</v>
      </c>
      <c r="M2906" t="str">
        <f>UPPER(TEXT(_2020_2022[[#This Row],[Data da Venda]],"mmm"))</f>
        <v>NOV</v>
      </c>
    </row>
    <row r="2907" spans="1:13" x14ac:dyDescent="0.25">
      <c r="A2907" t="s">
        <v>25</v>
      </c>
      <c r="B2907">
        <v>2500</v>
      </c>
      <c r="C2907">
        <v>1</v>
      </c>
      <c r="D2907" t="s">
        <v>33</v>
      </c>
      <c r="E2907" t="s">
        <v>641</v>
      </c>
      <c r="F2907" t="s">
        <v>1189</v>
      </c>
      <c r="G2907" t="s">
        <v>650</v>
      </c>
      <c r="H2907">
        <v>70</v>
      </c>
      <c r="I2907" t="s">
        <v>647</v>
      </c>
      <c r="J2907">
        <v>2500</v>
      </c>
      <c r="K2907" s="1">
        <v>44362</v>
      </c>
      <c r="L2907">
        <v>2021</v>
      </c>
      <c r="M2907" t="str">
        <f>UPPER(TEXT(_2020_2022[[#This Row],[Data da Venda]],"mmm"))</f>
        <v>JUN</v>
      </c>
    </row>
    <row r="2908" spans="1:13" x14ac:dyDescent="0.25">
      <c r="A2908" t="s">
        <v>26</v>
      </c>
      <c r="B2908">
        <v>1100</v>
      </c>
      <c r="C2908">
        <v>2</v>
      </c>
      <c r="D2908" t="s">
        <v>37</v>
      </c>
      <c r="E2908" t="s">
        <v>645</v>
      </c>
      <c r="F2908" t="s">
        <v>1298</v>
      </c>
      <c r="G2908" t="s">
        <v>643</v>
      </c>
      <c r="H2908">
        <v>61</v>
      </c>
      <c r="I2908" t="s">
        <v>647</v>
      </c>
      <c r="J2908">
        <v>2200</v>
      </c>
      <c r="K2908" s="1">
        <v>44413</v>
      </c>
      <c r="L2908">
        <v>2021</v>
      </c>
      <c r="M2908" t="str">
        <f>UPPER(TEXT(_2020_2022[[#This Row],[Data da Venda]],"mmm"))</f>
        <v>AGO</v>
      </c>
    </row>
    <row r="2909" spans="1:13" x14ac:dyDescent="0.25">
      <c r="A2909" t="s">
        <v>5</v>
      </c>
      <c r="B2909">
        <v>1750</v>
      </c>
      <c r="C2909">
        <v>4</v>
      </c>
      <c r="D2909" t="s">
        <v>37</v>
      </c>
      <c r="E2909" t="s">
        <v>645</v>
      </c>
      <c r="F2909" t="s">
        <v>1221</v>
      </c>
      <c r="G2909" t="s">
        <v>650</v>
      </c>
      <c r="H2909">
        <v>48</v>
      </c>
      <c r="I2909" t="s">
        <v>644</v>
      </c>
      <c r="J2909">
        <v>7000</v>
      </c>
      <c r="K2909" s="1">
        <v>44539</v>
      </c>
      <c r="L2909">
        <v>2021</v>
      </c>
      <c r="M2909" t="str">
        <f>UPPER(TEXT(_2020_2022[[#This Row],[Data da Venda]],"mmm"))</f>
        <v>DEZ</v>
      </c>
    </row>
    <row r="2910" spans="1:13" x14ac:dyDescent="0.25">
      <c r="A2910" t="s">
        <v>13</v>
      </c>
      <c r="B2910">
        <v>2300</v>
      </c>
      <c r="C2910">
        <v>4</v>
      </c>
      <c r="D2910" t="s">
        <v>29</v>
      </c>
      <c r="E2910" t="s">
        <v>641</v>
      </c>
      <c r="F2910" t="s">
        <v>941</v>
      </c>
      <c r="G2910" t="s">
        <v>650</v>
      </c>
      <c r="H2910">
        <v>52</v>
      </c>
      <c r="I2910" t="s">
        <v>647</v>
      </c>
      <c r="J2910">
        <v>9200</v>
      </c>
      <c r="K2910" s="1">
        <v>44507</v>
      </c>
      <c r="L2910">
        <v>2021</v>
      </c>
      <c r="M2910" t="str">
        <f>UPPER(TEXT(_2020_2022[[#This Row],[Data da Venda]],"mmm"))</f>
        <v>NOV</v>
      </c>
    </row>
    <row r="2911" spans="1:13" x14ac:dyDescent="0.25">
      <c r="A2911" t="s">
        <v>1443</v>
      </c>
      <c r="B2911">
        <v>1550</v>
      </c>
      <c r="C2911">
        <v>2</v>
      </c>
      <c r="D2911" t="s">
        <v>29</v>
      </c>
      <c r="E2911" t="s">
        <v>641</v>
      </c>
      <c r="F2911" t="s">
        <v>843</v>
      </c>
      <c r="G2911" t="s">
        <v>650</v>
      </c>
      <c r="H2911">
        <v>73</v>
      </c>
      <c r="I2911" t="s">
        <v>647</v>
      </c>
      <c r="J2911">
        <v>3100</v>
      </c>
      <c r="K2911" s="1">
        <v>44399</v>
      </c>
      <c r="L2911">
        <v>2021</v>
      </c>
      <c r="M2911" t="str">
        <f>UPPER(TEXT(_2020_2022[[#This Row],[Data da Venda]],"mmm"))</f>
        <v>JUL</v>
      </c>
    </row>
    <row r="2912" spans="1:13" x14ac:dyDescent="0.25">
      <c r="A2912" t="s">
        <v>1443</v>
      </c>
      <c r="B2912">
        <v>1550</v>
      </c>
      <c r="C2912">
        <v>3</v>
      </c>
      <c r="D2912" t="s">
        <v>29</v>
      </c>
      <c r="E2912" t="s">
        <v>641</v>
      </c>
      <c r="F2912" t="s">
        <v>1215</v>
      </c>
      <c r="G2912" t="s">
        <v>643</v>
      </c>
      <c r="H2912">
        <v>60</v>
      </c>
      <c r="I2912" t="s">
        <v>647</v>
      </c>
      <c r="J2912">
        <v>4650</v>
      </c>
      <c r="K2912" s="1">
        <v>44554</v>
      </c>
      <c r="L2912">
        <v>2021</v>
      </c>
      <c r="M2912" t="str">
        <f>UPPER(TEXT(_2020_2022[[#This Row],[Data da Venda]],"mmm"))</f>
        <v>DEZ</v>
      </c>
    </row>
    <row r="2913" spans="1:13" x14ac:dyDescent="0.25">
      <c r="A2913" t="s">
        <v>12</v>
      </c>
      <c r="B2913">
        <v>6500</v>
      </c>
      <c r="C2913">
        <v>1</v>
      </c>
      <c r="D2913" t="s">
        <v>36</v>
      </c>
      <c r="E2913" t="s">
        <v>677</v>
      </c>
      <c r="F2913" t="s">
        <v>865</v>
      </c>
      <c r="G2913" t="s">
        <v>650</v>
      </c>
      <c r="H2913">
        <v>74</v>
      </c>
      <c r="I2913" t="s">
        <v>647</v>
      </c>
      <c r="J2913">
        <v>6500</v>
      </c>
      <c r="K2913" s="1">
        <v>44441</v>
      </c>
      <c r="L2913">
        <v>2021</v>
      </c>
      <c r="M2913" t="str">
        <f>UPPER(TEXT(_2020_2022[[#This Row],[Data da Venda]],"mmm"))</f>
        <v>SET</v>
      </c>
    </row>
    <row r="2914" spans="1:13" x14ac:dyDescent="0.25">
      <c r="A2914" t="s">
        <v>20</v>
      </c>
      <c r="B2914">
        <v>2600</v>
      </c>
      <c r="C2914">
        <v>1</v>
      </c>
      <c r="D2914" t="s">
        <v>33</v>
      </c>
      <c r="E2914" t="s">
        <v>641</v>
      </c>
      <c r="F2914" t="s">
        <v>981</v>
      </c>
      <c r="G2914" t="s">
        <v>643</v>
      </c>
      <c r="H2914">
        <v>49</v>
      </c>
      <c r="I2914" t="s">
        <v>644</v>
      </c>
      <c r="J2914">
        <v>2600</v>
      </c>
      <c r="K2914" s="1">
        <v>44354</v>
      </c>
      <c r="L2914">
        <v>2021</v>
      </c>
      <c r="M2914" t="str">
        <f>UPPER(TEXT(_2020_2022[[#This Row],[Data da Venda]],"mmm"))</f>
        <v>JUN</v>
      </c>
    </row>
    <row r="2915" spans="1:13" x14ac:dyDescent="0.25">
      <c r="A2915" t="s">
        <v>5</v>
      </c>
      <c r="B2915">
        <v>1750</v>
      </c>
      <c r="C2915">
        <v>3</v>
      </c>
      <c r="D2915" t="s">
        <v>40</v>
      </c>
      <c r="E2915" t="s">
        <v>657</v>
      </c>
      <c r="F2915" t="s">
        <v>1157</v>
      </c>
      <c r="G2915" t="s">
        <v>643</v>
      </c>
      <c r="H2915">
        <v>36</v>
      </c>
      <c r="I2915" t="s">
        <v>644</v>
      </c>
      <c r="J2915">
        <v>5250</v>
      </c>
      <c r="K2915" s="1">
        <v>44486</v>
      </c>
      <c r="L2915">
        <v>2021</v>
      </c>
      <c r="M2915" t="str">
        <f>UPPER(TEXT(_2020_2022[[#This Row],[Data da Venda]],"mmm"))</f>
        <v>OUT</v>
      </c>
    </row>
    <row r="2916" spans="1:13" x14ac:dyDescent="0.25">
      <c r="A2916" t="s">
        <v>12</v>
      </c>
      <c r="B2916">
        <v>6500</v>
      </c>
      <c r="C2916">
        <v>3</v>
      </c>
      <c r="D2916" t="s">
        <v>34</v>
      </c>
      <c r="E2916" t="s">
        <v>679</v>
      </c>
      <c r="F2916" t="s">
        <v>944</v>
      </c>
      <c r="G2916" t="s">
        <v>643</v>
      </c>
      <c r="H2916">
        <v>33</v>
      </c>
      <c r="I2916" t="s">
        <v>644</v>
      </c>
      <c r="J2916">
        <v>19500</v>
      </c>
      <c r="K2916" s="1">
        <v>44338</v>
      </c>
      <c r="L2916">
        <v>2021</v>
      </c>
      <c r="M2916" t="str">
        <f>UPPER(TEXT(_2020_2022[[#This Row],[Data da Venda]],"mmm"))</f>
        <v>MAI</v>
      </c>
    </row>
    <row r="2917" spans="1:13" x14ac:dyDescent="0.25">
      <c r="A2917" t="s">
        <v>13</v>
      </c>
      <c r="B2917">
        <v>2300</v>
      </c>
      <c r="C2917">
        <v>1</v>
      </c>
      <c r="D2917" t="s">
        <v>30</v>
      </c>
      <c r="E2917" t="s">
        <v>645</v>
      </c>
      <c r="F2917" t="s">
        <v>1219</v>
      </c>
      <c r="G2917" t="s">
        <v>643</v>
      </c>
      <c r="H2917">
        <v>69</v>
      </c>
      <c r="I2917" t="s">
        <v>647</v>
      </c>
      <c r="J2917">
        <v>2300</v>
      </c>
      <c r="K2917" s="1">
        <v>44242</v>
      </c>
      <c r="L2917">
        <v>2021</v>
      </c>
      <c r="M2917" t="str">
        <f>UPPER(TEXT(_2020_2022[[#This Row],[Data da Venda]],"mmm"))</f>
        <v>FEV</v>
      </c>
    </row>
    <row r="2918" spans="1:13" x14ac:dyDescent="0.25">
      <c r="A2918" t="s">
        <v>15</v>
      </c>
      <c r="B2918">
        <v>1900</v>
      </c>
      <c r="C2918">
        <v>5</v>
      </c>
      <c r="D2918" t="s">
        <v>32</v>
      </c>
      <c r="E2918" t="s">
        <v>652</v>
      </c>
      <c r="F2918" t="s">
        <v>861</v>
      </c>
      <c r="G2918" t="s">
        <v>650</v>
      </c>
      <c r="H2918">
        <v>34</v>
      </c>
      <c r="I2918" t="s">
        <v>644</v>
      </c>
      <c r="J2918">
        <v>9500</v>
      </c>
      <c r="K2918" s="1">
        <v>44247</v>
      </c>
      <c r="L2918">
        <v>2021</v>
      </c>
      <c r="M2918" t="str">
        <f>UPPER(TEXT(_2020_2022[[#This Row],[Data da Venda]],"mmm"))</f>
        <v>FEV</v>
      </c>
    </row>
    <row r="2919" spans="1:13" x14ac:dyDescent="0.25">
      <c r="A2919" t="s">
        <v>13</v>
      </c>
      <c r="B2919">
        <v>2300</v>
      </c>
      <c r="C2919">
        <v>2</v>
      </c>
      <c r="D2919" t="s">
        <v>36</v>
      </c>
      <c r="E2919" t="s">
        <v>677</v>
      </c>
      <c r="F2919" t="s">
        <v>1090</v>
      </c>
      <c r="G2919" t="s">
        <v>643</v>
      </c>
      <c r="H2919">
        <v>41</v>
      </c>
      <c r="I2919" t="s">
        <v>644</v>
      </c>
      <c r="J2919">
        <v>4600</v>
      </c>
      <c r="K2919" s="1">
        <v>44412</v>
      </c>
      <c r="L2919">
        <v>2021</v>
      </c>
      <c r="M2919" t="str">
        <f>UPPER(TEXT(_2020_2022[[#This Row],[Data da Venda]],"mmm"))</f>
        <v>AGO</v>
      </c>
    </row>
    <row r="2920" spans="1:13" x14ac:dyDescent="0.25">
      <c r="A2920" t="s">
        <v>1441</v>
      </c>
      <c r="B2920">
        <v>1450</v>
      </c>
      <c r="C2920">
        <v>3</v>
      </c>
      <c r="D2920" t="s">
        <v>29</v>
      </c>
      <c r="E2920" t="s">
        <v>641</v>
      </c>
      <c r="F2920" t="s">
        <v>1027</v>
      </c>
      <c r="G2920" t="s">
        <v>643</v>
      </c>
      <c r="H2920">
        <v>34</v>
      </c>
      <c r="I2920" t="s">
        <v>644</v>
      </c>
      <c r="J2920">
        <v>4350</v>
      </c>
      <c r="K2920" s="1">
        <v>44484</v>
      </c>
      <c r="L2920">
        <v>2021</v>
      </c>
      <c r="M2920" t="str">
        <f>UPPER(TEXT(_2020_2022[[#This Row],[Data da Venda]],"mmm"))</f>
        <v>OUT</v>
      </c>
    </row>
    <row r="2921" spans="1:13" x14ac:dyDescent="0.25">
      <c r="A2921" t="s">
        <v>1445</v>
      </c>
      <c r="B2921">
        <v>1500</v>
      </c>
      <c r="C2921">
        <v>3</v>
      </c>
      <c r="D2921" t="s">
        <v>30</v>
      </c>
      <c r="E2921" t="s">
        <v>645</v>
      </c>
      <c r="F2921" t="s">
        <v>921</v>
      </c>
      <c r="G2921" t="s">
        <v>643</v>
      </c>
      <c r="H2921">
        <v>49</v>
      </c>
      <c r="I2921" t="s">
        <v>644</v>
      </c>
      <c r="J2921">
        <v>4500</v>
      </c>
      <c r="K2921" s="1">
        <v>44236</v>
      </c>
      <c r="L2921">
        <v>2021</v>
      </c>
      <c r="M2921" t="str">
        <f>UPPER(TEXT(_2020_2022[[#This Row],[Data da Venda]],"mmm"))</f>
        <v>FEV</v>
      </c>
    </row>
    <row r="2922" spans="1:13" x14ac:dyDescent="0.25">
      <c r="A2922" t="s">
        <v>13</v>
      </c>
      <c r="B2922">
        <v>2300</v>
      </c>
      <c r="C2922">
        <v>2</v>
      </c>
      <c r="D2922" t="s">
        <v>29</v>
      </c>
      <c r="E2922" t="s">
        <v>641</v>
      </c>
      <c r="F2922" t="s">
        <v>1174</v>
      </c>
      <c r="G2922" t="s">
        <v>650</v>
      </c>
      <c r="H2922">
        <v>40</v>
      </c>
      <c r="I2922" t="s">
        <v>644</v>
      </c>
      <c r="J2922">
        <v>4600</v>
      </c>
      <c r="K2922" s="1">
        <v>44279</v>
      </c>
      <c r="L2922">
        <v>2021</v>
      </c>
      <c r="M2922" t="str">
        <f>UPPER(TEXT(_2020_2022[[#This Row],[Data da Venda]],"mmm"))</f>
        <v>MAR</v>
      </c>
    </row>
    <row r="2923" spans="1:13" x14ac:dyDescent="0.25">
      <c r="A2923" t="s">
        <v>1441</v>
      </c>
      <c r="B2923">
        <v>1450</v>
      </c>
      <c r="C2923">
        <v>2</v>
      </c>
      <c r="D2923" t="s">
        <v>37</v>
      </c>
      <c r="E2923" t="s">
        <v>645</v>
      </c>
      <c r="F2923" t="s">
        <v>997</v>
      </c>
      <c r="G2923" t="s">
        <v>643</v>
      </c>
      <c r="H2923">
        <v>36</v>
      </c>
      <c r="I2923" t="s">
        <v>644</v>
      </c>
      <c r="J2923">
        <v>2900</v>
      </c>
      <c r="K2923" s="1">
        <v>44366</v>
      </c>
      <c r="L2923">
        <v>2021</v>
      </c>
      <c r="M2923" t="str">
        <f>UPPER(TEXT(_2020_2022[[#This Row],[Data da Venda]],"mmm"))</f>
        <v>JUN</v>
      </c>
    </row>
    <row r="2924" spans="1:13" x14ac:dyDescent="0.25">
      <c r="A2924" t="s">
        <v>22</v>
      </c>
      <c r="B2924">
        <v>5200</v>
      </c>
      <c r="C2924">
        <v>2</v>
      </c>
      <c r="D2924" t="s">
        <v>41</v>
      </c>
      <c r="E2924" t="s">
        <v>681</v>
      </c>
      <c r="F2924" t="s">
        <v>1296</v>
      </c>
      <c r="G2924" t="s">
        <v>643</v>
      </c>
      <c r="H2924">
        <v>70</v>
      </c>
      <c r="I2924" t="s">
        <v>647</v>
      </c>
      <c r="J2924">
        <v>10400</v>
      </c>
      <c r="K2924" s="1">
        <v>44457</v>
      </c>
      <c r="L2924">
        <v>2021</v>
      </c>
      <c r="M2924" t="str">
        <f>UPPER(TEXT(_2020_2022[[#This Row],[Data da Venda]],"mmm"))</f>
        <v>SET</v>
      </c>
    </row>
    <row r="2925" spans="1:13" x14ac:dyDescent="0.25">
      <c r="A2925" t="s">
        <v>1443</v>
      </c>
      <c r="B2925">
        <v>1550</v>
      </c>
      <c r="C2925">
        <v>2</v>
      </c>
      <c r="D2925" t="s">
        <v>29</v>
      </c>
      <c r="E2925" t="s">
        <v>641</v>
      </c>
      <c r="F2925" t="s">
        <v>1297</v>
      </c>
      <c r="G2925" t="s">
        <v>643</v>
      </c>
      <c r="H2925">
        <v>43</v>
      </c>
      <c r="I2925" t="s">
        <v>644</v>
      </c>
      <c r="J2925">
        <v>3100</v>
      </c>
      <c r="K2925" s="1">
        <v>44536</v>
      </c>
      <c r="L2925">
        <v>2021</v>
      </c>
      <c r="M2925" t="str">
        <f>UPPER(TEXT(_2020_2022[[#This Row],[Data da Venda]],"mmm"))</f>
        <v>DEZ</v>
      </c>
    </row>
    <row r="2926" spans="1:13" x14ac:dyDescent="0.25">
      <c r="A2926" t="s">
        <v>28</v>
      </c>
      <c r="B2926">
        <v>1400</v>
      </c>
      <c r="C2926">
        <v>5</v>
      </c>
      <c r="D2926" t="s">
        <v>30</v>
      </c>
      <c r="E2926" t="s">
        <v>645</v>
      </c>
      <c r="F2926" t="s">
        <v>850</v>
      </c>
      <c r="G2926" t="s">
        <v>650</v>
      </c>
      <c r="H2926">
        <v>33</v>
      </c>
      <c r="I2926" t="s">
        <v>644</v>
      </c>
      <c r="J2926">
        <v>7000</v>
      </c>
      <c r="K2926" s="1">
        <v>44386</v>
      </c>
      <c r="L2926">
        <v>2021</v>
      </c>
      <c r="M2926" t="str">
        <f>UPPER(TEXT(_2020_2022[[#This Row],[Data da Venda]],"mmm"))</f>
        <v>JUL</v>
      </c>
    </row>
    <row r="2927" spans="1:13" x14ac:dyDescent="0.25">
      <c r="A2927" t="s">
        <v>1442</v>
      </c>
      <c r="B2927">
        <v>1200</v>
      </c>
      <c r="C2927">
        <v>1</v>
      </c>
      <c r="D2927" t="s">
        <v>35</v>
      </c>
      <c r="E2927" t="s">
        <v>666</v>
      </c>
      <c r="F2927" t="s">
        <v>1181</v>
      </c>
      <c r="G2927" t="s">
        <v>643</v>
      </c>
      <c r="H2927">
        <v>69</v>
      </c>
      <c r="I2927" t="s">
        <v>647</v>
      </c>
      <c r="J2927">
        <v>1200</v>
      </c>
      <c r="K2927" s="1">
        <v>44407</v>
      </c>
      <c r="L2927">
        <v>2021</v>
      </c>
      <c r="M2927" t="str">
        <f>UPPER(TEXT(_2020_2022[[#This Row],[Data da Venda]],"mmm"))</f>
        <v>JUL</v>
      </c>
    </row>
    <row r="2928" spans="1:13" x14ac:dyDescent="0.25">
      <c r="A2928" t="s">
        <v>1445</v>
      </c>
      <c r="B2928">
        <v>1500</v>
      </c>
      <c r="C2928">
        <v>3</v>
      </c>
      <c r="D2928" t="s">
        <v>35</v>
      </c>
      <c r="E2928" t="s">
        <v>666</v>
      </c>
      <c r="F2928" t="s">
        <v>1407</v>
      </c>
      <c r="G2928" t="s">
        <v>643</v>
      </c>
      <c r="H2928">
        <v>75</v>
      </c>
      <c r="I2928" t="s">
        <v>647</v>
      </c>
      <c r="J2928">
        <v>4500</v>
      </c>
      <c r="K2928" s="1">
        <v>44222</v>
      </c>
      <c r="L2928">
        <v>2021</v>
      </c>
      <c r="M2928" t="str">
        <f>UPPER(TEXT(_2020_2022[[#This Row],[Data da Venda]],"mmm"))</f>
        <v>JAN</v>
      </c>
    </row>
    <row r="2929" spans="1:13" x14ac:dyDescent="0.25">
      <c r="A2929" t="s">
        <v>11</v>
      </c>
      <c r="B2929">
        <v>4500</v>
      </c>
      <c r="C2929">
        <v>3</v>
      </c>
      <c r="D2929" t="s">
        <v>30</v>
      </c>
      <c r="E2929" t="s">
        <v>645</v>
      </c>
      <c r="F2929" t="s">
        <v>660</v>
      </c>
      <c r="G2929" t="s">
        <v>643</v>
      </c>
      <c r="H2929">
        <v>56</v>
      </c>
      <c r="I2929" t="s">
        <v>647</v>
      </c>
      <c r="J2929">
        <v>13500</v>
      </c>
      <c r="K2929" s="1">
        <v>44510</v>
      </c>
      <c r="L2929">
        <v>2021</v>
      </c>
      <c r="M2929" t="str">
        <f>UPPER(TEXT(_2020_2022[[#This Row],[Data da Venda]],"mmm"))</f>
        <v>NOV</v>
      </c>
    </row>
    <row r="2930" spans="1:13" x14ac:dyDescent="0.25">
      <c r="A2930" t="s">
        <v>20</v>
      </c>
      <c r="B2930">
        <v>2600</v>
      </c>
      <c r="C2930">
        <v>4</v>
      </c>
      <c r="D2930" t="s">
        <v>31</v>
      </c>
      <c r="E2930" t="s">
        <v>645</v>
      </c>
      <c r="F2930" t="s">
        <v>1071</v>
      </c>
      <c r="G2930" t="s">
        <v>643</v>
      </c>
      <c r="H2930">
        <v>51</v>
      </c>
      <c r="I2930" t="s">
        <v>647</v>
      </c>
      <c r="J2930">
        <v>10400</v>
      </c>
      <c r="K2930" s="1">
        <v>44462</v>
      </c>
      <c r="L2930">
        <v>2021</v>
      </c>
      <c r="M2930" t="str">
        <f>UPPER(TEXT(_2020_2022[[#This Row],[Data da Venda]],"mmm"))</f>
        <v>SET</v>
      </c>
    </row>
    <row r="2931" spans="1:13" x14ac:dyDescent="0.25">
      <c r="A2931" t="s">
        <v>7</v>
      </c>
      <c r="B2931">
        <v>750</v>
      </c>
      <c r="C2931">
        <v>3</v>
      </c>
      <c r="D2931" t="s">
        <v>36</v>
      </c>
      <c r="E2931" t="s">
        <v>677</v>
      </c>
      <c r="F2931" t="s">
        <v>1274</v>
      </c>
      <c r="G2931" t="s">
        <v>650</v>
      </c>
      <c r="H2931">
        <v>36</v>
      </c>
      <c r="I2931" t="s">
        <v>644</v>
      </c>
      <c r="J2931">
        <v>2250</v>
      </c>
      <c r="K2931" s="1">
        <v>44223</v>
      </c>
      <c r="L2931">
        <v>2021</v>
      </c>
      <c r="M2931" t="str">
        <f>UPPER(TEXT(_2020_2022[[#This Row],[Data da Venda]],"mmm"))</f>
        <v>JAN</v>
      </c>
    </row>
    <row r="2932" spans="1:13" x14ac:dyDescent="0.25">
      <c r="A2932" t="s">
        <v>5</v>
      </c>
      <c r="B2932">
        <v>1750</v>
      </c>
      <c r="C2932">
        <v>5</v>
      </c>
      <c r="D2932" t="s">
        <v>40</v>
      </c>
      <c r="E2932" t="s">
        <v>657</v>
      </c>
      <c r="F2932" t="s">
        <v>1193</v>
      </c>
      <c r="G2932" t="s">
        <v>650</v>
      </c>
      <c r="H2932">
        <v>53</v>
      </c>
      <c r="I2932" t="s">
        <v>647</v>
      </c>
      <c r="J2932">
        <v>8750</v>
      </c>
      <c r="K2932" s="1">
        <v>44199</v>
      </c>
      <c r="L2932">
        <v>2021</v>
      </c>
      <c r="M2932" t="str">
        <f>UPPER(TEXT(_2020_2022[[#This Row],[Data da Venda]],"mmm"))</f>
        <v>JAN</v>
      </c>
    </row>
    <row r="2933" spans="1:13" x14ac:dyDescent="0.25">
      <c r="A2933" t="s">
        <v>1442</v>
      </c>
      <c r="B2933">
        <v>1200</v>
      </c>
      <c r="C2933">
        <v>2</v>
      </c>
      <c r="D2933" t="s">
        <v>29</v>
      </c>
      <c r="E2933" t="s">
        <v>641</v>
      </c>
      <c r="F2933" t="s">
        <v>1145</v>
      </c>
      <c r="G2933" t="s">
        <v>650</v>
      </c>
      <c r="H2933">
        <v>29</v>
      </c>
      <c r="I2933" t="s">
        <v>651</v>
      </c>
      <c r="J2933">
        <v>2400</v>
      </c>
      <c r="K2933" s="1">
        <v>44250</v>
      </c>
      <c r="L2933">
        <v>2021</v>
      </c>
      <c r="M2933" t="str">
        <f>UPPER(TEXT(_2020_2022[[#This Row],[Data da Venda]],"mmm"))</f>
        <v>FEV</v>
      </c>
    </row>
    <row r="2934" spans="1:13" x14ac:dyDescent="0.25">
      <c r="A2934" t="s">
        <v>20</v>
      </c>
      <c r="B2934">
        <v>2600</v>
      </c>
      <c r="C2934">
        <v>3</v>
      </c>
      <c r="D2934" t="s">
        <v>29</v>
      </c>
      <c r="E2934" t="s">
        <v>641</v>
      </c>
      <c r="F2934" t="s">
        <v>1020</v>
      </c>
      <c r="G2934" t="s">
        <v>650</v>
      </c>
      <c r="H2934">
        <v>40</v>
      </c>
      <c r="I2934" t="s">
        <v>644</v>
      </c>
      <c r="J2934">
        <v>7800</v>
      </c>
      <c r="K2934" s="1">
        <v>44250</v>
      </c>
      <c r="L2934">
        <v>2021</v>
      </c>
      <c r="M2934" t="str">
        <f>UPPER(TEXT(_2020_2022[[#This Row],[Data da Venda]],"mmm"))</f>
        <v>FEV</v>
      </c>
    </row>
    <row r="2935" spans="1:13" x14ac:dyDescent="0.25">
      <c r="A2935" t="s">
        <v>25</v>
      </c>
      <c r="B2935">
        <v>2500</v>
      </c>
      <c r="C2935">
        <v>5</v>
      </c>
      <c r="D2935" t="s">
        <v>40</v>
      </c>
      <c r="E2935" t="s">
        <v>657</v>
      </c>
      <c r="F2935" t="s">
        <v>1193</v>
      </c>
      <c r="G2935" t="s">
        <v>650</v>
      </c>
      <c r="H2935">
        <v>53</v>
      </c>
      <c r="I2935" t="s">
        <v>647</v>
      </c>
      <c r="J2935">
        <v>12500</v>
      </c>
      <c r="K2935" s="1">
        <v>44235</v>
      </c>
      <c r="L2935">
        <v>2021</v>
      </c>
      <c r="M2935" t="str">
        <f>UPPER(TEXT(_2020_2022[[#This Row],[Data da Venda]],"mmm"))</f>
        <v>FEV</v>
      </c>
    </row>
    <row r="2936" spans="1:13" x14ac:dyDescent="0.25">
      <c r="A2936" t="s">
        <v>9</v>
      </c>
      <c r="B2936">
        <v>1500</v>
      </c>
      <c r="C2936">
        <v>2</v>
      </c>
      <c r="D2936" t="s">
        <v>38</v>
      </c>
      <c r="E2936" t="s">
        <v>648</v>
      </c>
      <c r="F2936" t="s">
        <v>892</v>
      </c>
      <c r="G2936" t="s">
        <v>650</v>
      </c>
      <c r="H2936">
        <v>28</v>
      </c>
      <c r="I2936" t="s">
        <v>651</v>
      </c>
      <c r="J2936">
        <v>3000</v>
      </c>
      <c r="K2936" s="1">
        <v>44319</v>
      </c>
      <c r="L2936">
        <v>2021</v>
      </c>
      <c r="M2936" t="str">
        <f>UPPER(TEXT(_2020_2022[[#This Row],[Data da Venda]],"mmm"))</f>
        <v>MAI</v>
      </c>
    </row>
    <row r="2937" spans="1:13" x14ac:dyDescent="0.25">
      <c r="A2937" t="s">
        <v>16</v>
      </c>
      <c r="B2937">
        <v>1400</v>
      </c>
      <c r="C2937">
        <v>4</v>
      </c>
      <c r="D2937" t="s">
        <v>32</v>
      </c>
      <c r="E2937" t="s">
        <v>652</v>
      </c>
      <c r="F2937" t="s">
        <v>685</v>
      </c>
      <c r="G2937" t="s">
        <v>643</v>
      </c>
      <c r="H2937">
        <v>36</v>
      </c>
      <c r="I2937" t="s">
        <v>644</v>
      </c>
      <c r="J2937">
        <v>5600</v>
      </c>
      <c r="K2937" s="1">
        <v>44518</v>
      </c>
      <c r="L2937">
        <v>2021</v>
      </c>
      <c r="M2937" t="str">
        <f>UPPER(TEXT(_2020_2022[[#This Row],[Data da Venda]],"mmm"))</f>
        <v>NOV</v>
      </c>
    </row>
    <row r="2938" spans="1:13" x14ac:dyDescent="0.25">
      <c r="A2938" t="s">
        <v>14</v>
      </c>
      <c r="B2938">
        <v>2000</v>
      </c>
      <c r="C2938">
        <v>5</v>
      </c>
      <c r="D2938" t="s">
        <v>29</v>
      </c>
      <c r="E2938" t="s">
        <v>641</v>
      </c>
      <c r="F2938" t="s">
        <v>1375</v>
      </c>
      <c r="G2938" t="s">
        <v>650</v>
      </c>
      <c r="H2938">
        <v>70</v>
      </c>
      <c r="I2938" t="s">
        <v>647</v>
      </c>
      <c r="J2938">
        <v>10000</v>
      </c>
      <c r="K2938" s="1">
        <v>44485</v>
      </c>
      <c r="L2938">
        <v>2021</v>
      </c>
      <c r="M2938" t="str">
        <f>UPPER(TEXT(_2020_2022[[#This Row],[Data da Venda]],"mmm"))</f>
        <v>OUT</v>
      </c>
    </row>
    <row r="2939" spans="1:13" x14ac:dyDescent="0.25">
      <c r="A2939" t="s">
        <v>5</v>
      </c>
      <c r="B2939">
        <v>1750</v>
      </c>
      <c r="C2939">
        <v>3</v>
      </c>
      <c r="D2939" t="s">
        <v>40</v>
      </c>
      <c r="E2939" t="s">
        <v>657</v>
      </c>
      <c r="F2939" t="s">
        <v>1010</v>
      </c>
      <c r="G2939" t="s">
        <v>643</v>
      </c>
      <c r="H2939">
        <v>45</v>
      </c>
      <c r="I2939" t="s">
        <v>644</v>
      </c>
      <c r="J2939">
        <v>5250</v>
      </c>
      <c r="K2939" s="1">
        <v>44264</v>
      </c>
      <c r="L2939">
        <v>2021</v>
      </c>
      <c r="M2939" t="str">
        <f>UPPER(TEXT(_2020_2022[[#This Row],[Data da Venda]],"mmm"))</f>
        <v>MAR</v>
      </c>
    </row>
    <row r="2940" spans="1:13" x14ac:dyDescent="0.25">
      <c r="A2940" t="s">
        <v>12</v>
      </c>
      <c r="B2940">
        <v>6500</v>
      </c>
      <c r="C2940">
        <v>2</v>
      </c>
      <c r="D2940" t="s">
        <v>34</v>
      </c>
      <c r="E2940" t="s">
        <v>679</v>
      </c>
      <c r="F2940" t="s">
        <v>1235</v>
      </c>
      <c r="G2940" t="s">
        <v>643</v>
      </c>
      <c r="H2940">
        <v>67</v>
      </c>
      <c r="I2940" t="s">
        <v>647</v>
      </c>
      <c r="J2940">
        <v>13000</v>
      </c>
      <c r="K2940" s="1">
        <v>44213</v>
      </c>
      <c r="L2940">
        <v>2021</v>
      </c>
      <c r="M2940" t="str">
        <f>UPPER(TEXT(_2020_2022[[#This Row],[Data da Venda]],"mmm"))</f>
        <v>JAN</v>
      </c>
    </row>
    <row r="2941" spans="1:13" x14ac:dyDescent="0.25">
      <c r="A2941" t="s">
        <v>21</v>
      </c>
      <c r="B2941">
        <v>2400</v>
      </c>
      <c r="C2941">
        <v>4</v>
      </c>
      <c r="D2941" t="s">
        <v>29</v>
      </c>
      <c r="E2941" t="s">
        <v>641</v>
      </c>
      <c r="F2941" t="s">
        <v>1070</v>
      </c>
      <c r="G2941" t="s">
        <v>643</v>
      </c>
      <c r="H2941">
        <v>49</v>
      </c>
      <c r="I2941" t="s">
        <v>644</v>
      </c>
      <c r="J2941">
        <v>9600</v>
      </c>
      <c r="K2941" s="1">
        <v>44261</v>
      </c>
      <c r="L2941">
        <v>2021</v>
      </c>
      <c r="M2941" t="str">
        <f>UPPER(TEXT(_2020_2022[[#This Row],[Data da Venda]],"mmm"))</f>
        <v>MAR</v>
      </c>
    </row>
    <row r="2942" spans="1:13" x14ac:dyDescent="0.25">
      <c r="A2942" t="s">
        <v>16</v>
      </c>
      <c r="B2942">
        <v>1400</v>
      </c>
      <c r="C2942">
        <v>4</v>
      </c>
      <c r="D2942" t="s">
        <v>37</v>
      </c>
      <c r="E2942" t="s">
        <v>645</v>
      </c>
      <c r="F2942" t="s">
        <v>1414</v>
      </c>
      <c r="G2942" t="s">
        <v>643</v>
      </c>
      <c r="H2942">
        <v>71</v>
      </c>
      <c r="I2942" t="s">
        <v>647</v>
      </c>
      <c r="J2942">
        <v>5600</v>
      </c>
      <c r="K2942" s="1">
        <v>44502</v>
      </c>
      <c r="L2942">
        <v>2021</v>
      </c>
      <c r="M2942" t="str">
        <f>UPPER(TEXT(_2020_2022[[#This Row],[Data da Venda]],"mmm"))</f>
        <v>NOV</v>
      </c>
    </row>
    <row r="2943" spans="1:13" x14ac:dyDescent="0.25">
      <c r="A2943" t="s">
        <v>12</v>
      </c>
      <c r="B2943">
        <v>6500</v>
      </c>
      <c r="C2943">
        <v>5</v>
      </c>
      <c r="D2943" t="s">
        <v>33</v>
      </c>
      <c r="E2943" t="s">
        <v>641</v>
      </c>
      <c r="F2943" t="s">
        <v>1289</v>
      </c>
      <c r="G2943" t="s">
        <v>643</v>
      </c>
      <c r="H2943">
        <v>51</v>
      </c>
      <c r="I2943" t="s">
        <v>647</v>
      </c>
      <c r="J2943">
        <v>32500</v>
      </c>
      <c r="K2943" s="1">
        <v>44429</v>
      </c>
      <c r="L2943">
        <v>2021</v>
      </c>
      <c r="M2943" t="str">
        <f>UPPER(TEXT(_2020_2022[[#This Row],[Data da Venda]],"mmm"))</f>
        <v>AGO</v>
      </c>
    </row>
    <row r="2944" spans="1:13" x14ac:dyDescent="0.25">
      <c r="A2944" t="s">
        <v>1443</v>
      </c>
      <c r="B2944">
        <v>1550</v>
      </c>
      <c r="C2944">
        <v>2</v>
      </c>
      <c r="D2944" t="s">
        <v>31</v>
      </c>
      <c r="E2944" t="s">
        <v>645</v>
      </c>
      <c r="F2944" t="s">
        <v>1279</v>
      </c>
      <c r="G2944" t="s">
        <v>643</v>
      </c>
      <c r="H2944">
        <v>30</v>
      </c>
      <c r="I2944" t="s">
        <v>644</v>
      </c>
      <c r="J2944">
        <v>3100</v>
      </c>
      <c r="K2944" s="1">
        <v>44444</v>
      </c>
      <c r="L2944">
        <v>2021</v>
      </c>
      <c r="M2944" t="str">
        <f>UPPER(TEXT(_2020_2022[[#This Row],[Data da Venda]],"mmm"))</f>
        <v>SET</v>
      </c>
    </row>
    <row r="2945" spans="1:13" x14ac:dyDescent="0.25">
      <c r="A2945" t="s">
        <v>11</v>
      </c>
      <c r="B2945">
        <v>4500</v>
      </c>
      <c r="C2945">
        <v>5</v>
      </c>
      <c r="D2945" t="s">
        <v>37</v>
      </c>
      <c r="E2945" t="s">
        <v>645</v>
      </c>
      <c r="F2945" t="s">
        <v>646</v>
      </c>
      <c r="G2945" t="s">
        <v>643</v>
      </c>
      <c r="H2945">
        <v>64</v>
      </c>
      <c r="I2945" t="s">
        <v>647</v>
      </c>
      <c r="J2945">
        <v>22500</v>
      </c>
      <c r="K2945" s="1">
        <v>44309</v>
      </c>
      <c r="L2945">
        <v>2021</v>
      </c>
      <c r="M2945" t="str">
        <f>UPPER(TEXT(_2020_2022[[#This Row],[Data da Venda]],"mmm"))</f>
        <v>ABR</v>
      </c>
    </row>
    <row r="2946" spans="1:13" x14ac:dyDescent="0.25">
      <c r="A2946" t="s">
        <v>1441</v>
      </c>
      <c r="B2946">
        <v>1450</v>
      </c>
      <c r="C2946">
        <v>1</v>
      </c>
      <c r="D2946" t="s">
        <v>40</v>
      </c>
      <c r="E2946" t="s">
        <v>657</v>
      </c>
      <c r="F2946" t="s">
        <v>784</v>
      </c>
      <c r="G2946" t="s">
        <v>650</v>
      </c>
      <c r="H2946">
        <v>41</v>
      </c>
      <c r="I2946" t="s">
        <v>644</v>
      </c>
      <c r="J2946">
        <v>1450</v>
      </c>
      <c r="K2946" s="1">
        <v>44551</v>
      </c>
      <c r="L2946">
        <v>2021</v>
      </c>
      <c r="M2946" t="str">
        <f>UPPER(TEXT(_2020_2022[[#This Row],[Data da Venda]],"mmm"))</f>
        <v>DEZ</v>
      </c>
    </row>
    <row r="2947" spans="1:13" x14ac:dyDescent="0.25">
      <c r="A2947" t="s">
        <v>11</v>
      </c>
      <c r="B2947">
        <v>4500</v>
      </c>
      <c r="C2947">
        <v>3</v>
      </c>
      <c r="D2947" t="s">
        <v>36</v>
      </c>
      <c r="E2947" t="s">
        <v>677</v>
      </c>
      <c r="F2947" t="s">
        <v>976</v>
      </c>
      <c r="G2947" t="s">
        <v>643</v>
      </c>
      <c r="H2947">
        <v>34</v>
      </c>
      <c r="I2947" t="s">
        <v>644</v>
      </c>
      <c r="J2947">
        <v>13500</v>
      </c>
      <c r="K2947" s="1">
        <v>44256</v>
      </c>
      <c r="L2947">
        <v>2021</v>
      </c>
      <c r="M2947" t="str">
        <f>UPPER(TEXT(_2020_2022[[#This Row],[Data da Venda]],"mmm"))</f>
        <v>MAR</v>
      </c>
    </row>
    <row r="2948" spans="1:13" x14ac:dyDescent="0.25">
      <c r="A2948" t="s">
        <v>1442</v>
      </c>
      <c r="B2948">
        <v>1200</v>
      </c>
      <c r="C2948">
        <v>5</v>
      </c>
      <c r="D2948" t="s">
        <v>31</v>
      </c>
      <c r="E2948" t="s">
        <v>645</v>
      </c>
      <c r="F2948" t="s">
        <v>1064</v>
      </c>
      <c r="G2948" t="s">
        <v>643</v>
      </c>
      <c r="H2948">
        <v>64</v>
      </c>
      <c r="I2948" t="s">
        <v>647</v>
      </c>
      <c r="J2948">
        <v>6000</v>
      </c>
      <c r="K2948" s="1">
        <v>44388</v>
      </c>
      <c r="L2948">
        <v>2021</v>
      </c>
      <c r="M2948" t="str">
        <f>UPPER(TEXT(_2020_2022[[#This Row],[Data da Venda]],"mmm"))</f>
        <v>JUL</v>
      </c>
    </row>
    <row r="2949" spans="1:13" x14ac:dyDescent="0.25">
      <c r="A2949" t="s">
        <v>24</v>
      </c>
      <c r="B2949">
        <v>2000</v>
      </c>
      <c r="C2949">
        <v>3</v>
      </c>
      <c r="D2949" t="s">
        <v>33</v>
      </c>
      <c r="E2949" t="s">
        <v>641</v>
      </c>
      <c r="F2949" t="s">
        <v>851</v>
      </c>
      <c r="G2949" t="s">
        <v>650</v>
      </c>
      <c r="H2949">
        <v>72</v>
      </c>
      <c r="I2949" t="s">
        <v>647</v>
      </c>
      <c r="J2949">
        <v>6000</v>
      </c>
      <c r="K2949" s="1">
        <v>44370</v>
      </c>
      <c r="L2949">
        <v>2021</v>
      </c>
      <c r="M2949" t="str">
        <f>UPPER(TEXT(_2020_2022[[#This Row],[Data da Venda]],"mmm"))</f>
        <v>JUN</v>
      </c>
    </row>
    <row r="2950" spans="1:13" x14ac:dyDescent="0.25">
      <c r="A2950" t="s">
        <v>1442</v>
      </c>
      <c r="B2950">
        <v>1200</v>
      </c>
      <c r="C2950">
        <v>3</v>
      </c>
      <c r="D2950" t="s">
        <v>34</v>
      </c>
      <c r="E2950" t="s">
        <v>679</v>
      </c>
      <c r="F2950" t="s">
        <v>1141</v>
      </c>
      <c r="G2950" t="s">
        <v>643</v>
      </c>
      <c r="H2950">
        <v>43</v>
      </c>
      <c r="I2950" t="s">
        <v>644</v>
      </c>
      <c r="J2950">
        <v>3600</v>
      </c>
      <c r="K2950" s="1">
        <v>44519</v>
      </c>
      <c r="L2950">
        <v>2021</v>
      </c>
      <c r="M2950" t="str">
        <f>UPPER(TEXT(_2020_2022[[#This Row],[Data da Venda]],"mmm"))</f>
        <v>NOV</v>
      </c>
    </row>
    <row r="2951" spans="1:13" x14ac:dyDescent="0.25">
      <c r="A2951" t="s">
        <v>1445</v>
      </c>
      <c r="B2951">
        <v>1500</v>
      </c>
      <c r="C2951">
        <v>3</v>
      </c>
      <c r="D2951" t="s">
        <v>30</v>
      </c>
      <c r="E2951" t="s">
        <v>645</v>
      </c>
      <c r="F2951" t="s">
        <v>660</v>
      </c>
      <c r="G2951" t="s">
        <v>643</v>
      </c>
      <c r="H2951">
        <v>56</v>
      </c>
      <c r="I2951" t="s">
        <v>647</v>
      </c>
      <c r="J2951">
        <v>4500</v>
      </c>
      <c r="K2951" s="1">
        <v>44417</v>
      </c>
      <c r="L2951">
        <v>2021</v>
      </c>
      <c r="M2951" t="str">
        <f>UPPER(TEXT(_2020_2022[[#This Row],[Data da Venda]],"mmm"))</f>
        <v>AGO</v>
      </c>
    </row>
    <row r="2952" spans="1:13" x14ac:dyDescent="0.25">
      <c r="A2952" t="s">
        <v>9</v>
      </c>
      <c r="B2952">
        <v>1500</v>
      </c>
      <c r="C2952">
        <v>1</v>
      </c>
      <c r="D2952" t="s">
        <v>34</v>
      </c>
      <c r="E2952" t="s">
        <v>679</v>
      </c>
      <c r="F2952" t="s">
        <v>1055</v>
      </c>
      <c r="G2952" t="s">
        <v>650</v>
      </c>
      <c r="H2952">
        <v>67</v>
      </c>
      <c r="I2952" t="s">
        <v>647</v>
      </c>
      <c r="J2952">
        <v>1500</v>
      </c>
      <c r="K2952" s="1">
        <v>44348</v>
      </c>
      <c r="L2952">
        <v>2021</v>
      </c>
      <c r="M2952" t="str">
        <f>UPPER(TEXT(_2020_2022[[#This Row],[Data da Venda]],"mmm"))</f>
        <v>JUN</v>
      </c>
    </row>
    <row r="2953" spans="1:13" x14ac:dyDescent="0.25">
      <c r="A2953" t="s">
        <v>7</v>
      </c>
      <c r="B2953">
        <v>750</v>
      </c>
      <c r="C2953">
        <v>1</v>
      </c>
      <c r="D2953" t="s">
        <v>38</v>
      </c>
      <c r="E2953" t="s">
        <v>648</v>
      </c>
      <c r="F2953" t="s">
        <v>931</v>
      </c>
      <c r="G2953" t="s">
        <v>650</v>
      </c>
      <c r="H2953">
        <v>54</v>
      </c>
      <c r="I2953" t="s">
        <v>647</v>
      </c>
      <c r="J2953">
        <v>750</v>
      </c>
      <c r="K2953" s="1">
        <v>44424</v>
      </c>
      <c r="L2953">
        <v>2021</v>
      </c>
      <c r="M2953" t="str">
        <f>UPPER(TEXT(_2020_2022[[#This Row],[Data da Venda]],"mmm"))</f>
        <v>AGO</v>
      </c>
    </row>
    <row r="2954" spans="1:13" x14ac:dyDescent="0.25">
      <c r="A2954" t="s">
        <v>9</v>
      </c>
      <c r="B2954">
        <v>1500</v>
      </c>
      <c r="C2954">
        <v>5</v>
      </c>
      <c r="D2954" t="s">
        <v>38</v>
      </c>
      <c r="E2954" t="s">
        <v>648</v>
      </c>
      <c r="F2954" t="s">
        <v>1107</v>
      </c>
      <c r="G2954" t="s">
        <v>650</v>
      </c>
      <c r="H2954">
        <v>40</v>
      </c>
      <c r="I2954" t="s">
        <v>644</v>
      </c>
      <c r="J2954">
        <v>7500</v>
      </c>
      <c r="K2954" s="1">
        <v>44449</v>
      </c>
      <c r="L2954">
        <v>2021</v>
      </c>
      <c r="M2954" t="str">
        <f>UPPER(TEXT(_2020_2022[[#This Row],[Data da Venda]],"mmm"))</f>
        <v>SET</v>
      </c>
    </row>
    <row r="2955" spans="1:13" x14ac:dyDescent="0.25">
      <c r="A2955" t="s">
        <v>1442</v>
      </c>
      <c r="B2955">
        <v>1200</v>
      </c>
      <c r="C2955">
        <v>2</v>
      </c>
      <c r="D2955" t="s">
        <v>32</v>
      </c>
      <c r="E2955" t="s">
        <v>652</v>
      </c>
      <c r="F2955" t="s">
        <v>893</v>
      </c>
      <c r="G2955" t="s">
        <v>650</v>
      </c>
      <c r="H2955">
        <v>69</v>
      </c>
      <c r="I2955" t="s">
        <v>647</v>
      </c>
      <c r="J2955">
        <v>2400</v>
      </c>
      <c r="K2955" s="1">
        <v>44407</v>
      </c>
      <c r="L2955">
        <v>2021</v>
      </c>
      <c r="M2955" t="str">
        <f>UPPER(TEXT(_2020_2022[[#This Row],[Data da Venda]],"mmm"))</f>
        <v>JUL</v>
      </c>
    </row>
    <row r="2956" spans="1:13" x14ac:dyDescent="0.25">
      <c r="A2956" t="s">
        <v>9</v>
      </c>
      <c r="B2956">
        <v>1500</v>
      </c>
      <c r="C2956">
        <v>4</v>
      </c>
      <c r="D2956" t="s">
        <v>35</v>
      </c>
      <c r="E2956" t="s">
        <v>666</v>
      </c>
      <c r="F2956" t="s">
        <v>794</v>
      </c>
      <c r="G2956" t="s">
        <v>650</v>
      </c>
      <c r="H2956">
        <v>25</v>
      </c>
      <c r="I2956" t="s">
        <v>651</v>
      </c>
      <c r="J2956">
        <v>6000</v>
      </c>
      <c r="K2956" s="1">
        <v>44412</v>
      </c>
      <c r="L2956">
        <v>2021</v>
      </c>
      <c r="M2956" t="str">
        <f>UPPER(TEXT(_2020_2022[[#This Row],[Data da Venda]],"mmm"))</f>
        <v>AGO</v>
      </c>
    </row>
    <row r="2957" spans="1:13" x14ac:dyDescent="0.25">
      <c r="A2957" t="s">
        <v>21</v>
      </c>
      <c r="B2957">
        <v>2400</v>
      </c>
      <c r="C2957">
        <v>4</v>
      </c>
      <c r="D2957" t="s">
        <v>29</v>
      </c>
      <c r="E2957" t="s">
        <v>641</v>
      </c>
      <c r="F2957" t="s">
        <v>843</v>
      </c>
      <c r="G2957" t="s">
        <v>650</v>
      </c>
      <c r="H2957">
        <v>73</v>
      </c>
      <c r="I2957" t="s">
        <v>647</v>
      </c>
      <c r="J2957">
        <v>9600</v>
      </c>
      <c r="K2957" s="1">
        <v>44204</v>
      </c>
      <c r="L2957">
        <v>2021</v>
      </c>
      <c r="M2957" t="str">
        <f>UPPER(TEXT(_2020_2022[[#This Row],[Data da Venda]],"mmm"))</f>
        <v>JAN</v>
      </c>
    </row>
    <row r="2958" spans="1:13" x14ac:dyDescent="0.25">
      <c r="A2958" t="s">
        <v>1445</v>
      </c>
      <c r="B2958">
        <v>1500</v>
      </c>
      <c r="C2958">
        <v>1</v>
      </c>
      <c r="D2958" t="s">
        <v>41</v>
      </c>
      <c r="E2958" t="s">
        <v>681</v>
      </c>
      <c r="F2958" t="s">
        <v>1260</v>
      </c>
      <c r="G2958" t="s">
        <v>650</v>
      </c>
      <c r="H2958">
        <v>38</v>
      </c>
      <c r="I2958" t="s">
        <v>644</v>
      </c>
      <c r="J2958">
        <v>1500</v>
      </c>
      <c r="K2958" s="1">
        <v>44501</v>
      </c>
      <c r="L2958">
        <v>2021</v>
      </c>
      <c r="M2958" t="str">
        <f>UPPER(TEXT(_2020_2022[[#This Row],[Data da Venda]],"mmm"))</f>
        <v>NOV</v>
      </c>
    </row>
    <row r="2959" spans="1:13" x14ac:dyDescent="0.25">
      <c r="A2959" t="s">
        <v>1443</v>
      </c>
      <c r="B2959">
        <v>1550</v>
      </c>
      <c r="C2959">
        <v>1</v>
      </c>
      <c r="D2959" t="s">
        <v>30</v>
      </c>
      <c r="E2959" t="s">
        <v>645</v>
      </c>
      <c r="F2959" t="s">
        <v>940</v>
      </c>
      <c r="G2959" t="s">
        <v>650</v>
      </c>
      <c r="H2959">
        <v>45</v>
      </c>
      <c r="I2959" t="s">
        <v>644</v>
      </c>
      <c r="J2959">
        <v>1550</v>
      </c>
      <c r="K2959" s="1">
        <v>44330</v>
      </c>
      <c r="L2959">
        <v>2021</v>
      </c>
      <c r="M2959" t="str">
        <f>UPPER(TEXT(_2020_2022[[#This Row],[Data da Venda]],"mmm"))</f>
        <v>MAI</v>
      </c>
    </row>
    <row r="2960" spans="1:13" x14ac:dyDescent="0.25">
      <c r="A2960" t="s">
        <v>16</v>
      </c>
      <c r="B2960">
        <v>1400</v>
      </c>
      <c r="C2960">
        <v>5</v>
      </c>
      <c r="D2960" t="s">
        <v>31</v>
      </c>
      <c r="E2960" t="s">
        <v>645</v>
      </c>
      <c r="F2960" t="s">
        <v>1075</v>
      </c>
      <c r="G2960" t="s">
        <v>643</v>
      </c>
      <c r="H2960">
        <v>73</v>
      </c>
      <c r="I2960" t="s">
        <v>647</v>
      </c>
      <c r="J2960">
        <v>7000</v>
      </c>
      <c r="K2960" s="1">
        <v>44318</v>
      </c>
      <c r="L2960">
        <v>2021</v>
      </c>
      <c r="M2960" t="str">
        <f>UPPER(TEXT(_2020_2022[[#This Row],[Data da Venda]],"mmm"))</f>
        <v>MAI</v>
      </c>
    </row>
    <row r="2961" spans="1:13" x14ac:dyDescent="0.25">
      <c r="A2961" t="s">
        <v>1441</v>
      </c>
      <c r="B2961">
        <v>1450</v>
      </c>
      <c r="C2961">
        <v>3</v>
      </c>
      <c r="D2961" t="s">
        <v>33</v>
      </c>
      <c r="E2961" t="s">
        <v>641</v>
      </c>
      <c r="F2961" t="s">
        <v>917</v>
      </c>
      <c r="G2961" t="s">
        <v>643</v>
      </c>
      <c r="H2961">
        <v>45</v>
      </c>
      <c r="I2961" t="s">
        <v>644</v>
      </c>
      <c r="J2961">
        <v>4350</v>
      </c>
      <c r="K2961" s="1">
        <v>44497</v>
      </c>
      <c r="L2961">
        <v>2021</v>
      </c>
      <c r="M2961" t="str">
        <f>UPPER(TEXT(_2020_2022[[#This Row],[Data da Venda]],"mmm"))</f>
        <v>OUT</v>
      </c>
    </row>
    <row r="2962" spans="1:13" x14ac:dyDescent="0.25">
      <c r="A2962" t="s">
        <v>1442</v>
      </c>
      <c r="B2962">
        <v>1200</v>
      </c>
      <c r="C2962">
        <v>5</v>
      </c>
      <c r="D2962" t="s">
        <v>41</v>
      </c>
      <c r="E2962" t="s">
        <v>681</v>
      </c>
      <c r="F2962" t="s">
        <v>1213</v>
      </c>
      <c r="G2962" t="s">
        <v>643</v>
      </c>
      <c r="H2962">
        <v>56</v>
      </c>
      <c r="I2962" t="s">
        <v>647</v>
      </c>
      <c r="J2962">
        <v>6000</v>
      </c>
      <c r="K2962" s="1">
        <v>44527</v>
      </c>
      <c r="L2962">
        <v>2021</v>
      </c>
      <c r="M2962" t="str">
        <f>UPPER(TEXT(_2020_2022[[#This Row],[Data da Venda]],"mmm"))</f>
        <v>NOV</v>
      </c>
    </row>
    <row r="2963" spans="1:13" x14ac:dyDescent="0.25">
      <c r="A2963" t="s">
        <v>9</v>
      </c>
      <c r="B2963">
        <v>1500</v>
      </c>
      <c r="C2963">
        <v>2</v>
      </c>
      <c r="D2963" t="s">
        <v>31</v>
      </c>
      <c r="E2963" t="s">
        <v>645</v>
      </c>
      <c r="F2963" t="s">
        <v>1026</v>
      </c>
      <c r="G2963" t="s">
        <v>643</v>
      </c>
      <c r="H2963">
        <v>53</v>
      </c>
      <c r="I2963" t="s">
        <v>647</v>
      </c>
      <c r="J2963">
        <v>3000</v>
      </c>
      <c r="K2963" s="1">
        <v>44526</v>
      </c>
      <c r="L2963">
        <v>2021</v>
      </c>
      <c r="M2963" t="str">
        <f>UPPER(TEXT(_2020_2022[[#This Row],[Data da Venda]],"mmm"))</f>
        <v>NOV</v>
      </c>
    </row>
    <row r="2964" spans="1:13" x14ac:dyDescent="0.25">
      <c r="A2964" t="s">
        <v>24</v>
      </c>
      <c r="B2964">
        <v>2000</v>
      </c>
      <c r="C2964">
        <v>2</v>
      </c>
      <c r="D2964" t="s">
        <v>30</v>
      </c>
      <c r="E2964" t="s">
        <v>645</v>
      </c>
      <c r="F2964" t="s">
        <v>850</v>
      </c>
      <c r="G2964" t="s">
        <v>650</v>
      </c>
      <c r="H2964">
        <v>33</v>
      </c>
      <c r="I2964" t="s">
        <v>644</v>
      </c>
      <c r="J2964">
        <v>4000</v>
      </c>
      <c r="K2964" s="1">
        <v>44488</v>
      </c>
      <c r="L2964">
        <v>2021</v>
      </c>
      <c r="M2964" t="str">
        <f>UPPER(TEXT(_2020_2022[[#This Row],[Data da Venda]],"mmm"))</f>
        <v>OUT</v>
      </c>
    </row>
    <row r="2965" spans="1:13" x14ac:dyDescent="0.25">
      <c r="A2965" t="s">
        <v>7</v>
      </c>
      <c r="B2965">
        <v>750</v>
      </c>
      <c r="C2965">
        <v>5</v>
      </c>
      <c r="D2965" t="s">
        <v>40</v>
      </c>
      <c r="E2965" t="s">
        <v>657</v>
      </c>
      <c r="F2965" t="s">
        <v>1230</v>
      </c>
      <c r="G2965" t="s">
        <v>643</v>
      </c>
      <c r="H2965">
        <v>37</v>
      </c>
      <c r="I2965" t="s">
        <v>644</v>
      </c>
      <c r="J2965">
        <v>3750</v>
      </c>
      <c r="K2965" s="1">
        <v>44249</v>
      </c>
      <c r="L2965">
        <v>2021</v>
      </c>
      <c r="M2965" t="str">
        <f>UPPER(TEXT(_2020_2022[[#This Row],[Data da Venda]],"mmm"))</f>
        <v>FEV</v>
      </c>
    </row>
    <row r="2966" spans="1:13" x14ac:dyDescent="0.25">
      <c r="A2966" t="s">
        <v>9</v>
      </c>
      <c r="B2966">
        <v>1500</v>
      </c>
      <c r="C2966">
        <v>2</v>
      </c>
      <c r="D2966" t="s">
        <v>39</v>
      </c>
      <c r="E2966" t="s">
        <v>641</v>
      </c>
      <c r="F2966" t="s">
        <v>1001</v>
      </c>
      <c r="G2966" t="s">
        <v>643</v>
      </c>
      <c r="H2966">
        <v>40</v>
      </c>
      <c r="I2966" t="s">
        <v>644</v>
      </c>
      <c r="J2966">
        <v>3000</v>
      </c>
      <c r="K2966" s="1">
        <v>44498</v>
      </c>
      <c r="L2966">
        <v>2021</v>
      </c>
      <c r="M2966" t="str">
        <f>UPPER(TEXT(_2020_2022[[#This Row],[Data da Venda]],"mmm"))</f>
        <v>OUT</v>
      </c>
    </row>
    <row r="2967" spans="1:13" x14ac:dyDescent="0.25">
      <c r="A2967" t="s">
        <v>16</v>
      </c>
      <c r="B2967">
        <v>1400</v>
      </c>
      <c r="C2967">
        <v>1</v>
      </c>
      <c r="D2967" t="s">
        <v>40</v>
      </c>
      <c r="E2967" t="s">
        <v>657</v>
      </c>
      <c r="F2967" t="s">
        <v>1380</v>
      </c>
      <c r="G2967" t="s">
        <v>643</v>
      </c>
      <c r="H2967">
        <v>59</v>
      </c>
      <c r="I2967" t="s">
        <v>647</v>
      </c>
      <c r="J2967">
        <v>1400</v>
      </c>
      <c r="K2967" s="1">
        <v>44457</v>
      </c>
      <c r="L2967">
        <v>2021</v>
      </c>
      <c r="M2967" t="str">
        <f>UPPER(TEXT(_2020_2022[[#This Row],[Data da Venda]],"mmm"))</f>
        <v>SET</v>
      </c>
    </row>
    <row r="2968" spans="1:13" x14ac:dyDescent="0.25">
      <c r="A2968" t="s">
        <v>8</v>
      </c>
      <c r="B2968">
        <v>5500</v>
      </c>
      <c r="C2968">
        <v>2</v>
      </c>
      <c r="D2968" t="s">
        <v>40</v>
      </c>
      <c r="E2968" t="s">
        <v>657</v>
      </c>
      <c r="F2968" t="s">
        <v>1180</v>
      </c>
      <c r="G2968" t="s">
        <v>643</v>
      </c>
      <c r="H2968">
        <v>35</v>
      </c>
      <c r="I2968" t="s">
        <v>644</v>
      </c>
      <c r="J2968">
        <v>11000</v>
      </c>
      <c r="K2968" s="1">
        <v>44223</v>
      </c>
      <c r="L2968">
        <v>2021</v>
      </c>
      <c r="M2968" t="str">
        <f>UPPER(TEXT(_2020_2022[[#This Row],[Data da Venda]],"mmm"))</f>
        <v>JAN</v>
      </c>
    </row>
    <row r="2969" spans="1:13" x14ac:dyDescent="0.25">
      <c r="A2969" t="s">
        <v>25</v>
      </c>
      <c r="B2969">
        <v>2500</v>
      </c>
      <c r="C2969">
        <v>1</v>
      </c>
      <c r="D2969" t="s">
        <v>36</v>
      </c>
      <c r="E2969" t="s">
        <v>677</v>
      </c>
      <c r="F2969" t="s">
        <v>838</v>
      </c>
      <c r="G2969" t="s">
        <v>643</v>
      </c>
      <c r="H2969">
        <v>53</v>
      </c>
      <c r="I2969" t="s">
        <v>647</v>
      </c>
      <c r="J2969">
        <v>2500</v>
      </c>
      <c r="K2969" s="1">
        <v>44368</v>
      </c>
      <c r="L2969">
        <v>2021</v>
      </c>
      <c r="M2969" t="str">
        <f>UPPER(TEXT(_2020_2022[[#This Row],[Data da Venda]],"mmm"))</f>
        <v>JUN</v>
      </c>
    </row>
    <row r="2970" spans="1:13" x14ac:dyDescent="0.25">
      <c r="A2970" t="s">
        <v>21</v>
      </c>
      <c r="B2970">
        <v>2400</v>
      </c>
      <c r="C2970">
        <v>1</v>
      </c>
      <c r="D2970" t="s">
        <v>31</v>
      </c>
      <c r="E2970" t="s">
        <v>645</v>
      </c>
      <c r="F2970" t="s">
        <v>815</v>
      </c>
      <c r="G2970" t="s">
        <v>643</v>
      </c>
      <c r="H2970">
        <v>59</v>
      </c>
      <c r="I2970" t="s">
        <v>647</v>
      </c>
      <c r="J2970">
        <v>2400</v>
      </c>
      <c r="K2970" s="1">
        <v>44408</v>
      </c>
      <c r="L2970">
        <v>2021</v>
      </c>
      <c r="M2970" t="str">
        <f>UPPER(TEXT(_2020_2022[[#This Row],[Data da Venda]],"mmm"))</f>
        <v>JUL</v>
      </c>
    </row>
    <row r="2971" spans="1:13" x14ac:dyDescent="0.25">
      <c r="A2971" t="s">
        <v>20</v>
      </c>
      <c r="B2971">
        <v>2600</v>
      </c>
      <c r="C2971">
        <v>2</v>
      </c>
      <c r="D2971" t="s">
        <v>35</v>
      </c>
      <c r="E2971" t="s">
        <v>666</v>
      </c>
      <c r="F2971" t="s">
        <v>767</v>
      </c>
      <c r="G2971" t="s">
        <v>643</v>
      </c>
      <c r="H2971">
        <v>62</v>
      </c>
      <c r="I2971" t="s">
        <v>647</v>
      </c>
      <c r="J2971">
        <v>5200</v>
      </c>
      <c r="K2971" s="1">
        <v>44211</v>
      </c>
      <c r="L2971">
        <v>2021</v>
      </c>
      <c r="M2971" t="str">
        <f>UPPER(TEXT(_2020_2022[[#This Row],[Data da Venda]],"mmm"))</f>
        <v>JAN</v>
      </c>
    </row>
    <row r="2972" spans="1:13" x14ac:dyDescent="0.25">
      <c r="A2972" t="s">
        <v>11</v>
      </c>
      <c r="B2972">
        <v>4500</v>
      </c>
      <c r="C2972">
        <v>1</v>
      </c>
      <c r="D2972" t="s">
        <v>35</v>
      </c>
      <c r="E2972" t="s">
        <v>666</v>
      </c>
      <c r="F2972" t="s">
        <v>1062</v>
      </c>
      <c r="G2972" t="s">
        <v>650</v>
      </c>
      <c r="H2972">
        <v>56</v>
      </c>
      <c r="I2972" t="s">
        <v>647</v>
      </c>
      <c r="J2972">
        <v>4500</v>
      </c>
      <c r="K2972" s="1">
        <v>44419</v>
      </c>
      <c r="L2972">
        <v>2021</v>
      </c>
      <c r="M2972" t="str">
        <f>UPPER(TEXT(_2020_2022[[#This Row],[Data da Venda]],"mmm"))</f>
        <v>AGO</v>
      </c>
    </row>
    <row r="2973" spans="1:13" x14ac:dyDescent="0.25">
      <c r="A2973" t="s">
        <v>16</v>
      </c>
      <c r="B2973">
        <v>1400</v>
      </c>
      <c r="C2973">
        <v>5</v>
      </c>
      <c r="D2973" t="s">
        <v>35</v>
      </c>
      <c r="E2973" t="s">
        <v>666</v>
      </c>
      <c r="F2973" t="s">
        <v>1006</v>
      </c>
      <c r="G2973" t="s">
        <v>650</v>
      </c>
      <c r="H2973">
        <v>27</v>
      </c>
      <c r="I2973" t="s">
        <v>651</v>
      </c>
      <c r="J2973">
        <v>7000</v>
      </c>
      <c r="K2973" s="1">
        <v>44253</v>
      </c>
      <c r="L2973">
        <v>2021</v>
      </c>
      <c r="M2973" t="str">
        <f>UPPER(TEXT(_2020_2022[[#This Row],[Data da Venda]],"mmm"))</f>
        <v>FEV</v>
      </c>
    </row>
    <row r="2974" spans="1:13" x14ac:dyDescent="0.25">
      <c r="A2974" t="s">
        <v>12</v>
      </c>
      <c r="B2974">
        <v>6500</v>
      </c>
      <c r="C2974">
        <v>5</v>
      </c>
      <c r="D2974" t="s">
        <v>33</v>
      </c>
      <c r="E2974" t="s">
        <v>641</v>
      </c>
      <c r="F2974" t="s">
        <v>1399</v>
      </c>
      <c r="G2974" t="s">
        <v>650</v>
      </c>
      <c r="H2974">
        <v>31</v>
      </c>
      <c r="I2974" t="s">
        <v>644</v>
      </c>
      <c r="J2974">
        <v>32500</v>
      </c>
      <c r="K2974" s="1">
        <v>44505</v>
      </c>
      <c r="L2974">
        <v>2021</v>
      </c>
      <c r="M2974" t="str">
        <f>UPPER(TEXT(_2020_2022[[#This Row],[Data da Venda]],"mmm"))</f>
        <v>NOV</v>
      </c>
    </row>
    <row r="2975" spans="1:13" x14ac:dyDescent="0.25">
      <c r="A2975" t="s">
        <v>14</v>
      </c>
      <c r="B2975">
        <v>2000</v>
      </c>
      <c r="C2975">
        <v>4</v>
      </c>
      <c r="D2975" t="s">
        <v>41</v>
      </c>
      <c r="E2975" t="s">
        <v>681</v>
      </c>
      <c r="F2975" t="s">
        <v>1351</v>
      </c>
      <c r="G2975" t="s">
        <v>650</v>
      </c>
      <c r="H2975">
        <v>40</v>
      </c>
      <c r="I2975" t="s">
        <v>644</v>
      </c>
      <c r="J2975">
        <v>8000</v>
      </c>
      <c r="K2975" s="1">
        <v>44491</v>
      </c>
      <c r="L2975">
        <v>2021</v>
      </c>
      <c r="M2975" t="str">
        <f>UPPER(TEXT(_2020_2022[[#This Row],[Data da Venda]],"mmm"))</f>
        <v>OUT</v>
      </c>
    </row>
    <row r="2976" spans="1:13" x14ac:dyDescent="0.25">
      <c r="A2976" t="s">
        <v>1441</v>
      </c>
      <c r="B2976">
        <v>1450</v>
      </c>
      <c r="C2976">
        <v>2</v>
      </c>
      <c r="D2976" t="s">
        <v>31</v>
      </c>
      <c r="E2976" t="s">
        <v>645</v>
      </c>
      <c r="F2976" t="s">
        <v>1403</v>
      </c>
      <c r="G2976" t="s">
        <v>643</v>
      </c>
      <c r="H2976">
        <v>25</v>
      </c>
      <c r="I2976" t="s">
        <v>651</v>
      </c>
      <c r="J2976">
        <v>2900</v>
      </c>
      <c r="K2976" s="1">
        <v>44292</v>
      </c>
      <c r="L2976">
        <v>2021</v>
      </c>
      <c r="M2976" t="str">
        <f>UPPER(TEXT(_2020_2022[[#This Row],[Data da Venda]],"mmm"))</f>
        <v>ABR</v>
      </c>
    </row>
    <row r="2977" spans="1:13" x14ac:dyDescent="0.25">
      <c r="A2977" t="s">
        <v>12</v>
      </c>
      <c r="B2977">
        <v>6500</v>
      </c>
      <c r="C2977">
        <v>2</v>
      </c>
      <c r="D2977" t="s">
        <v>34</v>
      </c>
      <c r="E2977" t="s">
        <v>679</v>
      </c>
      <c r="F2977" t="s">
        <v>705</v>
      </c>
      <c r="G2977" t="s">
        <v>650</v>
      </c>
      <c r="H2977">
        <v>26</v>
      </c>
      <c r="I2977" t="s">
        <v>651</v>
      </c>
      <c r="J2977">
        <v>13000</v>
      </c>
      <c r="K2977" s="1">
        <v>44428</v>
      </c>
      <c r="L2977">
        <v>2021</v>
      </c>
      <c r="M2977" t="str">
        <f>UPPER(TEXT(_2020_2022[[#This Row],[Data da Venda]],"mmm"))</f>
        <v>AGO</v>
      </c>
    </row>
    <row r="2978" spans="1:13" x14ac:dyDescent="0.25">
      <c r="A2978" t="s">
        <v>8</v>
      </c>
      <c r="B2978">
        <v>5500</v>
      </c>
      <c r="C2978">
        <v>1</v>
      </c>
      <c r="D2978" t="s">
        <v>29</v>
      </c>
      <c r="E2978" t="s">
        <v>641</v>
      </c>
      <c r="F2978" t="s">
        <v>1242</v>
      </c>
      <c r="G2978" t="s">
        <v>643</v>
      </c>
      <c r="H2978">
        <v>52</v>
      </c>
      <c r="I2978" t="s">
        <v>647</v>
      </c>
      <c r="J2978">
        <v>5500</v>
      </c>
      <c r="K2978" s="1">
        <v>44415</v>
      </c>
      <c r="L2978">
        <v>2021</v>
      </c>
      <c r="M2978" t="str">
        <f>UPPER(TEXT(_2020_2022[[#This Row],[Data da Venda]],"mmm"))</f>
        <v>AGO</v>
      </c>
    </row>
    <row r="2979" spans="1:13" x14ac:dyDescent="0.25">
      <c r="A2979" t="s">
        <v>20</v>
      </c>
      <c r="B2979">
        <v>2600</v>
      </c>
      <c r="C2979">
        <v>3</v>
      </c>
      <c r="D2979" t="s">
        <v>29</v>
      </c>
      <c r="E2979" t="s">
        <v>641</v>
      </c>
      <c r="F2979" t="s">
        <v>1333</v>
      </c>
      <c r="G2979" t="s">
        <v>650</v>
      </c>
      <c r="H2979">
        <v>64</v>
      </c>
      <c r="I2979" t="s">
        <v>647</v>
      </c>
      <c r="J2979">
        <v>7800</v>
      </c>
      <c r="K2979" s="1">
        <v>44441</v>
      </c>
      <c r="L2979">
        <v>2021</v>
      </c>
      <c r="M2979" t="str">
        <f>UPPER(TEXT(_2020_2022[[#This Row],[Data da Venda]],"mmm"))</f>
        <v>SET</v>
      </c>
    </row>
    <row r="2980" spans="1:13" x14ac:dyDescent="0.25">
      <c r="A2980" t="s">
        <v>11</v>
      </c>
      <c r="B2980">
        <v>4500</v>
      </c>
      <c r="C2980">
        <v>2</v>
      </c>
      <c r="D2980" t="s">
        <v>37</v>
      </c>
      <c r="E2980" t="s">
        <v>645</v>
      </c>
      <c r="F2980" t="s">
        <v>1217</v>
      </c>
      <c r="G2980" t="s">
        <v>650</v>
      </c>
      <c r="H2980">
        <v>67</v>
      </c>
      <c r="I2980" t="s">
        <v>647</v>
      </c>
      <c r="J2980">
        <v>9000</v>
      </c>
      <c r="K2980" s="1">
        <v>44359</v>
      </c>
      <c r="L2980">
        <v>2021</v>
      </c>
      <c r="M2980" t="str">
        <f>UPPER(TEXT(_2020_2022[[#This Row],[Data da Venda]],"mmm"))</f>
        <v>JUN</v>
      </c>
    </row>
    <row r="2981" spans="1:13" x14ac:dyDescent="0.25">
      <c r="A2981" t="s">
        <v>18</v>
      </c>
      <c r="B2981">
        <v>3000</v>
      </c>
      <c r="C2981">
        <v>1</v>
      </c>
      <c r="D2981" t="s">
        <v>32</v>
      </c>
      <c r="E2981" t="s">
        <v>652</v>
      </c>
      <c r="F2981" t="s">
        <v>745</v>
      </c>
      <c r="G2981" t="s">
        <v>650</v>
      </c>
      <c r="H2981">
        <v>64</v>
      </c>
      <c r="I2981" t="s">
        <v>647</v>
      </c>
      <c r="J2981">
        <v>3000</v>
      </c>
      <c r="K2981" s="1">
        <v>44247</v>
      </c>
      <c r="L2981">
        <v>2021</v>
      </c>
      <c r="M2981" t="str">
        <f>UPPER(TEXT(_2020_2022[[#This Row],[Data da Venda]],"mmm"))</f>
        <v>FEV</v>
      </c>
    </row>
    <row r="2982" spans="1:13" x14ac:dyDescent="0.25">
      <c r="A2982" t="s">
        <v>9</v>
      </c>
      <c r="B2982">
        <v>1500</v>
      </c>
      <c r="C2982">
        <v>3</v>
      </c>
      <c r="D2982" t="s">
        <v>38</v>
      </c>
      <c r="E2982" t="s">
        <v>648</v>
      </c>
      <c r="F2982" t="s">
        <v>845</v>
      </c>
      <c r="G2982" t="s">
        <v>643</v>
      </c>
      <c r="H2982">
        <v>75</v>
      </c>
      <c r="I2982" t="s">
        <v>647</v>
      </c>
      <c r="J2982">
        <v>4500</v>
      </c>
      <c r="K2982" s="1">
        <v>44521</v>
      </c>
      <c r="L2982">
        <v>2021</v>
      </c>
      <c r="M2982" t="str">
        <f>UPPER(TEXT(_2020_2022[[#This Row],[Data da Venda]],"mmm"))</f>
        <v>NOV</v>
      </c>
    </row>
    <row r="2983" spans="1:13" x14ac:dyDescent="0.25">
      <c r="A2983" t="s">
        <v>14</v>
      </c>
      <c r="B2983">
        <v>2000</v>
      </c>
      <c r="C2983">
        <v>1</v>
      </c>
      <c r="D2983" t="s">
        <v>29</v>
      </c>
      <c r="E2983" t="s">
        <v>641</v>
      </c>
      <c r="F2983" t="s">
        <v>916</v>
      </c>
      <c r="G2983" t="s">
        <v>643</v>
      </c>
      <c r="H2983">
        <v>57</v>
      </c>
      <c r="I2983" t="s">
        <v>647</v>
      </c>
      <c r="J2983">
        <v>2000</v>
      </c>
      <c r="K2983" s="1">
        <v>44444</v>
      </c>
      <c r="L2983">
        <v>2021</v>
      </c>
      <c r="M2983" t="str">
        <f>UPPER(TEXT(_2020_2022[[#This Row],[Data da Venda]],"mmm"))</f>
        <v>SET</v>
      </c>
    </row>
    <row r="2984" spans="1:13" x14ac:dyDescent="0.25">
      <c r="A2984" t="s">
        <v>26</v>
      </c>
      <c r="B2984">
        <v>1100</v>
      </c>
      <c r="C2984">
        <v>4</v>
      </c>
      <c r="D2984" t="s">
        <v>31</v>
      </c>
      <c r="E2984" t="s">
        <v>645</v>
      </c>
      <c r="F2984" t="s">
        <v>846</v>
      </c>
      <c r="G2984" t="s">
        <v>643</v>
      </c>
      <c r="H2984">
        <v>35</v>
      </c>
      <c r="I2984" t="s">
        <v>644</v>
      </c>
      <c r="J2984">
        <v>4400</v>
      </c>
      <c r="K2984" s="1">
        <v>44319</v>
      </c>
      <c r="L2984">
        <v>2021</v>
      </c>
      <c r="M2984" t="str">
        <f>UPPER(TEXT(_2020_2022[[#This Row],[Data da Venda]],"mmm"))</f>
        <v>MAI</v>
      </c>
    </row>
    <row r="2985" spans="1:13" x14ac:dyDescent="0.25">
      <c r="A2985" t="s">
        <v>12</v>
      </c>
      <c r="B2985">
        <v>6500</v>
      </c>
      <c r="C2985">
        <v>2</v>
      </c>
      <c r="D2985" t="s">
        <v>40</v>
      </c>
      <c r="E2985" t="s">
        <v>657</v>
      </c>
      <c r="F2985" t="s">
        <v>1199</v>
      </c>
      <c r="G2985" t="s">
        <v>643</v>
      </c>
      <c r="H2985">
        <v>71</v>
      </c>
      <c r="I2985" t="s">
        <v>647</v>
      </c>
      <c r="J2985">
        <v>13000</v>
      </c>
      <c r="K2985" s="1">
        <v>44436</v>
      </c>
      <c r="L2985">
        <v>2021</v>
      </c>
      <c r="M2985" t="str">
        <f>UPPER(TEXT(_2020_2022[[#This Row],[Data da Venda]],"mmm"))</f>
        <v>AGO</v>
      </c>
    </row>
    <row r="2986" spans="1:13" x14ac:dyDescent="0.25">
      <c r="A2986" t="s">
        <v>28</v>
      </c>
      <c r="B2986">
        <v>1400</v>
      </c>
      <c r="C2986">
        <v>3</v>
      </c>
      <c r="D2986" t="s">
        <v>33</v>
      </c>
      <c r="E2986" t="s">
        <v>641</v>
      </c>
      <c r="F2986" t="s">
        <v>701</v>
      </c>
      <c r="G2986" t="s">
        <v>643</v>
      </c>
      <c r="H2986">
        <v>50</v>
      </c>
      <c r="I2986" t="s">
        <v>644</v>
      </c>
      <c r="J2986">
        <v>4200</v>
      </c>
      <c r="K2986" s="1">
        <v>44375</v>
      </c>
      <c r="L2986">
        <v>2021</v>
      </c>
      <c r="M2986" t="str">
        <f>UPPER(TEXT(_2020_2022[[#This Row],[Data da Venda]],"mmm"))</f>
        <v>JUN</v>
      </c>
    </row>
    <row r="2987" spans="1:13" x14ac:dyDescent="0.25">
      <c r="A2987" t="s">
        <v>20</v>
      </c>
      <c r="B2987">
        <v>2600</v>
      </c>
      <c r="C2987">
        <v>4</v>
      </c>
      <c r="D2987" t="s">
        <v>29</v>
      </c>
      <c r="E2987" t="s">
        <v>641</v>
      </c>
      <c r="F2987" t="s">
        <v>708</v>
      </c>
      <c r="G2987" t="s">
        <v>650</v>
      </c>
      <c r="H2987">
        <v>35</v>
      </c>
      <c r="I2987" t="s">
        <v>644</v>
      </c>
      <c r="J2987">
        <v>10400</v>
      </c>
      <c r="K2987" s="1">
        <v>44330</v>
      </c>
      <c r="L2987">
        <v>2021</v>
      </c>
      <c r="M2987" t="str">
        <f>UPPER(TEXT(_2020_2022[[#This Row],[Data da Venda]],"mmm"))</f>
        <v>MAI</v>
      </c>
    </row>
    <row r="2988" spans="1:13" x14ac:dyDescent="0.25">
      <c r="A2988" t="s">
        <v>5</v>
      </c>
      <c r="B2988">
        <v>1750</v>
      </c>
      <c r="C2988">
        <v>5</v>
      </c>
      <c r="D2988" t="s">
        <v>38</v>
      </c>
      <c r="E2988" t="s">
        <v>648</v>
      </c>
      <c r="F2988" t="s">
        <v>1282</v>
      </c>
      <c r="G2988" t="s">
        <v>643</v>
      </c>
      <c r="H2988">
        <v>74</v>
      </c>
      <c r="I2988" t="s">
        <v>647</v>
      </c>
      <c r="J2988">
        <v>8750</v>
      </c>
      <c r="K2988" s="1">
        <v>44464</v>
      </c>
      <c r="L2988">
        <v>2021</v>
      </c>
      <c r="M2988" t="str">
        <f>UPPER(TEXT(_2020_2022[[#This Row],[Data da Venda]],"mmm"))</f>
        <v>SET</v>
      </c>
    </row>
    <row r="2989" spans="1:13" x14ac:dyDescent="0.25">
      <c r="A2989" t="s">
        <v>14</v>
      </c>
      <c r="B2989">
        <v>2000</v>
      </c>
      <c r="C2989">
        <v>2</v>
      </c>
      <c r="D2989" t="s">
        <v>31</v>
      </c>
      <c r="E2989" t="s">
        <v>645</v>
      </c>
      <c r="F2989" t="s">
        <v>1011</v>
      </c>
      <c r="G2989" t="s">
        <v>650</v>
      </c>
      <c r="H2989">
        <v>30</v>
      </c>
      <c r="I2989" t="s">
        <v>644</v>
      </c>
      <c r="J2989">
        <v>4000</v>
      </c>
      <c r="K2989" s="1">
        <v>44415</v>
      </c>
      <c r="L2989">
        <v>2021</v>
      </c>
      <c r="M2989" t="str">
        <f>UPPER(TEXT(_2020_2022[[#This Row],[Data da Venda]],"mmm"))</f>
        <v>AGO</v>
      </c>
    </row>
    <row r="2990" spans="1:13" x14ac:dyDescent="0.25">
      <c r="A2990" t="s">
        <v>1443</v>
      </c>
      <c r="B2990">
        <v>1550</v>
      </c>
      <c r="C2990">
        <v>3</v>
      </c>
      <c r="D2990" t="s">
        <v>37</v>
      </c>
      <c r="E2990" t="s">
        <v>645</v>
      </c>
      <c r="F2990" t="s">
        <v>1211</v>
      </c>
      <c r="G2990" t="s">
        <v>650</v>
      </c>
      <c r="H2990">
        <v>50</v>
      </c>
      <c r="I2990" t="s">
        <v>644</v>
      </c>
      <c r="J2990">
        <v>4650</v>
      </c>
      <c r="K2990" s="1">
        <v>44543</v>
      </c>
      <c r="L2990">
        <v>2021</v>
      </c>
      <c r="M2990" t="str">
        <f>UPPER(TEXT(_2020_2022[[#This Row],[Data da Venda]],"mmm"))</f>
        <v>DEZ</v>
      </c>
    </row>
    <row r="2991" spans="1:13" x14ac:dyDescent="0.25">
      <c r="A2991" t="s">
        <v>7</v>
      </c>
      <c r="B2991">
        <v>750</v>
      </c>
      <c r="C2991">
        <v>2</v>
      </c>
      <c r="D2991" t="s">
        <v>37</v>
      </c>
      <c r="E2991" t="s">
        <v>645</v>
      </c>
      <c r="F2991" t="s">
        <v>1226</v>
      </c>
      <c r="G2991" t="s">
        <v>643</v>
      </c>
      <c r="H2991">
        <v>56</v>
      </c>
      <c r="I2991" t="s">
        <v>647</v>
      </c>
      <c r="J2991">
        <v>1500</v>
      </c>
      <c r="K2991" s="1">
        <v>44222</v>
      </c>
      <c r="L2991">
        <v>2021</v>
      </c>
      <c r="M2991" t="str">
        <f>UPPER(TEXT(_2020_2022[[#This Row],[Data da Venda]],"mmm"))</f>
        <v>JAN</v>
      </c>
    </row>
    <row r="2992" spans="1:13" x14ac:dyDescent="0.25">
      <c r="A2992" t="s">
        <v>13</v>
      </c>
      <c r="B2992">
        <v>2300</v>
      </c>
      <c r="C2992">
        <v>2</v>
      </c>
      <c r="D2992" t="s">
        <v>30</v>
      </c>
      <c r="E2992" t="s">
        <v>645</v>
      </c>
      <c r="F2992" t="s">
        <v>1061</v>
      </c>
      <c r="G2992" t="s">
        <v>643</v>
      </c>
      <c r="H2992">
        <v>32</v>
      </c>
      <c r="I2992" t="s">
        <v>644</v>
      </c>
      <c r="J2992">
        <v>4600</v>
      </c>
      <c r="K2992" s="1">
        <v>44513</v>
      </c>
      <c r="L2992">
        <v>2021</v>
      </c>
      <c r="M2992" t="str">
        <f>UPPER(TEXT(_2020_2022[[#This Row],[Data da Venda]],"mmm"))</f>
        <v>NOV</v>
      </c>
    </row>
    <row r="2993" spans="1:13" x14ac:dyDescent="0.25">
      <c r="A2993" t="s">
        <v>12</v>
      </c>
      <c r="B2993">
        <v>6500</v>
      </c>
      <c r="C2993">
        <v>4</v>
      </c>
      <c r="D2993" t="s">
        <v>29</v>
      </c>
      <c r="E2993" t="s">
        <v>641</v>
      </c>
      <c r="F2993" t="s">
        <v>1415</v>
      </c>
      <c r="G2993" t="s">
        <v>643</v>
      </c>
      <c r="H2993">
        <v>50</v>
      </c>
      <c r="I2993" t="s">
        <v>644</v>
      </c>
      <c r="J2993">
        <v>26000</v>
      </c>
      <c r="K2993" s="1">
        <v>44348</v>
      </c>
      <c r="L2993">
        <v>2021</v>
      </c>
      <c r="M2993" t="str">
        <f>UPPER(TEXT(_2020_2022[[#This Row],[Data da Venda]],"mmm"))</f>
        <v>JUN</v>
      </c>
    </row>
    <row r="2994" spans="1:13" x14ac:dyDescent="0.25">
      <c r="A2994" t="s">
        <v>20</v>
      </c>
      <c r="B2994">
        <v>2600</v>
      </c>
      <c r="C2994">
        <v>3</v>
      </c>
      <c r="D2994" t="s">
        <v>29</v>
      </c>
      <c r="E2994" t="s">
        <v>641</v>
      </c>
      <c r="F2994" t="s">
        <v>675</v>
      </c>
      <c r="G2994" t="s">
        <v>643</v>
      </c>
      <c r="H2994">
        <v>71</v>
      </c>
      <c r="I2994" t="s">
        <v>647</v>
      </c>
      <c r="J2994">
        <v>7800</v>
      </c>
      <c r="K2994" s="1">
        <v>44296</v>
      </c>
      <c r="L2994">
        <v>2021</v>
      </c>
      <c r="M2994" t="str">
        <f>UPPER(TEXT(_2020_2022[[#This Row],[Data da Venda]],"mmm"))</f>
        <v>ABR</v>
      </c>
    </row>
    <row r="2995" spans="1:13" x14ac:dyDescent="0.25">
      <c r="A2995" t="s">
        <v>12</v>
      </c>
      <c r="B2995">
        <v>6500</v>
      </c>
      <c r="C2995">
        <v>4</v>
      </c>
      <c r="D2995" t="s">
        <v>39</v>
      </c>
      <c r="E2995" t="s">
        <v>641</v>
      </c>
      <c r="F2995" t="s">
        <v>951</v>
      </c>
      <c r="G2995" t="s">
        <v>650</v>
      </c>
      <c r="H2995">
        <v>49</v>
      </c>
      <c r="I2995" t="s">
        <v>644</v>
      </c>
      <c r="J2995">
        <v>26000</v>
      </c>
      <c r="K2995" s="1">
        <v>44560</v>
      </c>
      <c r="L2995">
        <v>2021</v>
      </c>
      <c r="M2995" t="str">
        <f>UPPER(TEXT(_2020_2022[[#This Row],[Data da Venda]],"mmm"))</f>
        <v>DEZ</v>
      </c>
    </row>
    <row r="2996" spans="1:13" x14ac:dyDescent="0.25">
      <c r="A2996" t="s">
        <v>5</v>
      </c>
      <c r="B2996">
        <v>1750</v>
      </c>
      <c r="C2996">
        <v>5</v>
      </c>
      <c r="D2996" t="s">
        <v>37</v>
      </c>
      <c r="E2996" t="s">
        <v>645</v>
      </c>
      <c r="F2996" t="s">
        <v>1382</v>
      </c>
      <c r="G2996" t="s">
        <v>650</v>
      </c>
      <c r="H2996">
        <v>64</v>
      </c>
      <c r="I2996" t="s">
        <v>647</v>
      </c>
      <c r="J2996">
        <v>8750</v>
      </c>
      <c r="K2996" s="1">
        <v>44402</v>
      </c>
      <c r="L2996">
        <v>2021</v>
      </c>
      <c r="M2996" t="str">
        <f>UPPER(TEXT(_2020_2022[[#This Row],[Data da Venda]],"mmm"))</f>
        <v>JUL</v>
      </c>
    </row>
    <row r="2997" spans="1:13" x14ac:dyDescent="0.25">
      <c r="A2997" t="s">
        <v>8</v>
      </c>
      <c r="B2997">
        <v>5500</v>
      </c>
      <c r="C2997">
        <v>3</v>
      </c>
      <c r="D2997" t="s">
        <v>40</v>
      </c>
      <c r="E2997" t="s">
        <v>657</v>
      </c>
      <c r="F2997" t="s">
        <v>1390</v>
      </c>
      <c r="G2997" t="s">
        <v>650</v>
      </c>
      <c r="H2997">
        <v>62</v>
      </c>
      <c r="I2997" t="s">
        <v>647</v>
      </c>
      <c r="J2997">
        <v>16500</v>
      </c>
      <c r="K2997" s="1">
        <v>44277</v>
      </c>
      <c r="L2997">
        <v>2021</v>
      </c>
      <c r="M2997" t="str">
        <f>UPPER(TEXT(_2020_2022[[#This Row],[Data da Venda]],"mmm"))</f>
        <v>MAR</v>
      </c>
    </row>
    <row r="2998" spans="1:13" x14ac:dyDescent="0.25">
      <c r="A2998" t="s">
        <v>1445</v>
      </c>
      <c r="B2998">
        <v>1500</v>
      </c>
      <c r="C2998">
        <v>2</v>
      </c>
      <c r="D2998" t="s">
        <v>29</v>
      </c>
      <c r="E2998" t="s">
        <v>641</v>
      </c>
      <c r="F2998" t="s">
        <v>872</v>
      </c>
      <c r="G2998" t="s">
        <v>650</v>
      </c>
      <c r="H2998">
        <v>49</v>
      </c>
      <c r="I2998" t="s">
        <v>644</v>
      </c>
      <c r="J2998">
        <v>3000</v>
      </c>
      <c r="K2998" s="1">
        <v>44248</v>
      </c>
      <c r="L2998">
        <v>2021</v>
      </c>
      <c r="M2998" t="str">
        <f>UPPER(TEXT(_2020_2022[[#This Row],[Data da Venda]],"mmm"))</f>
        <v>FEV</v>
      </c>
    </row>
    <row r="2999" spans="1:13" x14ac:dyDescent="0.25">
      <c r="A2999" t="s">
        <v>1443</v>
      </c>
      <c r="B2999">
        <v>1550</v>
      </c>
      <c r="C2999">
        <v>2</v>
      </c>
      <c r="D2999" t="s">
        <v>31</v>
      </c>
      <c r="E2999" t="s">
        <v>645</v>
      </c>
      <c r="F2999" t="s">
        <v>695</v>
      </c>
      <c r="G2999" t="s">
        <v>650</v>
      </c>
      <c r="H2999">
        <v>73</v>
      </c>
      <c r="I2999" t="s">
        <v>647</v>
      </c>
      <c r="J2999">
        <v>3100</v>
      </c>
      <c r="K2999" s="1">
        <v>44322</v>
      </c>
      <c r="L2999">
        <v>2021</v>
      </c>
      <c r="M2999" t="str">
        <f>UPPER(TEXT(_2020_2022[[#This Row],[Data da Venda]],"mmm"))</f>
        <v>MAI</v>
      </c>
    </row>
    <row r="3000" spans="1:13" x14ac:dyDescent="0.25">
      <c r="A3000" t="s">
        <v>1444</v>
      </c>
      <c r="B3000">
        <v>1500</v>
      </c>
      <c r="C3000">
        <v>5</v>
      </c>
      <c r="D3000" t="s">
        <v>38</v>
      </c>
      <c r="E3000" t="s">
        <v>648</v>
      </c>
      <c r="F3000" t="s">
        <v>1131</v>
      </c>
      <c r="G3000" t="s">
        <v>650</v>
      </c>
      <c r="H3000">
        <v>75</v>
      </c>
      <c r="I3000" t="s">
        <v>647</v>
      </c>
      <c r="J3000">
        <v>7500</v>
      </c>
      <c r="K3000" s="1">
        <v>44490</v>
      </c>
      <c r="L3000">
        <v>2021</v>
      </c>
      <c r="M3000" t="str">
        <f>UPPER(TEXT(_2020_2022[[#This Row],[Data da Venda]],"mmm"))</f>
        <v>OUT</v>
      </c>
    </row>
    <row r="3001" spans="1:13" x14ac:dyDescent="0.25">
      <c r="A3001" t="s">
        <v>24</v>
      </c>
      <c r="B3001">
        <v>2000</v>
      </c>
      <c r="C3001">
        <v>5</v>
      </c>
      <c r="D3001" t="s">
        <v>31</v>
      </c>
      <c r="E3001" t="s">
        <v>645</v>
      </c>
      <c r="F3001" t="s">
        <v>695</v>
      </c>
      <c r="G3001" t="s">
        <v>650</v>
      </c>
      <c r="H3001">
        <v>73</v>
      </c>
      <c r="I3001" t="s">
        <v>647</v>
      </c>
      <c r="J3001">
        <v>10000</v>
      </c>
      <c r="K3001" s="1">
        <v>44280</v>
      </c>
      <c r="L3001">
        <v>2021</v>
      </c>
      <c r="M3001" t="str">
        <f>UPPER(TEXT(_2020_2022[[#This Row],[Data da Venda]],"mmm"))</f>
        <v>MAR</v>
      </c>
    </row>
    <row r="3002" spans="1:13" x14ac:dyDescent="0.25">
      <c r="A3002" t="s">
        <v>1442</v>
      </c>
      <c r="B3002">
        <v>1200</v>
      </c>
      <c r="C3002">
        <v>5</v>
      </c>
      <c r="D3002" t="s">
        <v>32</v>
      </c>
      <c r="E3002" t="s">
        <v>652</v>
      </c>
      <c r="F3002" t="s">
        <v>1138</v>
      </c>
      <c r="G3002" t="s">
        <v>643</v>
      </c>
      <c r="H3002">
        <v>28</v>
      </c>
      <c r="I3002" t="s">
        <v>651</v>
      </c>
      <c r="J3002">
        <v>6000</v>
      </c>
      <c r="K3002" s="1">
        <v>44402</v>
      </c>
      <c r="L3002">
        <v>2021</v>
      </c>
      <c r="M3002" t="str">
        <f>UPPER(TEXT(_2020_2022[[#This Row],[Data da Venda]],"mmm"))</f>
        <v>JUL</v>
      </c>
    </row>
    <row r="3003" spans="1:13" x14ac:dyDescent="0.25">
      <c r="A3003" t="s">
        <v>20</v>
      </c>
      <c r="B3003">
        <v>2600</v>
      </c>
      <c r="C3003">
        <v>4</v>
      </c>
      <c r="D3003" t="s">
        <v>30</v>
      </c>
      <c r="E3003" t="s">
        <v>645</v>
      </c>
      <c r="F3003" t="s">
        <v>1371</v>
      </c>
      <c r="G3003" t="s">
        <v>643</v>
      </c>
      <c r="H3003">
        <v>32</v>
      </c>
      <c r="I3003" t="s">
        <v>644</v>
      </c>
      <c r="J3003">
        <v>10400</v>
      </c>
      <c r="K3003" s="1">
        <v>44280</v>
      </c>
      <c r="L3003">
        <v>2021</v>
      </c>
      <c r="M3003" t="str">
        <f>UPPER(TEXT(_2020_2022[[#This Row],[Data da Venda]],"mmm"))</f>
        <v>MAR</v>
      </c>
    </row>
    <row r="3004" spans="1:13" x14ac:dyDescent="0.25">
      <c r="A3004" t="s">
        <v>25</v>
      </c>
      <c r="B3004">
        <v>2500</v>
      </c>
      <c r="C3004">
        <v>3</v>
      </c>
      <c r="D3004" t="s">
        <v>35</v>
      </c>
      <c r="E3004" t="s">
        <v>666</v>
      </c>
      <c r="F3004" t="s">
        <v>671</v>
      </c>
      <c r="G3004" t="s">
        <v>643</v>
      </c>
      <c r="H3004">
        <v>63</v>
      </c>
      <c r="I3004" t="s">
        <v>647</v>
      </c>
      <c r="J3004">
        <v>7500</v>
      </c>
      <c r="K3004" s="1">
        <v>44316</v>
      </c>
      <c r="L3004">
        <v>2021</v>
      </c>
      <c r="M3004" t="str">
        <f>UPPER(TEXT(_2020_2022[[#This Row],[Data da Venda]],"mmm"))</f>
        <v>ABR</v>
      </c>
    </row>
    <row r="3005" spans="1:13" x14ac:dyDescent="0.25">
      <c r="A3005" t="s">
        <v>1440</v>
      </c>
      <c r="B3005">
        <v>700</v>
      </c>
      <c r="C3005">
        <v>1</v>
      </c>
      <c r="D3005" t="s">
        <v>33</v>
      </c>
      <c r="E3005" t="s">
        <v>641</v>
      </c>
      <c r="F3005" t="s">
        <v>727</v>
      </c>
      <c r="G3005" t="s">
        <v>643</v>
      </c>
      <c r="H3005">
        <v>39</v>
      </c>
      <c r="I3005" t="s">
        <v>644</v>
      </c>
      <c r="J3005">
        <v>700</v>
      </c>
      <c r="K3005" s="1">
        <v>44312</v>
      </c>
      <c r="L3005">
        <v>2021</v>
      </c>
      <c r="M3005" t="str">
        <f>UPPER(TEXT(_2020_2022[[#This Row],[Data da Venda]],"mmm"))</f>
        <v>ABR</v>
      </c>
    </row>
    <row r="3006" spans="1:13" x14ac:dyDescent="0.25">
      <c r="A3006" t="s">
        <v>11</v>
      </c>
      <c r="B3006">
        <v>4500</v>
      </c>
      <c r="C3006">
        <v>5</v>
      </c>
      <c r="D3006" t="s">
        <v>29</v>
      </c>
      <c r="E3006" t="s">
        <v>641</v>
      </c>
      <c r="F3006" t="s">
        <v>1040</v>
      </c>
      <c r="G3006" t="s">
        <v>650</v>
      </c>
      <c r="H3006">
        <v>46</v>
      </c>
      <c r="I3006" t="s">
        <v>644</v>
      </c>
      <c r="J3006">
        <v>22500</v>
      </c>
      <c r="K3006" s="1">
        <v>44213</v>
      </c>
      <c r="L3006">
        <v>2021</v>
      </c>
      <c r="M3006" t="str">
        <f>UPPER(TEXT(_2020_2022[[#This Row],[Data da Venda]],"mmm"))</f>
        <v>JAN</v>
      </c>
    </row>
    <row r="3007" spans="1:13" x14ac:dyDescent="0.25">
      <c r="A3007" t="s">
        <v>11</v>
      </c>
      <c r="B3007">
        <v>4500</v>
      </c>
      <c r="C3007">
        <v>4</v>
      </c>
      <c r="D3007" t="s">
        <v>41</v>
      </c>
      <c r="E3007" t="s">
        <v>681</v>
      </c>
      <c r="F3007" t="s">
        <v>1384</v>
      </c>
      <c r="G3007" t="s">
        <v>643</v>
      </c>
      <c r="H3007">
        <v>72</v>
      </c>
      <c r="I3007" t="s">
        <v>647</v>
      </c>
      <c r="J3007">
        <v>18000</v>
      </c>
      <c r="K3007" s="1">
        <v>44225</v>
      </c>
      <c r="L3007">
        <v>2021</v>
      </c>
      <c r="M3007" t="str">
        <f>UPPER(TEXT(_2020_2022[[#This Row],[Data da Venda]],"mmm"))</f>
        <v>JAN</v>
      </c>
    </row>
    <row r="3008" spans="1:13" x14ac:dyDescent="0.25">
      <c r="A3008" t="s">
        <v>13</v>
      </c>
      <c r="B3008">
        <v>2300</v>
      </c>
      <c r="C3008">
        <v>2</v>
      </c>
      <c r="D3008" t="s">
        <v>31</v>
      </c>
      <c r="E3008" t="s">
        <v>645</v>
      </c>
      <c r="F3008" t="s">
        <v>1103</v>
      </c>
      <c r="G3008" t="s">
        <v>650</v>
      </c>
      <c r="H3008">
        <v>29</v>
      </c>
      <c r="I3008" t="s">
        <v>651</v>
      </c>
      <c r="J3008">
        <v>4600</v>
      </c>
      <c r="K3008" s="1">
        <v>44221</v>
      </c>
      <c r="L3008">
        <v>2021</v>
      </c>
      <c r="M3008" t="str">
        <f>UPPER(TEXT(_2020_2022[[#This Row],[Data da Venda]],"mmm"))</f>
        <v>JAN</v>
      </c>
    </row>
    <row r="3009" spans="1:13" x14ac:dyDescent="0.25">
      <c r="A3009" t="s">
        <v>13</v>
      </c>
      <c r="B3009">
        <v>2300</v>
      </c>
      <c r="C3009">
        <v>4</v>
      </c>
      <c r="D3009" t="s">
        <v>36</v>
      </c>
      <c r="E3009" t="s">
        <v>677</v>
      </c>
      <c r="F3009" t="s">
        <v>933</v>
      </c>
      <c r="G3009" t="s">
        <v>650</v>
      </c>
      <c r="H3009">
        <v>74</v>
      </c>
      <c r="I3009" t="s">
        <v>647</v>
      </c>
      <c r="J3009">
        <v>9200</v>
      </c>
      <c r="K3009" s="1">
        <v>44320</v>
      </c>
      <c r="L3009">
        <v>2021</v>
      </c>
      <c r="M3009" t="str">
        <f>UPPER(TEXT(_2020_2022[[#This Row],[Data da Venda]],"mmm"))</f>
        <v>MAI</v>
      </c>
    </row>
    <row r="3010" spans="1:13" x14ac:dyDescent="0.25">
      <c r="A3010" t="s">
        <v>13</v>
      </c>
      <c r="B3010">
        <v>2300</v>
      </c>
      <c r="C3010">
        <v>1</v>
      </c>
      <c r="D3010" t="s">
        <v>38</v>
      </c>
      <c r="E3010" t="s">
        <v>648</v>
      </c>
      <c r="F3010" t="s">
        <v>1131</v>
      </c>
      <c r="G3010" t="s">
        <v>650</v>
      </c>
      <c r="H3010">
        <v>75</v>
      </c>
      <c r="I3010" t="s">
        <v>647</v>
      </c>
      <c r="J3010">
        <v>2300</v>
      </c>
      <c r="K3010" s="1">
        <v>44323</v>
      </c>
      <c r="L3010">
        <v>2021</v>
      </c>
      <c r="M3010" t="str">
        <f>UPPER(TEXT(_2020_2022[[#This Row],[Data da Venda]],"mmm"))</f>
        <v>MAI</v>
      </c>
    </row>
    <row r="3011" spans="1:13" x14ac:dyDescent="0.25">
      <c r="A3011" t="s">
        <v>1443</v>
      </c>
      <c r="B3011">
        <v>1550</v>
      </c>
      <c r="C3011">
        <v>1</v>
      </c>
      <c r="D3011" t="s">
        <v>34</v>
      </c>
      <c r="E3011" t="s">
        <v>679</v>
      </c>
      <c r="F3011" t="s">
        <v>737</v>
      </c>
      <c r="G3011" t="s">
        <v>650</v>
      </c>
      <c r="H3011">
        <v>54</v>
      </c>
      <c r="I3011" t="s">
        <v>647</v>
      </c>
      <c r="J3011">
        <v>1550</v>
      </c>
      <c r="K3011" s="1">
        <v>44399</v>
      </c>
      <c r="L3011">
        <v>2021</v>
      </c>
      <c r="M3011" t="str">
        <f>UPPER(TEXT(_2020_2022[[#This Row],[Data da Venda]],"mmm"))</f>
        <v>JUL</v>
      </c>
    </row>
    <row r="3012" spans="1:13" x14ac:dyDescent="0.25">
      <c r="A3012" t="s">
        <v>15</v>
      </c>
      <c r="B3012">
        <v>1900</v>
      </c>
      <c r="C3012">
        <v>4</v>
      </c>
      <c r="D3012" t="s">
        <v>38</v>
      </c>
      <c r="E3012" t="s">
        <v>648</v>
      </c>
      <c r="F3012" t="s">
        <v>837</v>
      </c>
      <c r="G3012" t="s">
        <v>650</v>
      </c>
      <c r="H3012">
        <v>63</v>
      </c>
      <c r="I3012" t="s">
        <v>647</v>
      </c>
      <c r="J3012">
        <v>7600</v>
      </c>
      <c r="K3012" s="1">
        <v>44438</v>
      </c>
      <c r="L3012">
        <v>2021</v>
      </c>
      <c r="M3012" t="str">
        <f>UPPER(TEXT(_2020_2022[[#This Row],[Data da Venda]],"mmm"))</f>
        <v>AGO</v>
      </c>
    </row>
    <row r="3013" spans="1:13" x14ac:dyDescent="0.25">
      <c r="A3013" t="s">
        <v>16</v>
      </c>
      <c r="B3013">
        <v>1400</v>
      </c>
      <c r="C3013">
        <v>4</v>
      </c>
      <c r="D3013" t="s">
        <v>33</v>
      </c>
      <c r="E3013" t="s">
        <v>641</v>
      </c>
      <c r="F3013" t="s">
        <v>642</v>
      </c>
      <c r="G3013" t="s">
        <v>643</v>
      </c>
      <c r="H3013">
        <v>41</v>
      </c>
      <c r="I3013" t="s">
        <v>644</v>
      </c>
      <c r="J3013">
        <v>5600</v>
      </c>
      <c r="K3013" s="1">
        <v>44371</v>
      </c>
      <c r="L3013">
        <v>2021</v>
      </c>
      <c r="M3013" t="str">
        <f>UPPER(TEXT(_2020_2022[[#This Row],[Data da Venda]],"mmm"))</f>
        <v>JUN</v>
      </c>
    </row>
    <row r="3014" spans="1:13" x14ac:dyDescent="0.25">
      <c r="A3014" t="s">
        <v>18</v>
      </c>
      <c r="B3014">
        <v>3000</v>
      </c>
      <c r="C3014">
        <v>5</v>
      </c>
      <c r="D3014" t="s">
        <v>41</v>
      </c>
      <c r="E3014" t="s">
        <v>681</v>
      </c>
      <c r="F3014" t="s">
        <v>1381</v>
      </c>
      <c r="G3014" t="s">
        <v>643</v>
      </c>
      <c r="H3014">
        <v>58</v>
      </c>
      <c r="I3014" t="s">
        <v>647</v>
      </c>
      <c r="J3014">
        <v>15000</v>
      </c>
      <c r="K3014" s="1">
        <v>44487</v>
      </c>
      <c r="L3014">
        <v>2021</v>
      </c>
      <c r="M3014" t="str">
        <f>UPPER(TEXT(_2020_2022[[#This Row],[Data da Venda]],"mmm"))</f>
        <v>OUT</v>
      </c>
    </row>
    <row r="3015" spans="1:13" x14ac:dyDescent="0.25">
      <c r="A3015" t="s">
        <v>1440</v>
      </c>
      <c r="B3015">
        <v>700</v>
      </c>
      <c r="C3015">
        <v>1</v>
      </c>
      <c r="D3015" t="s">
        <v>36</v>
      </c>
      <c r="E3015" t="s">
        <v>677</v>
      </c>
      <c r="F3015" t="s">
        <v>805</v>
      </c>
      <c r="G3015" t="s">
        <v>650</v>
      </c>
      <c r="H3015">
        <v>47</v>
      </c>
      <c r="I3015" t="s">
        <v>644</v>
      </c>
      <c r="J3015">
        <v>700</v>
      </c>
      <c r="K3015" s="1">
        <v>44393</v>
      </c>
      <c r="L3015">
        <v>2021</v>
      </c>
      <c r="M3015" t="str">
        <f>UPPER(TEXT(_2020_2022[[#This Row],[Data da Venda]],"mmm"))</f>
        <v>JUL</v>
      </c>
    </row>
    <row r="3016" spans="1:13" x14ac:dyDescent="0.25">
      <c r="A3016" t="s">
        <v>9</v>
      </c>
      <c r="B3016">
        <v>1500</v>
      </c>
      <c r="C3016">
        <v>2</v>
      </c>
      <c r="D3016" t="s">
        <v>41</v>
      </c>
      <c r="E3016" t="s">
        <v>681</v>
      </c>
      <c r="F3016" t="s">
        <v>1314</v>
      </c>
      <c r="G3016" t="s">
        <v>650</v>
      </c>
      <c r="H3016">
        <v>75</v>
      </c>
      <c r="I3016" t="s">
        <v>647</v>
      </c>
      <c r="J3016">
        <v>3000</v>
      </c>
      <c r="K3016" s="1">
        <v>44203</v>
      </c>
      <c r="L3016">
        <v>2021</v>
      </c>
      <c r="M3016" t="str">
        <f>UPPER(TEXT(_2020_2022[[#This Row],[Data da Venda]],"mmm"))</f>
        <v>JAN</v>
      </c>
    </row>
    <row r="3017" spans="1:13" x14ac:dyDescent="0.25">
      <c r="A3017" t="s">
        <v>14</v>
      </c>
      <c r="B3017">
        <v>2000</v>
      </c>
      <c r="C3017">
        <v>2</v>
      </c>
      <c r="D3017" t="s">
        <v>36</v>
      </c>
      <c r="E3017" t="s">
        <v>677</v>
      </c>
      <c r="F3017" t="s">
        <v>733</v>
      </c>
      <c r="G3017" t="s">
        <v>643</v>
      </c>
      <c r="H3017">
        <v>75</v>
      </c>
      <c r="I3017" t="s">
        <v>647</v>
      </c>
      <c r="J3017">
        <v>4000</v>
      </c>
      <c r="K3017" s="1">
        <v>44353</v>
      </c>
      <c r="L3017">
        <v>2021</v>
      </c>
      <c r="M3017" t="str">
        <f>UPPER(TEXT(_2020_2022[[#This Row],[Data da Venda]],"mmm"))</f>
        <v>JUN</v>
      </c>
    </row>
    <row r="3018" spans="1:13" x14ac:dyDescent="0.25">
      <c r="A3018" t="s">
        <v>20</v>
      </c>
      <c r="B3018">
        <v>2600</v>
      </c>
      <c r="C3018">
        <v>1</v>
      </c>
      <c r="D3018" t="s">
        <v>39</v>
      </c>
      <c r="E3018" t="s">
        <v>641</v>
      </c>
      <c r="F3018" t="s">
        <v>759</v>
      </c>
      <c r="G3018" t="s">
        <v>643</v>
      </c>
      <c r="H3018">
        <v>53</v>
      </c>
      <c r="I3018" t="s">
        <v>647</v>
      </c>
      <c r="J3018">
        <v>2600</v>
      </c>
      <c r="K3018" s="1">
        <v>44448</v>
      </c>
      <c r="L3018">
        <v>2021</v>
      </c>
      <c r="M3018" t="str">
        <f>UPPER(TEXT(_2020_2022[[#This Row],[Data da Venda]],"mmm"))</f>
        <v>SET</v>
      </c>
    </row>
    <row r="3019" spans="1:13" x14ac:dyDescent="0.25">
      <c r="A3019" t="s">
        <v>12</v>
      </c>
      <c r="B3019">
        <v>6500</v>
      </c>
      <c r="C3019">
        <v>3</v>
      </c>
      <c r="D3019" t="s">
        <v>30</v>
      </c>
      <c r="E3019" t="s">
        <v>645</v>
      </c>
      <c r="F3019" t="s">
        <v>1072</v>
      </c>
      <c r="G3019" t="s">
        <v>643</v>
      </c>
      <c r="H3019">
        <v>66</v>
      </c>
      <c r="I3019" t="s">
        <v>647</v>
      </c>
      <c r="J3019">
        <v>19500</v>
      </c>
      <c r="K3019" s="1">
        <v>44517</v>
      </c>
      <c r="L3019">
        <v>2021</v>
      </c>
      <c r="M3019" t="str">
        <f>UPPER(TEXT(_2020_2022[[#This Row],[Data da Venda]],"mmm"))</f>
        <v>NOV</v>
      </c>
    </row>
    <row r="3020" spans="1:13" x14ac:dyDescent="0.25">
      <c r="A3020" t="s">
        <v>7</v>
      </c>
      <c r="B3020">
        <v>750</v>
      </c>
      <c r="C3020">
        <v>3</v>
      </c>
      <c r="D3020" t="s">
        <v>30</v>
      </c>
      <c r="E3020" t="s">
        <v>645</v>
      </c>
      <c r="F3020" t="s">
        <v>1266</v>
      </c>
      <c r="G3020" t="s">
        <v>650</v>
      </c>
      <c r="H3020">
        <v>39</v>
      </c>
      <c r="I3020" t="s">
        <v>644</v>
      </c>
      <c r="J3020">
        <v>2250</v>
      </c>
      <c r="K3020" s="1">
        <v>44284</v>
      </c>
      <c r="L3020">
        <v>2021</v>
      </c>
      <c r="M3020" t="str">
        <f>UPPER(TEXT(_2020_2022[[#This Row],[Data da Venda]],"mmm"))</f>
        <v>MAR</v>
      </c>
    </row>
    <row r="3021" spans="1:13" x14ac:dyDescent="0.25">
      <c r="A3021" t="s">
        <v>25</v>
      </c>
      <c r="B3021">
        <v>2500</v>
      </c>
      <c r="C3021">
        <v>4</v>
      </c>
      <c r="D3021" t="s">
        <v>32</v>
      </c>
      <c r="E3021" t="s">
        <v>652</v>
      </c>
      <c r="F3021" t="s">
        <v>1416</v>
      </c>
      <c r="G3021" t="s">
        <v>650</v>
      </c>
      <c r="H3021">
        <v>63</v>
      </c>
      <c r="I3021" t="s">
        <v>647</v>
      </c>
      <c r="J3021">
        <v>10000</v>
      </c>
      <c r="K3021" s="1">
        <v>44428</v>
      </c>
      <c r="L3021">
        <v>2021</v>
      </c>
      <c r="M3021" t="str">
        <f>UPPER(TEXT(_2020_2022[[#This Row],[Data da Venda]],"mmm"))</f>
        <v>AGO</v>
      </c>
    </row>
    <row r="3022" spans="1:13" x14ac:dyDescent="0.25">
      <c r="A3022" t="s">
        <v>24</v>
      </c>
      <c r="B3022">
        <v>2000</v>
      </c>
      <c r="C3022">
        <v>3</v>
      </c>
      <c r="D3022" t="s">
        <v>34</v>
      </c>
      <c r="E3022" t="s">
        <v>679</v>
      </c>
      <c r="F3022" t="s">
        <v>742</v>
      </c>
      <c r="G3022" t="s">
        <v>643</v>
      </c>
      <c r="H3022">
        <v>26</v>
      </c>
      <c r="I3022" t="s">
        <v>651</v>
      </c>
      <c r="J3022">
        <v>6000</v>
      </c>
      <c r="K3022" s="1">
        <v>44277</v>
      </c>
      <c r="L3022">
        <v>2021</v>
      </c>
      <c r="M3022" t="str">
        <f>UPPER(TEXT(_2020_2022[[#This Row],[Data da Venda]],"mmm"))</f>
        <v>MAR</v>
      </c>
    </row>
    <row r="3023" spans="1:13" x14ac:dyDescent="0.25">
      <c r="A3023" t="s">
        <v>1443</v>
      </c>
      <c r="B3023">
        <v>1550</v>
      </c>
      <c r="C3023">
        <v>4</v>
      </c>
      <c r="D3023" t="s">
        <v>29</v>
      </c>
      <c r="E3023" t="s">
        <v>641</v>
      </c>
      <c r="F3023" t="s">
        <v>953</v>
      </c>
      <c r="G3023" t="s">
        <v>643</v>
      </c>
      <c r="H3023">
        <v>45</v>
      </c>
      <c r="I3023" t="s">
        <v>644</v>
      </c>
      <c r="J3023">
        <v>6200</v>
      </c>
      <c r="K3023" s="1">
        <v>44256</v>
      </c>
      <c r="L3023">
        <v>2021</v>
      </c>
      <c r="M3023" t="str">
        <f>UPPER(TEXT(_2020_2022[[#This Row],[Data da Venda]],"mmm"))</f>
        <v>MAR</v>
      </c>
    </row>
    <row r="3024" spans="1:13" x14ac:dyDescent="0.25">
      <c r="A3024" t="s">
        <v>1440</v>
      </c>
      <c r="B3024">
        <v>700</v>
      </c>
      <c r="C3024">
        <v>1</v>
      </c>
      <c r="D3024" t="s">
        <v>37</v>
      </c>
      <c r="E3024" t="s">
        <v>645</v>
      </c>
      <c r="F3024" t="s">
        <v>1164</v>
      </c>
      <c r="G3024" t="s">
        <v>643</v>
      </c>
      <c r="H3024">
        <v>39</v>
      </c>
      <c r="I3024" t="s">
        <v>644</v>
      </c>
      <c r="J3024">
        <v>700</v>
      </c>
      <c r="K3024" s="1">
        <v>44436</v>
      </c>
      <c r="L3024">
        <v>2021</v>
      </c>
      <c r="M3024" t="str">
        <f>UPPER(TEXT(_2020_2022[[#This Row],[Data da Venda]],"mmm"))</f>
        <v>AGO</v>
      </c>
    </row>
    <row r="3025" spans="1:13" x14ac:dyDescent="0.25">
      <c r="A3025" t="s">
        <v>21</v>
      </c>
      <c r="B3025">
        <v>2400</v>
      </c>
      <c r="C3025">
        <v>2</v>
      </c>
      <c r="D3025" t="s">
        <v>35</v>
      </c>
      <c r="E3025" t="s">
        <v>666</v>
      </c>
      <c r="F3025" t="s">
        <v>1291</v>
      </c>
      <c r="G3025" t="s">
        <v>643</v>
      </c>
      <c r="H3025">
        <v>25</v>
      </c>
      <c r="I3025" t="s">
        <v>651</v>
      </c>
      <c r="J3025">
        <v>4800</v>
      </c>
      <c r="K3025" s="1">
        <v>44262</v>
      </c>
      <c r="L3025">
        <v>2021</v>
      </c>
      <c r="M3025" t="str">
        <f>UPPER(TEXT(_2020_2022[[#This Row],[Data da Venda]],"mmm"))</f>
        <v>MAR</v>
      </c>
    </row>
    <row r="3026" spans="1:13" x14ac:dyDescent="0.25">
      <c r="A3026" t="s">
        <v>21</v>
      </c>
      <c r="B3026">
        <v>2400</v>
      </c>
      <c r="C3026">
        <v>3</v>
      </c>
      <c r="D3026" t="s">
        <v>30</v>
      </c>
      <c r="E3026" t="s">
        <v>645</v>
      </c>
      <c r="F3026" t="s">
        <v>1350</v>
      </c>
      <c r="G3026" t="s">
        <v>643</v>
      </c>
      <c r="H3026">
        <v>59</v>
      </c>
      <c r="I3026" t="s">
        <v>647</v>
      </c>
      <c r="J3026">
        <v>7200</v>
      </c>
      <c r="K3026" s="1">
        <v>44270</v>
      </c>
      <c r="L3026">
        <v>2021</v>
      </c>
      <c r="M3026" t="str">
        <f>UPPER(TEXT(_2020_2022[[#This Row],[Data da Venda]],"mmm"))</f>
        <v>MAR</v>
      </c>
    </row>
    <row r="3027" spans="1:13" x14ac:dyDescent="0.25">
      <c r="A3027" t="s">
        <v>26</v>
      </c>
      <c r="B3027">
        <v>1100</v>
      </c>
      <c r="C3027">
        <v>4</v>
      </c>
      <c r="D3027" t="s">
        <v>35</v>
      </c>
      <c r="E3027" t="s">
        <v>666</v>
      </c>
      <c r="F3027" t="s">
        <v>1014</v>
      </c>
      <c r="G3027" t="s">
        <v>643</v>
      </c>
      <c r="H3027">
        <v>53</v>
      </c>
      <c r="I3027" t="s">
        <v>647</v>
      </c>
      <c r="J3027">
        <v>4400</v>
      </c>
      <c r="K3027" s="1">
        <v>44518</v>
      </c>
      <c r="L3027">
        <v>2021</v>
      </c>
      <c r="M3027" t="str">
        <f>UPPER(TEXT(_2020_2022[[#This Row],[Data da Venda]],"mmm"))</f>
        <v>NOV</v>
      </c>
    </row>
    <row r="3028" spans="1:13" x14ac:dyDescent="0.25">
      <c r="A3028" t="s">
        <v>1440</v>
      </c>
      <c r="B3028">
        <v>700</v>
      </c>
      <c r="C3028">
        <v>4</v>
      </c>
      <c r="D3028" t="s">
        <v>38</v>
      </c>
      <c r="E3028" t="s">
        <v>648</v>
      </c>
      <c r="F3028" t="s">
        <v>1363</v>
      </c>
      <c r="G3028" t="s">
        <v>643</v>
      </c>
      <c r="H3028">
        <v>70</v>
      </c>
      <c r="I3028" t="s">
        <v>647</v>
      </c>
      <c r="J3028">
        <v>2800</v>
      </c>
      <c r="K3028" s="1">
        <v>44444</v>
      </c>
      <c r="L3028">
        <v>2021</v>
      </c>
      <c r="M3028" t="str">
        <f>UPPER(TEXT(_2020_2022[[#This Row],[Data da Venda]],"mmm"))</f>
        <v>SET</v>
      </c>
    </row>
    <row r="3029" spans="1:13" x14ac:dyDescent="0.25">
      <c r="A3029" t="s">
        <v>26</v>
      </c>
      <c r="B3029">
        <v>1100</v>
      </c>
      <c r="C3029">
        <v>3</v>
      </c>
      <c r="D3029" t="s">
        <v>40</v>
      </c>
      <c r="E3029" t="s">
        <v>657</v>
      </c>
      <c r="F3029" t="s">
        <v>1008</v>
      </c>
      <c r="G3029" t="s">
        <v>650</v>
      </c>
      <c r="H3029">
        <v>36</v>
      </c>
      <c r="I3029" t="s">
        <v>644</v>
      </c>
      <c r="J3029">
        <v>3300</v>
      </c>
      <c r="K3029" s="1">
        <v>44446</v>
      </c>
      <c r="L3029">
        <v>2021</v>
      </c>
      <c r="M3029" t="str">
        <f>UPPER(TEXT(_2020_2022[[#This Row],[Data da Venda]],"mmm"))</f>
        <v>SET</v>
      </c>
    </row>
    <row r="3030" spans="1:13" x14ac:dyDescent="0.25">
      <c r="A3030" t="s">
        <v>16</v>
      </c>
      <c r="B3030">
        <v>1400</v>
      </c>
      <c r="C3030">
        <v>3</v>
      </c>
      <c r="D3030" t="s">
        <v>38</v>
      </c>
      <c r="E3030" t="s">
        <v>648</v>
      </c>
      <c r="F3030" t="s">
        <v>1131</v>
      </c>
      <c r="G3030" t="s">
        <v>650</v>
      </c>
      <c r="H3030">
        <v>75</v>
      </c>
      <c r="I3030" t="s">
        <v>647</v>
      </c>
      <c r="J3030">
        <v>4200</v>
      </c>
      <c r="K3030" s="1">
        <v>44351</v>
      </c>
      <c r="L3030">
        <v>2021</v>
      </c>
      <c r="M3030" t="str">
        <f>UPPER(TEXT(_2020_2022[[#This Row],[Data da Venda]],"mmm"))</f>
        <v>JUN</v>
      </c>
    </row>
    <row r="3031" spans="1:13" x14ac:dyDescent="0.25">
      <c r="A3031" t="s">
        <v>21</v>
      </c>
      <c r="B3031">
        <v>2400</v>
      </c>
      <c r="C3031">
        <v>1</v>
      </c>
      <c r="D3031" t="s">
        <v>36</v>
      </c>
      <c r="E3031" t="s">
        <v>677</v>
      </c>
      <c r="F3031" t="s">
        <v>1253</v>
      </c>
      <c r="G3031" t="s">
        <v>650</v>
      </c>
      <c r="H3031">
        <v>54</v>
      </c>
      <c r="I3031" t="s">
        <v>647</v>
      </c>
      <c r="J3031">
        <v>2400</v>
      </c>
      <c r="K3031" s="1">
        <v>44498</v>
      </c>
      <c r="L3031">
        <v>2021</v>
      </c>
      <c r="M3031" t="str">
        <f>UPPER(TEXT(_2020_2022[[#This Row],[Data da Venda]],"mmm"))</f>
        <v>OUT</v>
      </c>
    </row>
    <row r="3032" spans="1:13" x14ac:dyDescent="0.25">
      <c r="A3032" t="s">
        <v>16</v>
      </c>
      <c r="B3032">
        <v>1400</v>
      </c>
      <c r="C3032">
        <v>5</v>
      </c>
      <c r="D3032" t="s">
        <v>38</v>
      </c>
      <c r="E3032" t="s">
        <v>648</v>
      </c>
      <c r="F3032" t="s">
        <v>966</v>
      </c>
      <c r="G3032" t="s">
        <v>643</v>
      </c>
      <c r="H3032">
        <v>42</v>
      </c>
      <c r="I3032" t="s">
        <v>644</v>
      </c>
      <c r="J3032">
        <v>7000</v>
      </c>
      <c r="K3032" s="1">
        <v>44314</v>
      </c>
      <c r="L3032">
        <v>2021</v>
      </c>
      <c r="M3032" t="str">
        <f>UPPER(TEXT(_2020_2022[[#This Row],[Data da Venda]],"mmm"))</f>
        <v>ABR</v>
      </c>
    </row>
    <row r="3033" spans="1:13" x14ac:dyDescent="0.25">
      <c r="A3033" t="s">
        <v>20</v>
      </c>
      <c r="B3033">
        <v>2600</v>
      </c>
      <c r="C3033">
        <v>3</v>
      </c>
      <c r="D3033" t="s">
        <v>29</v>
      </c>
      <c r="E3033" t="s">
        <v>641</v>
      </c>
      <c r="F3033" t="s">
        <v>986</v>
      </c>
      <c r="G3033" t="s">
        <v>650</v>
      </c>
      <c r="H3033">
        <v>53</v>
      </c>
      <c r="I3033" t="s">
        <v>647</v>
      </c>
      <c r="J3033">
        <v>7800</v>
      </c>
      <c r="K3033" s="1">
        <v>44406</v>
      </c>
      <c r="L3033">
        <v>2021</v>
      </c>
      <c r="M3033" t="str">
        <f>UPPER(TEXT(_2020_2022[[#This Row],[Data da Venda]],"mmm"))</f>
        <v>JUL</v>
      </c>
    </row>
    <row r="3034" spans="1:13" x14ac:dyDescent="0.25">
      <c r="A3034" t="s">
        <v>1443</v>
      </c>
      <c r="B3034">
        <v>1550</v>
      </c>
      <c r="C3034">
        <v>3</v>
      </c>
      <c r="D3034" t="s">
        <v>29</v>
      </c>
      <c r="E3034" t="s">
        <v>641</v>
      </c>
      <c r="F3034" t="s">
        <v>924</v>
      </c>
      <c r="G3034" t="s">
        <v>643</v>
      </c>
      <c r="H3034">
        <v>57</v>
      </c>
      <c r="I3034" t="s">
        <v>647</v>
      </c>
      <c r="J3034">
        <v>4650</v>
      </c>
      <c r="K3034" s="1">
        <v>44211</v>
      </c>
      <c r="L3034">
        <v>2021</v>
      </c>
      <c r="M3034" t="str">
        <f>UPPER(TEXT(_2020_2022[[#This Row],[Data da Venda]],"mmm"))</f>
        <v>JAN</v>
      </c>
    </row>
    <row r="3035" spans="1:13" x14ac:dyDescent="0.25">
      <c r="A3035" t="s">
        <v>11</v>
      </c>
      <c r="B3035">
        <v>4500</v>
      </c>
      <c r="C3035">
        <v>1</v>
      </c>
      <c r="D3035" t="s">
        <v>31</v>
      </c>
      <c r="E3035" t="s">
        <v>645</v>
      </c>
      <c r="F3035" t="s">
        <v>811</v>
      </c>
      <c r="G3035" t="s">
        <v>650</v>
      </c>
      <c r="H3035">
        <v>56</v>
      </c>
      <c r="I3035" t="s">
        <v>647</v>
      </c>
      <c r="J3035">
        <v>4500</v>
      </c>
      <c r="K3035" s="1">
        <v>44508</v>
      </c>
      <c r="L3035">
        <v>2021</v>
      </c>
      <c r="M3035" t="str">
        <f>UPPER(TEXT(_2020_2022[[#This Row],[Data da Venda]],"mmm"))</f>
        <v>NOV</v>
      </c>
    </row>
    <row r="3036" spans="1:13" x14ac:dyDescent="0.25">
      <c r="A3036" t="s">
        <v>5</v>
      </c>
      <c r="B3036">
        <v>1750</v>
      </c>
      <c r="C3036">
        <v>5</v>
      </c>
      <c r="D3036" t="s">
        <v>34</v>
      </c>
      <c r="E3036" t="s">
        <v>679</v>
      </c>
      <c r="F3036" t="s">
        <v>1394</v>
      </c>
      <c r="G3036" t="s">
        <v>650</v>
      </c>
      <c r="H3036">
        <v>47</v>
      </c>
      <c r="I3036" t="s">
        <v>644</v>
      </c>
      <c r="J3036">
        <v>8750</v>
      </c>
      <c r="K3036" s="1">
        <v>44488</v>
      </c>
      <c r="L3036">
        <v>2021</v>
      </c>
      <c r="M3036" t="str">
        <f>UPPER(TEXT(_2020_2022[[#This Row],[Data da Venda]],"mmm"))</f>
        <v>OUT</v>
      </c>
    </row>
    <row r="3037" spans="1:13" x14ac:dyDescent="0.25">
      <c r="A3037" t="s">
        <v>1445</v>
      </c>
      <c r="B3037">
        <v>1500</v>
      </c>
      <c r="C3037">
        <v>2</v>
      </c>
      <c r="D3037" t="s">
        <v>33</v>
      </c>
      <c r="E3037" t="s">
        <v>641</v>
      </c>
      <c r="F3037" t="s">
        <v>970</v>
      </c>
      <c r="G3037" t="s">
        <v>643</v>
      </c>
      <c r="H3037">
        <v>75</v>
      </c>
      <c r="I3037" t="s">
        <v>647</v>
      </c>
      <c r="J3037">
        <v>3000</v>
      </c>
      <c r="K3037" s="1">
        <v>44516</v>
      </c>
      <c r="L3037">
        <v>2021</v>
      </c>
      <c r="M3037" t="str">
        <f>UPPER(TEXT(_2020_2022[[#This Row],[Data da Venda]],"mmm"))</f>
        <v>NOV</v>
      </c>
    </row>
    <row r="3038" spans="1:13" x14ac:dyDescent="0.25">
      <c r="A3038" t="s">
        <v>24</v>
      </c>
      <c r="B3038">
        <v>2000</v>
      </c>
      <c r="C3038">
        <v>2</v>
      </c>
      <c r="D3038" t="s">
        <v>29</v>
      </c>
      <c r="E3038" t="s">
        <v>641</v>
      </c>
      <c r="F3038" t="s">
        <v>748</v>
      </c>
      <c r="G3038" t="s">
        <v>643</v>
      </c>
      <c r="H3038">
        <v>29</v>
      </c>
      <c r="I3038" t="s">
        <v>651</v>
      </c>
      <c r="J3038">
        <v>4000</v>
      </c>
      <c r="K3038" s="1">
        <v>44368</v>
      </c>
      <c r="L3038">
        <v>2021</v>
      </c>
      <c r="M3038" t="str">
        <f>UPPER(TEXT(_2020_2022[[#This Row],[Data da Venda]],"mmm"))</f>
        <v>JUN</v>
      </c>
    </row>
    <row r="3039" spans="1:13" x14ac:dyDescent="0.25">
      <c r="A3039" t="s">
        <v>25</v>
      </c>
      <c r="B3039">
        <v>2500</v>
      </c>
      <c r="C3039">
        <v>4</v>
      </c>
      <c r="D3039" t="s">
        <v>36</v>
      </c>
      <c r="E3039" t="s">
        <v>677</v>
      </c>
      <c r="F3039" t="s">
        <v>1253</v>
      </c>
      <c r="G3039" t="s">
        <v>650</v>
      </c>
      <c r="H3039">
        <v>54</v>
      </c>
      <c r="I3039" t="s">
        <v>647</v>
      </c>
      <c r="J3039">
        <v>10000</v>
      </c>
      <c r="K3039" s="1">
        <v>44197</v>
      </c>
      <c r="L3039">
        <v>2021</v>
      </c>
      <c r="M3039" t="str">
        <f>UPPER(TEXT(_2020_2022[[#This Row],[Data da Venda]],"mmm"))</f>
        <v>JAN</v>
      </c>
    </row>
    <row r="3040" spans="1:13" x14ac:dyDescent="0.25">
      <c r="A3040" t="s">
        <v>16</v>
      </c>
      <c r="B3040">
        <v>1400</v>
      </c>
      <c r="C3040">
        <v>4</v>
      </c>
      <c r="D3040" t="s">
        <v>33</v>
      </c>
      <c r="E3040" t="s">
        <v>641</v>
      </c>
      <c r="F3040" t="s">
        <v>1346</v>
      </c>
      <c r="G3040" t="s">
        <v>650</v>
      </c>
      <c r="H3040">
        <v>31</v>
      </c>
      <c r="I3040" t="s">
        <v>644</v>
      </c>
      <c r="J3040">
        <v>5600</v>
      </c>
      <c r="K3040" s="1">
        <v>44526</v>
      </c>
      <c r="L3040">
        <v>2021</v>
      </c>
      <c r="M3040" t="str">
        <f>UPPER(TEXT(_2020_2022[[#This Row],[Data da Venda]],"mmm"))</f>
        <v>NOV</v>
      </c>
    </row>
    <row r="3041" spans="1:13" x14ac:dyDescent="0.25">
      <c r="A3041" t="s">
        <v>26</v>
      </c>
      <c r="B3041">
        <v>1100</v>
      </c>
      <c r="C3041">
        <v>1</v>
      </c>
      <c r="D3041" t="s">
        <v>40</v>
      </c>
      <c r="E3041" t="s">
        <v>657</v>
      </c>
      <c r="F3041" t="s">
        <v>674</v>
      </c>
      <c r="G3041" t="s">
        <v>643</v>
      </c>
      <c r="H3041">
        <v>60</v>
      </c>
      <c r="I3041" t="s">
        <v>647</v>
      </c>
      <c r="J3041">
        <v>1100</v>
      </c>
      <c r="K3041" s="1">
        <v>44279</v>
      </c>
      <c r="L3041">
        <v>2021</v>
      </c>
      <c r="M3041" t="str">
        <f>UPPER(TEXT(_2020_2022[[#This Row],[Data da Venda]],"mmm"))</f>
        <v>MAR</v>
      </c>
    </row>
    <row r="3042" spans="1:13" x14ac:dyDescent="0.25">
      <c r="A3042" t="s">
        <v>24</v>
      </c>
      <c r="B3042">
        <v>2000</v>
      </c>
      <c r="C3042">
        <v>1</v>
      </c>
      <c r="D3042" t="s">
        <v>38</v>
      </c>
      <c r="E3042" t="s">
        <v>648</v>
      </c>
      <c r="F3042" t="s">
        <v>1363</v>
      </c>
      <c r="G3042" t="s">
        <v>643</v>
      </c>
      <c r="H3042">
        <v>70</v>
      </c>
      <c r="I3042" t="s">
        <v>647</v>
      </c>
      <c r="J3042">
        <v>2000</v>
      </c>
      <c r="K3042" s="1">
        <v>44205</v>
      </c>
      <c r="L3042">
        <v>2021</v>
      </c>
      <c r="M3042" t="str">
        <f>UPPER(TEXT(_2020_2022[[#This Row],[Data da Venda]],"mmm"))</f>
        <v>JAN</v>
      </c>
    </row>
    <row r="3043" spans="1:13" x14ac:dyDescent="0.25">
      <c r="A3043" t="s">
        <v>12</v>
      </c>
      <c r="B3043">
        <v>6500</v>
      </c>
      <c r="C3043">
        <v>4</v>
      </c>
      <c r="D3043" t="s">
        <v>36</v>
      </c>
      <c r="E3043" t="s">
        <v>677</v>
      </c>
      <c r="F3043" t="s">
        <v>865</v>
      </c>
      <c r="G3043" t="s">
        <v>650</v>
      </c>
      <c r="H3043">
        <v>74</v>
      </c>
      <c r="I3043" t="s">
        <v>647</v>
      </c>
      <c r="J3043">
        <v>26000</v>
      </c>
      <c r="K3043" s="1">
        <v>44326</v>
      </c>
      <c r="L3043">
        <v>2021</v>
      </c>
      <c r="M3043" t="str">
        <f>UPPER(TEXT(_2020_2022[[#This Row],[Data da Venda]],"mmm"))</f>
        <v>MAI</v>
      </c>
    </row>
    <row r="3044" spans="1:13" x14ac:dyDescent="0.25">
      <c r="A3044" t="s">
        <v>15</v>
      </c>
      <c r="B3044">
        <v>1900</v>
      </c>
      <c r="C3044">
        <v>1</v>
      </c>
      <c r="D3044" t="s">
        <v>40</v>
      </c>
      <c r="E3044" t="s">
        <v>657</v>
      </c>
      <c r="F3044" t="s">
        <v>1193</v>
      </c>
      <c r="G3044" t="s">
        <v>650</v>
      </c>
      <c r="H3044">
        <v>53</v>
      </c>
      <c r="I3044" t="s">
        <v>647</v>
      </c>
      <c r="J3044">
        <v>1900</v>
      </c>
      <c r="K3044" s="1">
        <v>44429</v>
      </c>
      <c r="L3044">
        <v>2021</v>
      </c>
      <c r="M3044" t="str">
        <f>UPPER(TEXT(_2020_2022[[#This Row],[Data da Venda]],"mmm"))</f>
        <v>AGO</v>
      </c>
    </row>
    <row r="3045" spans="1:13" x14ac:dyDescent="0.25">
      <c r="A3045" t="s">
        <v>11</v>
      </c>
      <c r="B3045">
        <v>4500</v>
      </c>
      <c r="C3045">
        <v>4</v>
      </c>
      <c r="D3045" t="s">
        <v>29</v>
      </c>
      <c r="E3045" t="s">
        <v>641</v>
      </c>
      <c r="F3045" t="s">
        <v>757</v>
      </c>
      <c r="G3045" t="s">
        <v>643</v>
      </c>
      <c r="H3045">
        <v>30</v>
      </c>
      <c r="I3045" t="s">
        <v>644</v>
      </c>
      <c r="J3045">
        <v>18000</v>
      </c>
      <c r="K3045" s="1">
        <v>44208</v>
      </c>
      <c r="L3045">
        <v>2021</v>
      </c>
      <c r="M3045" t="str">
        <f>UPPER(TEXT(_2020_2022[[#This Row],[Data da Venda]],"mmm"))</f>
        <v>JAN</v>
      </c>
    </row>
    <row r="3046" spans="1:13" x14ac:dyDescent="0.25">
      <c r="A3046" t="s">
        <v>1445</v>
      </c>
      <c r="B3046">
        <v>1500</v>
      </c>
      <c r="C3046">
        <v>1</v>
      </c>
      <c r="D3046" t="s">
        <v>30</v>
      </c>
      <c r="E3046" t="s">
        <v>645</v>
      </c>
      <c r="F3046" t="s">
        <v>1266</v>
      </c>
      <c r="G3046" t="s">
        <v>650</v>
      </c>
      <c r="H3046">
        <v>39</v>
      </c>
      <c r="I3046" t="s">
        <v>644</v>
      </c>
      <c r="J3046">
        <v>1500</v>
      </c>
      <c r="K3046" s="1">
        <v>44504</v>
      </c>
      <c r="L3046">
        <v>2021</v>
      </c>
      <c r="M3046" t="str">
        <f>UPPER(TEXT(_2020_2022[[#This Row],[Data da Venda]],"mmm"))</f>
        <v>NOV</v>
      </c>
    </row>
    <row r="3047" spans="1:13" x14ac:dyDescent="0.25">
      <c r="A3047" t="s">
        <v>25</v>
      </c>
      <c r="B3047">
        <v>2500</v>
      </c>
      <c r="C3047">
        <v>5</v>
      </c>
      <c r="D3047" t="s">
        <v>31</v>
      </c>
      <c r="E3047" t="s">
        <v>645</v>
      </c>
      <c r="F3047" t="s">
        <v>697</v>
      </c>
      <c r="G3047" t="s">
        <v>650</v>
      </c>
      <c r="H3047">
        <v>35</v>
      </c>
      <c r="I3047" t="s">
        <v>644</v>
      </c>
      <c r="J3047">
        <v>12500</v>
      </c>
      <c r="K3047" s="1">
        <v>44492</v>
      </c>
      <c r="L3047">
        <v>2021</v>
      </c>
      <c r="M3047" t="str">
        <f>UPPER(TEXT(_2020_2022[[#This Row],[Data da Venda]],"mmm"))</f>
        <v>OUT</v>
      </c>
    </row>
    <row r="3048" spans="1:13" x14ac:dyDescent="0.25">
      <c r="A3048" t="s">
        <v>1441</v>
      </c>
      <c r="B3048">
        <v>1450</v>
      </c>
      <c r="C3048">
        <v>2</v>
      </c>
      <c r="D3048" t="s">
        <v>32</v>
      </c>
      <c r="E3048" t="s">
        <v>652</v>
      </c>
      <c r="F3048" t="s">
        <v>719</v>
      </c>
      <c r="G3048" t="s">
        <v>643</v>
      </c>
      <c r="H3048">
        <v>34</v>
      </c>
      <c r="I3048" t="s">
        <v>644</v>
      </c>
      <c r="J3048">
        <v>2900</v>
      </c>
      <c r="K3048" s="1">
        <v>44533</v>
      </c>
      <c r="L3048">
        <v>2021</v>
      </c>
      <c r="M3048" t="str">
        <f>UPPER(TEXT(_2020_2022[[#This Row],[Data da Venda]],"mmm"))</f>
        <v>DEZ</v>
      </c>
    </row>
    <row r="3049" spans="1:13" x14ac:dyDescent="0.25">
      <c r="A3049" t="s">
        <v>24</v>
      </c>
      <c r="B3049">
        <v>2000</v>
      </c>
      <c r="C3049">
        <v>2</v>
      </c>
      <c r="D3049" t="s">
        <v>36</v>
      </c>
      <c r="E3049" t="s">
        <v>677</v>
      </c>
      <c r="F3049" t="s">
        <v>1389</v>
      </c>
      <c r="G3049" t="s">
        <v>643</v>
      </c>
      <c r="H3049">
        <v>35</v>
      </c>
      <c r="I3049" t="s">
        <v>644</v>
      </c>
      <c r="J3049">
        <v>4000</v>
      </c>
      <c r="K3049" s="1">
        <v>44292</v>
      </c>
      <c r="L3049">
        <v>2021</v>
      </c>
      <c r="M3049" t="str">
        <f>UPPER(TEXT(_2020_2022[[#This Row],[Data da Venda]],"mmm"))</f>
        <v>ABR</v>
      </c>
    </row>
    <row r="3050" spans="1:13" x14ac:dyDescent="0.25">
      <c r="A3050" t="s">
        <v>1441</v>
      </c>
      <c r="B3050">
        <v>1450</v>
      </c>
      <c r="C3050">
        <v>3</v>
      </c>
      <c r="D3050" t="s">
        <v>31</v>
      </c>
      <c r="E3050" t="s">
        <v>645</v>
      </c>
      <c r="F3050" t="s">
        <v>1187</v>
      </c>
      <c r="G3050" t="s">
        <v>650</v>
      </c>
      <c r="H3050">
        <v>27</v>
      </c>
      <c r="I3050" t="s">
        <v>651</v>
      </c>
      <c r="J3050">
        <v>4350</v>
      </c>
      <c r="K3050" s="1">
        <v>44321</v>
      </c>
      <c r="L3050">
        <v>2021</v>
      </c>
      <c r="M3050" t="str">
        <f>UPPER(TEXT(_2020_2022[[#This Row],[Data da Venda]],"mmm"))</f>
        <v>MAI</v>
      </c>
    </row>
    <row r="3051" spans="1:13" x14ac:dyDescent="0.25">
      <c r="A3051" t="s">
        <v>14</v>
      </c>
      <c r="B3051">
        <v>2000</v>
      </c>
      <c r="C3051">
        <v>2</v>
      </c>
      <c r="D3051" t="s">
        <v>32</v>
      </c>
      <c r="E3051" t="s">
        <v>652</v>
      </c>
      <c r="F3051" t="s">
        <v>1031</v>
      </c>
      <c r="G3051" t="s">
        <v>643</v>
      </c>
      <c r="H3051">
        <v>44</v>
      </c>
      <c r="I3051" t="s">
        <v>644</v>
      </c>
      <c r="J3051">
        <v>4000</v>
      </c>
      <c r="K3051" s="1">
        <v>44377</v>
      </c>
      <c r="L3051">
        <v>2021</v>
      </c>
      <c r="M3051" t="str">
        <f>UPPER(TEXT(_2020_2022[[#This Row],[Data da Venda]],"mmm"))</f>
        <v>JUN</v>
      </c>
    </row>
    <row r="3052" spans="1:13" x14ac:dyDescent="0.25">
      <c r="A3052" t="s">
        <v>1440</v>
      </c>
      <c r="B3052">
        <v>700</v>
      </c>
      <c r="C3052">
        <v>1</v>
      </c>
      <c r="D3052" t="s">
        <v>36</v>
      </c>
      <c r="E3052" t="s">
        <v>677</v>
      </c>
      <c r="F3052" t="s">
        <v>998</v>
      </c>
      <c r="G3052" t="s">
        <v>650</v>
      </c>
      <c r="H3052">
        <v>68</v>
      </c>
      <c r="I3052" t="s">
        <v>647</v>
      </c>
      <c r="J3052">
        <v>700</v>
      </c>
      <c r="K3052" s="1">
        <v>44430</v>
      </c>
      <c r="L3052">
        <v>2021</v>
      </c>
      <c r="M3052" t="str">
        <f>UPPER(TEXT(_2020_2022[[#This Row],[Data da Venda]],"mmm"))</f>
        <v>AGO</v>
      </c>
    </row>
    <row r="3053" spans="1:13" x14ac:dyDescent="0.25">
      <c r="A3053" t="s">
        <v>1443</v>
      </c>
      <c r="B3053">
        <v>1550</v>
      </c>
      <c r="C3053">
        <v>2</v>
      </c>
      <c r="D3053" t="s">
        <v>29</v>
      </c>
      <c r="E3053" t="s">
        <v>641</v>
      </c>
      <c r="F3053" t="s">
        <v>1145</v>
      </c>
      <c r="G3053" t="s">
        <v>650</v>
      </c>
      <c r="H3053">
        <v>29</v>
      </c>
      <c r="I3053" t="s">
        <v>651</v>
      </c>
      <c r="J3053">
        <v>3100</v>
      </c>
      <c r="K3053" s="1">
        <v>44453</v>
      </c>
      <c r="L3053">
        <v>2021</v>
      </c>
      <c r="M3053" t="str">
        <f>UPPER(TEXT(_2020_2022[[#This Row],[Data da Venda]],"mmm"))</f>
        <v>SET</v>
      </c>
    </row>
    <row r="3054" spans="1:13" x14ac:dyDescent="0.25">
      <c r="A3054" t="s">
        <v>8</v>
      </c>
      <c r="B3054">
        <v>5500</v>
      </c>
      <c r="C3054">
        <v>2</v>
      </c>
      <c r="D3054" t="s">
        <v>35</v>
      </c>
      <c r="E3054" t="s">
        <v>666</v>
      </c>
      <c r="F3054" t="s">
        <v>724</v>
      </c>
      <c r="G3054" t="s">
        <v>643</v>
      </c>
      <c r="H3054">
        <v>55</v>
      </c>
      <c r="I3054" t="s">
        <v>647</v>
      </c>
      <c r="J3054">
        <v>11000</v>
      </c>
      <c r="K3054" s="1">
        <v>44387</v>
      </c>
      <c r="L3054">
        <v>2021</v>
      </c>
      <c r="M3054" t="str">
        <f>UPPER(TEXT(_2020_2022[[#This Row],[Data da Venda]],"mmm"))</f>
        <v>JUL</v>
      </c>
    </row>
    <row r="3055" spans="1:13" x14ac:dyDescent="0.25">
      <c r="A3055" t="s">
        <v>9</v>
      </c>
      <c r="B3055">
        <v>1500</v>
      </c>
      <c r="C3055">
        <v>1</v>
      </c>
      <c r="D3055" t="s">
        <v>35</v>
      </c>
      <c r="E3055" t="s">
        <v>666</v>
      </c>
      <c r="F3055" t="s">
        <v>672</v>
      </c>
      <c r="G3055" t="s">
        <v>643</v>
      </c>
      <c r="H3055">
        <v>43</v>
      </c>
      <c r="I3055" t="s">
        <v>644</v>
      </c>
      <c r="J3055">
        <v>1500</v>
      </c>
      <c r="K3055" s="1">
        <v>44240</v>
      </c>
      <c r="L3055">
        <v>2021</v>
      </c>
      <c r="M3055" t="str">
        <f>UPPER(TEXT(_2020_2022[[#This Row],[Data da Venda]],"mmm"))</f>
        <v>FEV</v>
      </c>
    </row>
    <row r="3056" spans="1:13" x14ac:dyDescent="0.25">
      <c r="A3056" t="s">
        <v>8</v>
      </c>
      <c r="B3056">
        <v>5500</v>
      </c>
      <c r="C3056">
        <v>1</v>
      </c>
      <c r="D3056" t="s">
        <v>32</v>
      </c>
      <c r="E3056" t="s">
        <v>652</v>
      </c>
      <c r="F3056" t="s">
        <v>893</v>
      </c>
      <c r="G3056" t="s">
        <v>650</v>
      </c>
      <c r="H3056">
        <v>69</v>
      </c>
      <c r="I3056" t="s">
        <v>647</v>
      </c>
      <c r="J3056">
        <v>5500</v>
      </c>
      <c r="K3056" s="1">
        <v>44371</v>
      </c>
      <c r="L3056">
        <v>2021</v>
      </c>
      <c r="M3056" t="str">
        <f>UPPER(TEXT(_2020_2022[[#This Row],[Data da Venda]],"mmm"))</f>
        <v>JUN</v>
      </c>
    </row>
    <row r="3057" spans="1:13" x14ac:dyDescent="0.25">
      <c r="A3057" t="s">
        <v>1440</v>
      </c>
      <c r="B3057">
        <v>700</v>
      </c>
      <c r="C3057">
        <v>3</v>
      </c>
      <c r="D3057" t="s">
        <v>37</v>
      </c>
      <c r="E3057" t="s">
        <v>645</v>
      </c>
      <c r="F3057" t="s">
        <v>1258</v>
      </c>
      <c r="G3057" t="s">
        <v>643</v>
      </c>
      <c r="H3057">
        <v>61</v>
      </c>
      <c r="I3057" t="s">
        <v>647</v>
      </c>
      <c r="J3057">
        <v>2100</v>
      </c>
      <c r="K3057" s="1">
        <v>44265</v>
      </c>
      <c r="L3057">
        <v>2021</v>
      </c>
      <c r="M3057" t="str">
        <f>UPPER(TEXT(_2020_2022[[#This Row],[Data da Venda]],"mmm"))</f>
        <v>MAR</v>
      </c>
    </row>
    <row r="3058" spans="1:13" x14ac:dyDescent="0.25">
      <c r="A3058" t="s">
        <v>15</v>
      </c>
      <c r="B3058">
        <v>1900</v>
      </c>
      <c r="C3058">
        <v>4</v>
      </c>
      <c r="D3058" t="s">
        <v>32</v>
      </c>
      <c r="E3058" t="s">
        <v>652</v>
      </c>
      <c r="F3058" t="s">
        <v>1031</v>
      </c>
      <c r="G3058" t="s">
        <v>643</v>
      </c>
      <c r="H3058">
        <v>44</v>
      </c>
      <c r="I3058" t="s">
        <v>644</v>
      </c>
      <c r="J3058">
        <v>7600</v>
      </c>
      <c r="K3058" s="1">
        <v>44382</v>
      </c>
      <c r="L3058">
        <v>2021</v>
      </c>
      <c r="M3058" t="str">
        <f>UPPER(TEXT(_2020_2022[[#This Row],[Data da Venda]],"mmm"))</f>
        <v>JUL</v>
      </c>
    </row>
    <row r="3059" spans="1:13" x14ac:dyDescent="0.25">
      <c r="A3059" t="s">
        <v>22</v>
      </c>
      <c r="B3059">
        <v>5200</v>
      </c>
      <c r="C3059">
        <v>1</v>
      </c>
      <c r="D3059" t="s">
        <v>34</v>
      </c>
      <c r="E3059" t="s">
        <v>679</v>
      </c>
      <c r="F3059" t="s">
        <v>1205</v>
      </c>
      <c r="G3059" t="s">
        <v>643</v>
      </c>
      <c r="H3059">
        <v>62</v>
      </c>
      <c r="I3059" t="s">
        <v>647</v>
      </c>
      <c r="J3059">
        <v>5200</v>
      </c>
      <c r="K3059" s="1">
        <v>44372</v>
      </c>
      <c r="L3059">
        <v>2021</v>
      </c>
      <c r="M3059" t="str">
        <f>UPPER(TEXT(_2020_2022[[#This Row],[Data da Venda]],"mmm"))</f>
        <v>JUN</v>
      </c>
    </row>
    <row r="3060" spans="1:13" x14ac:dyDescent="0.25">
      <c r="A3060" t="s">
        <v>7</v>
      </c>
      <c r="B3060">
        <v>750</v>
      </c>
      <c r="C3060">
        <v>2</v>
      </c>
      <c r="D3060" t="s">
        <v>35</v>
      </c>
      <c r="E3060" t="s">
        <v>666</v>
      </c>
      <c r="F3060" t="s">
        <v>1272</v>
      </c>
      <c r="G3060" t="s">
        <v>643</v>
      </c>
      <c r="H3060">
        <v>27</v>
      </c>
      <c r="I3060" t="s">
        <v>651</v>
      </c>
      <c r="J3060">
        <v>1500</v>
      </c>
      <c r="K3060" s="1">
        <v>44306</v>
      </c>
      <c r="L3060">
        <v>2021</v>
      </c>
      <c r="M3060" t="str">
        <f>UPPER(TEXT(_2020_2022[[#This Row],[Data da Venda]],"mmm"))</f>
        <v>ABR</v>
      </c>
    </row>
    <row r="3061" spans="1:13" x14ac:dyDescent="0.25">
      <c r="A3061" t="s">
        <v>11</v>
      </c>
      <c r="B3061">
        <v>4500</v>
      </c>
      <c r="C3061">
        <v>4</v>
      </c>
      <c r="D3061" t="s">
        <v>39</v>
      </c>
      <c r="E3061" t="s">
        <v>641</v>
      </c>
      <c r="F3061" t="s">
        <v>1285</v>
      </c>
      <c r="G3061" t="s">
        <v>643</v>
      </c>
      <c r="H3061">
        <v>59</v>
      </c>
      <c r="I3061" t="s">
        <v>647</v>
      </c>
      <c r="J3061">
        <v>18000</v>
      </c>
      <c r="K3061" s="1">
        <v>44406</v>
      </c>
      <c r="L3061">
        <v>2021</v>
      </c>
      <c r="M3061" t="str">
        <f>UPPER(TEXT(_2020_2022[[#This Row],[Data da Venda]],"mmm"))</f>
        <v>JUL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50526-E494-442E-A658-56912B376D76}">
  <sheetPr codeName="Planilha3"/>
  <dimension ref="A1:E24"/>
  <sheetViews>
    <sheetView workbookViewId="0">
      <selection activeCell="Q33" sqref="Q33"/>
    </sheetView>
  </sheetViews>
  <sheetFormatPr defaultRowHeight="15" x14ac:dyDescent="0.25"/>
  <cols>
    <col min="1" max="1" width="27.85546875" bestFit="1" customWidth="1"/>
    <col min="5" max="5" width="27.28515625" customWidth="1"/>
  </cols>
  <sheetData>
    <row r="1" spans="1:5" x14ac:dyDescent="0.25">
      <c r="A1" t="s">
        <v>1419</v>
      </c>
      <c r="E1" s="12" t="s">
        <v>5</v>
      </c>
    </row>
    <row r="2" spans="1:5" x14ac:dyDescent="0.25">
      <c r="A2" s="15">
        <v>2168450</v>
      </c>
      <c r="E2" s="13" t="s">
        <v>21</v>
      </c>
    </row>
    <row r="3" spans="1:5" x14ac:dyDescent="0.25">
      <c r="E3" s="12" t="s">
        <v>17</v>
      </c>
    </row>
    <row r="4" spans="1:5" x14ac:dyDescent="0.25">
      <c r="E4" s="13" t="s">
        <v>27</v>
      </c>
    </row>
    <row r="5" spans="1:5" x14ac:dyDescent="0.25">
      <c r="A5" t="s">
        <v>1420</v>
      </c>
      <c r="E5" s="12" t="s">
        <v>1440</v>
      </c>
    </row>
    <row r="6" spans="1:5" x14ac:dyDescent="0.25">
      <c r="A6" s="17">
        <v>947</v>
      </c>
      <c r="E6" s="13" t="s">
        <v>8</v>
      </c>
    </row>
    <row r="7" spans="1:5" x14ac:dyDescent="0.25">
      <c r="E7" s="12" t="s">
        <v>26</v>
      </c>
    </row>
    <row r="8" spans="1:5" x14ac:dyDescent="0.25">
      <c r="E8" s="12" t="s">
        <v>11</v>
      </c>
    </row>
    <row r="9" spans="1:5" x14ac:dyDescent="0.25">
      <c r="E9" s="13" t="s">
        <v>18</v>
      </c>
    </row>
    <row r="10" spans="1:5" x14ac:dyDescent="0.25">
      <c r="E10" s="13" t="s">
        <v>13</v>
      </c>
    </row>
    <row r="11" spans="1:5" x14ac:dyDescent="0.25">
      <c r="E11" s="13" t="s">
        <v>1437</v>
      </c>
    </row>
    <row r="12" spans="1:5" x14ac:dyDescent="0.25">
      <c r="E12" s="12" t="s">
        <v>1439</v>
      </c>
    </row>
    <row r="13" spans="1:5" x14ac:dyDescent="0.25">
      <c r="E13" s="12" t="s">
        <v>1436</v>
      </c>
    </row>
    <row r="14" spans="1:5" x14ac:dyDescent="0.25">
      <c r="E14" s="12" t="s">
        <v>1438</v>
      </c>
    </row>
    <row r="15" spans="1:5" x14ac:dyDescent="0.25">
      <c r="E15" s="13" t="s">
        <v>28</v>
      </c>
    </row>
    <row r="16" spans="1:5" x14ac:dyDescent="0.25">
      <c r="E16" s="13" t="s">
        <v>9</v>
      </c>
    </row>
    <row r="17" spans="5:5" x14ac:dyDescent="0.25">
      <c r="E17" s="13" t="s">
        <v>23</v>
      </c>
    </row>
    <row r="18" spans="5:5" x14ac:dyDescent="0.25">
      <c r="E18" s="12" t="s">
        <v>20</v>
      </c>
    </row>
    <row r="19" spans="5:5" x14ac:dyDescent="0.25">
      <c r="E19" s="13" t="s">
        <v>22</v>
      </c>
    </row>
    <row r="20" spans="5:5" x14ac:dyDescent="0.25">
      <c r="E20" s="12" t="s">
        <v>14</v>
      </c>
    </row>
    <row r="21" spans="5:5" x14ac:dyDescent="0.25">
      <c r="E21" s="13" t="s">
        <v>10</v>
      </c>
    </row>
    <row r="22" spans="5:5" x14ac:dyDescent="0.25">
      <c r="E22" s="13" t="s">
        <v>6</v>
      </c>
    </row>
    <row r="23" spans="5:5" x14ac:dyDescent="0.25">
      <c r="E23" s="12" t="s">
        <v>24</v>
      </c>
    </row>
    <row r="24" spans="5:5" x14ac:dyDescent="0.25">
      <c r="E24" s="13" t="s">
        <v>16</v>
      </c>
    </row>
  </sheetData>
  <sortState xmlns:xlrd2="http://schemas.microsoft.com/office/spreadsheetml/2017/richdata2" ref="E1:E3060">
    <sortCondition ref="E1:E3060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30E7A-D74E-417D-873D-80C50D86C9F1}">
  <sheetPr codeName="Planilha5"/>
  <dimension ref="A1:D14"/>
  <sheetViews>
    <sheetView workbookViewId="0">
      <selection activeCell="G3" sqref="G3"/>
    </sheetView>
  </sheetViews>
  <sheetFormatPr defaultRowHeight="15" x14ac:dyDescent="0.25"/>
  <cols>
    <col min="1" max="1" width="18" bestFit="1" customWidth="1"/>
    <col min="2" max="2" width="18.85546875" bestFit="1" customWidth="1"/>
    <col min="4" max="4" width="27.85546875" customWidth="1"/>
  </cols>
  <sheetData>
    <row r="1" spans="1:4" x14ac:dyDescent="0.25">
      <c r="A1" s="14" t="s">
        <v>1422</v>
      </c>
      <c r="B1" t="s">
        <v>1419</v>
      </c>
    </row>
    <row r="2" spans="1:4" x14ac:dyDescent="0.25">
      <c r="A2" s="16" t="s">
        <v>1423</v>
      </c>
      <c r="B2" s="15">
        <v>172300</v>
      </c>
      <c r="D2" t="str">
        <f>IF(B2&gt;=1000000,TEXT(B2/1000000,"0,00")&amp;" MI",TEXT(B2/1000,"0")&amp;" MIL")</f>
        <v>172 MIL</v>
      </c>
    </row>
    <row r="3" spans="1:4" x14ac:dyDescent="0.25">
      <c r="A3" s="16" t="s">
        <v>1424</v>
      </c>
      <c r="B3" s="15">
        <v>191350</v>
      </c>
      <c r="D3" t="str">
        <f t="shared" ref="D3:D13" si="0">IF(B3&gt;=1000000,TEXT(B3/1000000,"0,00")&amp;" MI",TEXT(B3/1000,"0")&amp;" MIL")</f>
        <v>191 MIL</v>
      </c>
    </row>
    <row r="4" spans="1:4" x14ac:dyDescent="0.25">
      <c r="A4" s="16" t="s">
        <v>1425</v>
      </c>
      <c r="B4" s="15">
        <v>129750</v>
      </c>
      <c r="D4" t="str">
        <f t="shared" si="0"/>
        <v>130 MIL</v>
      </c>
    </row>
    <row r="5" spans="1:4" x14ac:dyDescent="0.25">
      <c r="A5" s="16" t="s">
        <v>1426</v>
      </c>
      <c r="B5" s="15">
        <v>125250</v>
      </c>
      <c r="D5" t="str">
        <f t="shared" si="0"/>
        <v>125 MIL</v>
      </c>
    </row>
    <row r="6" spans="1:4" x14ac:dyDescent="0.25">
      <c r="A6" s="16" t="s">
        <v>1427</v>
      </c>
      <c r="B6" s="15">
        <v>172800</v>
      </c>
      <c r="D6" t="str">
        <f t="shared" si="0"/>
        <v>173 MIL</v>
      </c>
    </row>
    <row r="7" spans="1:4" x14ac:dyDescent="0.25">
      <c r="A7" s="16" t="s">
        <v>1428</v>
      </c>
      <c r="B7" s="15">
        <v>295100</v>
      </c>
      <c r="D7" t="str">
        <f t="shared" si="0"/>
        <v>295 MIL</v>
      </c>
    </row>
    <row r="8" spans="1:4" x14ac:dyDescent="0.25">
      <c r="A8" s="16" t="s">
        <v>1429</v>
      </c>
      <c r="B8" s="15">
        <v>157350</v>
      </c>
      <c r="D8" t="str">
        <f t="shared" si="0"/>
        <v>157 MIL</v>
      </c>
    </row>
    <row r="9" spans="1:4" x14ac:dyDescent="0.25">
      <c r="A9" s="16" t="s">
        <v>1430</v>
      </c>
      <c r="B9" s="15">
        <v>219650</v>
      </c>
      <c r="D9" t="str">
        <f t="shared" si="0"/>
        <v>220 MIL</v>
      </c>
    </row>
    <row r="10" spans="1:4" x14ac:dyDescent="0.25">
      <c r="A10" s="16" t="s">
        <v>1431</v>
      </c>
      <c r="B10" s="15">
        <v>188650</v>
      </c>
      <c r="D10" t="str">
        <f t="shared" si="0"/>
        <v>189 MIL</v>
      </c>
    </row>
    <row r="11" spans="1:4" x14ac:dyDescent="0.25">
      <c r="A11" s="16" t="s">
        <v>1432</v>
      </c>
      <c r="B11" s="15">
        <v>170250</v>
      </c>
      <c r="D11" t="str">
        <f t="shared" si="0"/>
        <v>170 MIL</v>
      </c>
    </row>
    <row r="12" spans="1:4" x14ac:dyDescent="0.25">
      <c r="A12" s="16" t="s">
        <v>1433</v>
      </c>
      <c r="B12" s="15">
        <v>190050</v>
      </c>
      <c r="D12" t="str">
        <f t="shared" si="0"/>
        <v>190 MIL</v>
      </c>
    </row>
    <row r="13" spans="1:4" x14ac:dyDescent="0.25">
      <c r="A13" s="16" t="s">
        <v>1434</v>
      </c>
      <c r="B13" s="15">
        <v>155950</v>
      </c>
      <c r="D13" t="str">
        <f t="shared" si="0"/>
        <v>156 MIL</v>
      </c>
    </row>
    <row r="14" spans="1:4" x14ac:dyDescent="0.25">
      <c r="A14" s="16" t="s">
        <v>1435</v>
      </c>
      <c r="B14" s="27">
        <v>2168450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45B2-9293-4E1F-9C81-BE445F4E7E5D}">
  <sheetPr codeName="Planilha6"/>
  <dimension ref="A1:D6"/>
  <sheetViews>
    <sheetView workbookViewId="0">
      <selection activeCell="D2" sqref="D2"/>
    </sheetView>
  </sheetViews>
  <sheetFormatPr defaultRowHeight="15" x14ac:dyDescent="0.25"/>
  <cols>
    <col min="1" max="1" width="18" bestFit="1" customWidth="1"/>
    <col min="2" max="2" width="18.85546875" bestFit="1" customWidth="1"/>
    <col min="4" max="4" width="23.7109375" customWidth="1"/>
    <col min="5" max="5" width="21.28515625" customWidth="1"/>
  </cols>
  <sheetData>
    <row r="1" spans="1:4" x14ac:dyDescent="0.25">
      <c r="A1" s="14" t="s">
        <v>1422</v>
      </c>
      <c r="B1" t="s">
        <v>1419</v>
      </c>
    </row>
    <row r="2" spans="1:4" x14ac:dyDescent="0.25">
      <c r="A2" s="16" t="s">
        <v>677</v>
      </c>
      <c r="B2" s="15">
        <v>179250</v>
      </c>
      <c r="D2" t="str">
        <f>IF(B2&gt;=1000000,TEXT(B2/1000000,"0,00")&amp;" MI",TEXT(B2/1000,"0")&amp;" MIL")</f>
        <v>179 MIL</v>
      </c>
    </row>
    <row r="3" spans="1:4" x14ac:dyDescent="0.25">
      <c r="A3" s="16" t="s">
        <v>652</v>
      </c>
      <c r="B3" s="15">
        <v>183450</v>
      </c>
      <c r="D3" t="str">
        <f>IF(B3&gt;=1000000,TEXT(B3/1000000,"0,00")&amp;" MI",TEXT(B3/1000,"0")&amp;" MIL")</f>
        <v>183 MIL</v>
      </c>
    </row>
    <row r="4" spans="1:4" x14ac:dyDescent="0.25">
      <c r="A4" s="16" t="s">
        <v>645</v>
      </c>
      <c r="B4" s="15">
        <v>507850</v>
      </c>
      <c r="D4" t="str">
        <f>IF(B4&gt;=1000000,TEXT(B4/1000000,"0,00")&amp;" MI",TEXT(B4/1000,"0")&amp;" MIL")</f>
        <v>508 MIL</v>
      </c>
    </row>
    <row r="5" spans="1:4" x14ac:dyDescent="0.25">
      <c r="A5" s="16" t="s">
        <v>641</v>
      </c>
      <c r="B5" s="15">
        <v>680350</v>
      </c>
      <c r="D5" t="str">
        <f>IF(B5&gt;=1000000,TEXT(B5/1000000,"0,00")&amp;" MI",TEXT(B5/1000,"0")&amp;" MIL")</f>
        <v>680 MIL</v>
      </c>
    </row>
    <row r="6" spans="1:4" x14ac:dyDescent="0.25">
      <c r="A6" s="16" t="s">
        <v>1435</v>
      </c>
      <c r="B6" s="27">
        <v>1550900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9449C-7E3D-4931-9D8F-0D94DE5E3B37}">
  <sheetPr codeName="Planilha7"/>
  <dimension ref="A1:B14"/>
  <sheetViews>
    <sheetView workbookViewId="0"/>
  </sheetViews>
  <sheetFormatPr defaultRowHeight="15" x14ac:dyDescent="0.25"/>
  <cols>
    <col min="1" max="1" width="18" bestFit="1" customWidth="1"/>
    <col min="2" max="2" width="27.85546875" bestFit="1" customWidth="1"/>
  </cols>
  <sheetData>
    <row r="1" spans="1:2" x14ac:dyDescent="0.25">
      <c r="A1" s="14" t="s">
        <v>1422</v>
      </c>
      <c r="B1" t="s">
        <v>1420</v>
      </c>
    </row>
    <row r="2" spans="1:2" x14ac:dyDescent="0.25">
      <c r="A2" s="16" t="s">
        <v>1423</v>
      </c>
      <c r="B2" s="27">
        <v>76</v>
      </c>
    </row>
    <row r="3" spans="1:2" x14ac:dyDescent="0.25">
      <c r="A3" s="16" t="s">
        <v>1424</v>
      </c>
      <c r="B3" s="27">
        <v>87</v>
      </c>
    </row>
    <row r="4" spans="1:2" x14ac:dyDescent="0.25">
      <c r="A4" s="16" t="s">
        <v>1425</v>
      </c>
      <c r="B4" s="27">
        <v>63</v>
      </c>
    </row>
    <row r="5" spans="1:2" x14ac:dyDescent="0.25">
      <c r="A5" s="16" t="s">
        <v>1426</v>
      </c>
      <c r="B5" s="27">
        <v>64</v>
      </c>
    </row>
    <row r="6" spans="1:2" x14ac:dyDescent="0.25">
      <c r="A6" s="16" t="s">
        <v>1427</v>
      </c>
      <c r="B6" s="27">
        <v>74</v>
      </c>
    </row>
    <row r="7" spans="1:2" x14ac:dyDescent="0.25">
      <c r="A7" s="16" t="s">
        <v>1428</v>
      </c>
      <c r="B7" s="27">
        <v>109</v>
      </c>
    </row>
    <row r="8" spans="1:2" x14ac:dyDescent="0.25">
      <c r="A8" s="16" t="s">
        <v>1429</v>
      </c>
      <c r="B8" s="27">
        <v>76</v>
      </c>
    </row>
    <row r="9" spans="1:2" x14ac:dyDescent="0.25">
      <c r="A9" s="16" t="s">
        <v>1430</v>
      </c>
      <c r="B9" s="27">
        <v>85</v>
      </c>
    </row>
    <row r="10" spans="1:2" x14ac:dyDescent="0.25">
      <c r="A10" s="16" t="s">
        <v>1431</v>
      </c>
      <c r="B10" s="27">
        <v>82</v>
      </c>
    </row>
    <row r="11" spans="1:2" x14ac:dyDescent="0.25">
      <c r="A11" s="16" t="s">
        <v>1432</v>
      </c>
      <c r="B11" s="27">
        <v>74</v>
      </c>
    </row>
    <row r="12" spans="1:2" x14ac:dyDescent="0.25">
      <c r="A12" s="16" t="s">
        <v>1433</v>
      </c>
      <c r="B12" s="27">
        <v>84</v>
      </c>
    </row>
    <row r="13" spans="1:2" x14ac:dyDescent="0.25">
      <c r="A13" s="16" t="s">
        <v>1434</v>
      </c>
      <c r="B13" s="27">
        <v>73</v>
      </c>
    </row>
    <row r="14" spans="1:2" x14ac:dyDescent="0.25">
      <c r="A14" s="16" t="s">
        <v>1435</v>
      </c>
      <c r="B14" s="27">
        <v>947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5D89-140C-4C4B-8061-0F442F0AF522}">
  <sheetPr codeName="Planilha8"/>
  <dimension ref="A1:B5"/>
  <sheetViews>
    <sheetView workbookViewId="0"/>
  </sheetViews>
  <sheetFormatPr defaultRowHeight="15" x14ac:dyDescent="0.25"/>
  <cols>
    <col min="1" max="1" width="18" bestFit="1" customWidth="1"/>
    <col min="2" max="2" width="18.85546875" bestFit="1" customWidth="1"/>
  </cols>
  <sheetData>
    <row r="1" spans="1:2" x14ac:dyDescent="0.25">
      <c r="A1" s="14" t="s">
        <v>1422</v>
      </c>
      <c r="B1" t="s">
        <v>1419</v>
      </c>
    </row>
    <row r="2" spans="1:2" x14ac:dyDescent="0.25">
      <c r="A2" s="16" t="s">
        <v>644</v>
      </c>
      <c r="B2" s="15">
        <v>954800</v>
      </c>
    </row>
    <row r="3" spans="1:2" x14ac:dyDescent="0.25">
      <c r="A3" s="16" t="s">
        <v>647</v>
      </c>
      <c r="B3" s="15">
        <v>913900</v>
      </c>
    </row>
    <row r="4" spans="1:2" x14ac:dyDescent="0.25">
      <c r="A4" s="16" t="s">
        <v>651</v>
      </c>
      <c r="B4" s="15">
        <v>299750</v>
      </c>
    </row>
    <row r="5" spans="1:2" x14ac:dyDescent="0.25">
      <c r="A5" s="16" t="s">
        <v>1435</v>
      </c>
      <c r="B5" s="27">
        <v>2168450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ACC4-6586-4664-AE62-D83C8C68030A}">
  <sheetPr codeName="Planilha9"/>
  <dimension ref="A2:H33"/>
  <sheetViews>
    <sheetView workbookViewId="0">
      <selection activeCell="H10" sqref="H10"/>
    </sheetView>
  </sheetViews>
  <sheetFormatPr defaultRowHeight="15" x14ac:dyDescent="0.25"/>
  <cols>
    <col min="1" max="1" width="21.5703125" bestFit="1" customWidth="1"/>
    <col min="2" max="2" width="27.85546875" bestFit="1" customWidth="1"/>
    <col min="3" max="3" width="22.140625" customWidth="1"/>
    <col min="4" max="4" width="28.85546875" customWidth="1"/>
    <col min="5" max="5" width="35.140625" customWidth="1"/>
    <col min="6" max="6" width="29.140625" customWidth="1"/>
    <col min="7" max="7" width="7.140625" customWidth="1"/>
  </cols>
  <sheetData>
    <row r="2" spans="1:8" x14ac:dyDescent="0.25">
      <c r="A2" s="25" t="s">
        <v>1451</v>
      </c>
      <c r="B2" s="26"/>
    </row>
    <row r="3" spans="1:8" x14ac:dyDescent="0.25">
      <c r="A3" s="14" t="s">
        <v>1422</v>
      </c>
      <c r="B3" t="s">
        <v>1420</v>
      </c>
    </row>
    <row r="4" spans="1:8" x14ac:dyDescent="0.25">
      <c r="A4" s="16" t="s">
        <v>18</v>
      </c>
      <c r="B4" s="27">
        <v>68</v>
      </c>
    </row>
    <row r="5" spans="1:8" x14ac:dyDescent="0.25">
      <c r="A5" s="16" t="s">
        <v>20</v>
      </c>
      <c r="B5" s="27">
        <v>65</v>
      </c>
    </row>
    <row r="6" spans="1:8" ht="11.25" customHeight="1" x14ac:dyDescent="0.25">
      <c r="A6" s="16" t="s">
        <v>1445</v>
      </c>
      <c r="B6" s="27">
        <v>63</v>
      </c>
    </row>
    <row r="7" spans="1:8" x14ac:dyDescent="0.25">
      <c r="A7" s="16" t="s">
        <v>1435</v>
      </c>
      <c r="B7" s="27">
        <v>196</v>
      </c>
    </row>
    <row r="8" spans="1:8" ht="51" customHeight="1" x14ac:dyDescent="0.25"/>
    <row r="9" spans="1:8" ht="51.75" customHeight="1" x14ac:dyDescent="0.25">
      <c r="A9" s="23" t="s">
        <v>1449</v>
      </c>
      <c r="B9" s="24" t="s">
        <v>1450</v>
      </c>
      <c r="C9" s="28"/>
      <c r="D9" s="24" t="s">
        <v>1446</v>
      </c>
      <c r="E9" s="24" t="s">
        <v>1447</v>
      </c>
      <c r="F9" s="24" t="s">
        <v>1448</v>
      </c>
      <c r="G9" s="28"/>
    </row>
    <row r="10" spans="1:8" ht="51" customHeight="1" x14ac:dyDescent="0.25">
      <c r="A10" s="22" t="s">
        <v>5</v>
      </c>
      <c r="B10" s="20" t="e" vm="1">
        <v>#VALUE!</v>
      </c>
      <c r="D10">
        <f>MATCH(A4,A10:A33,0)</f>
        <v>9</v>
      </c>
      <c r="E10" t="str" cm="1">
        <f t="array" ref="E10">INDEX(A10:A33,D10)</f>
        <v>Galaxy S8 - Verde</v>
      </c>
      <c r="F10" s="21" t="e" vm="2">
        <f>INDEX(B10:B33,MATCH(A4,A10:A33,0))</f>
        <v>#VALUE!</v>
      </c>
      <c r="H10" s="28"/>
    </row>
    <row r="11" spans="1:8" ht="51" customHeight="1" x14ac:dyDescent="0.25">
      <c r="A11" s="19" t="s">
        <v>21</v>
      </c>
      <c r="B11" s="20" t="e" vm="3">
        <v>#VALUE!</v>
      </c>
      <c r="D11">
        <f>MATCH(A5,A10:A33,0)</f>
        <v>18</v>
      </c>
      <c r="E11" t="str" cm="1">
        <f t="array" ref="E11">INDEX(A10:A33,D11)</f>
        <v>Smart TV 50' 4K - Preto</v>
      </c>
      <c r="F11" t="e" cm="1" vm="4">
        <f t="array" ref="F11">INDEX(B10:B33,D11)</f>
        <v>#VALUE!</v>
      </c>
      <c r="H11" s="28"/>
    </row>
    <row r="12" spans="1:8" ht="51" customHeight="1" x14ac:dyDescent="0.25">
      <c r="A12" s="18" t="s">
        <v>1443</v>
      </c>
      <c r="B12" s="20" t="e" vm="5">
        <v>#VALUE!</v>
      </c>
      <c r="D12">
        <f>MATCH(A6,A10:A33,0)</f>
        <v>17</v>
      </c>
      <c r="E12" t="str" cm="1">
        <f t="array" ref="E12">INDEX(A10:A33,D12)</f>
        <v>Samsung S24 FE - Preto</v>
      </c>
      <c r="F12" t="e" cm="1" vm="6">
        <f t="array" ref="F12">INDEX(B10:B33,D12)</f>
        <v>#VALUE!</v>
      </c>
    </row>
    <row r="13" spans="1:8" ht="51" customHeight="1" x14ac:dyDescent="0.25">
      <c r="A13" s="19" t="s">
        <v>1444</v>
      </c>
      <c r="B13" s="20" t="e" vm="7">
        <v>#VALUE!</v>
      </c>
    </row>
    <row r="14" spans="1:8" ht="51" customHeight="1" x14ac:dyDescent="0.25">
      <c r="A14" s="18" t="s">
        <v>1440</v>
      </c>
      <c r="B14" s="20" t="e" vm="8">
        <v>#VALUE!</v>
      </c>
    </row>
    <row r="15" spans="1:8" ht="51" customHeight="1" x14ac:dyDescent="0.25">
      <c r="A15" s="19" t="s">
        <v>8</v>
      </c>
      <c r="B15" s="20" t="e" vm="9">
        <v>#VALUE!</v>
      </c>
    </row>
    <row r="16" spans="1:8" ht="51" customHeight="1" x14ac:dyDescent="0.25">
      <c r="A16" s="18" t="s">
        <v>26</v>
      </c>
      <c r="B16" s="20" t="e" vm="10">
        <v>#VALUE!</v>
      </c>
    </row>
    <row r="17" spans="1:2" ht="51" customHeight="1" x14ac:dyDescent="0.25">
      <c r="A17" s="18" t="s">
        <v>11</v>
      </c>
      <c r="B17" s="20" t="e" vm="11">
        <v>#VALUE!</v>
      </c>
    </row>
    <row r="18" spans="1:2" ht="51" customHeight="1" x14ac:dyDescent="0.25">
      <c r="A18" s="19" t="s">
        <v>18</v>
      </c>
      <c r="B18" s="20" t="e" vm="12">
        <v>#VALUE!</v>
      </c>
    </row>
    <row r="19" spans="1:2" ht="51" customHeight="1" x14ac:dyDescent="0.25">
      <c r="A19" s="19" t="s">
        <v>13</v>
      </c>
      <c r="B19" s="20" t="e" vm="13">
        <v>#VALUE!</v>
      </c>
    </row>
    <row r="20" spans="1:2" ht="51" customHeight="1" x14ac:dyDescent="0.25">
      <c r="A20" s="19" t="s">
        <v>1437</v>
      </c>
      <c r="B20" s="20" t="e" vm="14">
        <v>#VALUE!</v>
      </c>
    </row>
    <row r="21" spans="1:2" ht="51" customHeight="1" x14ac:dyDescent="0.25">
      <c r="A21" s="19" t="s">
        <v>1439</v>
      </c>
      <c r="B21" s="20" t="e" vm="15">
        <v>#VALUE!</v>
      </c>
    </row>
    <row r="22" spans="1:2" ht="51" customHeight="1" x14ac:dyDescent="0.25">
      <c r="A22" s="18" t="s">
        <v>1436</v>
      </c>
      <c r="B22" s="20" t="e" vm="16">
        <v>#VALUE!</v>
      </c>
    </row>
    <row r="23" spans="1:2" ht="51" customHeight="1" x14ac:dyDescent="0.25">
      <c r="A23" s="18" t="s">
        <v>1438</v>
      </c>
      <c r="B23" s="20" t="e" vm="17">
        <v>#VALUE!</v>
      </c>
    </row>
    <row r="24" spans="1:2" ht="51" customHeight="1" x14ac:dyDescent="0.25">
      <c r="A24" s="19" t="s">
        <v>28</v>
      </c>
      <c r="B24" s="20" t="e" vm="9">
        <v>#VALUE!</v>
      </c>
    </row>
    <row r="25" spans="1:2" ht="51" customHeight="1" x14ac:dyDescent="0.25">
      <c r="A25" s="19" t="s">
        <v>9</v>
      </c>
      <c r="B25" s="20" t="e" vm="18">
        <v>#VALUE!</v>
      </c>
    </row>
    <row r="26" spans="1:2" ht="51" customHeight="1" x14ac:dyDescent="0.25">
      <c r="A26" s="19" t="s">
        <v>1445</v>
      </c>
      <c r="B26" s="20" t="e" vm="19">
        <v>#VALUE!</v>
      </c>
    </row>
    <row r="27" spans="1:2" ht="51" customHeight="1" x14ac:dyDescent="0.25">
      <c r="A27" s="18" t="s">
        <v>20</v>
      </c>
      <c r="B27" s="20" t="e" vm="20">
        <v>#VALUE!</v>
      </c>
    </row>
    <row r="28" spans="1:2" ht="51" customHeight="1" x14ac:dyDescent="0.25">
      <c r="A28" s="19" t="s">
        <v>22</v>
      </c>
      <c r="B28" s="20" t="e" vm="20">
        <v>#VALUE!</v>
      </c>
    </row>
    <row r="29" spans="1:2" ht="51" customHeight="1" x14ac:dyDescent="0.25">
      <c r="A29" s="18" t="s">
        <v>14</v>
      </c>
      <c r="B29" s="20" t="e" vm="20">
        <v>#VALUE!</v>
      </c>
    </row>
    <row r="30" spans="1:2" ht="51" customHeight="1" x14ac:dyDescent="0.25">
      <c r="A30" s="19" t="s">
        <v>1441</v>
      </c>
      <c r="B30" s="20" t="e" vm="21">
        <v>#VALUE!</v>
      </c>
    </row>
    <row r="31" spans="1:2" ht="51" customHeight="1" x14ac:dyDescent="0.25">
      <c r="A31" s="19" t="s">
        <v>1442</v>
      </c>
      <c r="B31" s="20" t="e" vm="22">
        <v>#VALUE!</v>
      </c>
    </row>
    <row r="32" spans="1:2" ht="51" customHeight="1" x14ac:dyDescent="0.25">
      <c r="A32" s="18" t="s">
        <v>24</v>
      </c>
      <c r="B32" s="20" t="e" vm="23">
        <v>#VALUE!</v>
      </c>
    </row>
    <row r="33" spans="1:2" ht="51.75" customHeight="1" x14ac:dyDescent="0.25">
      <c r="A33" s="19" t="s">
        <v>16</v>
      </c>
      <c r="B33" s="20" t="e" vm="24">
        <v>#VALUE!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6F4E8-3D88-4B62-B52C-1FCCD8DC7505}">
  <sheetPr codeName="Planilha10">
    <tabColor theme="7" tint="-0.249977111117893"/>
  </sheetPr>
  <dimension ref="A1:K693"/>
  <sheetViews>
    <sheetView showGridLines="0" workbookViewId="0">
      <selection activeCell="A11" sqref="A11"/>
    </sheetView>
  </sheetViews>
  <sheetFormatPr defaultRowHeight="15" x14ac:dyDescent="0.25"/>
  <cols>
    <col min="1" max="1" width="28.140625" bestFit="1" customWidth="1"/>
    <col min="2" max="2" width="23.28515625" customWidth="1"/>
    <col min="3" max="3" width="20.28515625" customWidth="1"/>
    <col min="4" max="4" width="70.28515625" bestFit="1" customWidth="1"/>
    <col min="5" max="5" width="15.28515625" customWidth="1"/>
    <col min="6" max="6" width="14.28515625" customWidth="1"/>
    <col min="7" max="7" width="13.7109375" bestFit="1" customWidth="1"/>
    <col min="8" max="8" width="9" customWidth="1"/>
    <col min="9" max="9" width="15.28515625" customWidth="1"/>
    <col min="11" max="11" width="10.5703125" bestFit="1" customWidth="1"/>
  </cols>
  <sheetData>
    <row r="1" spans="1:11" x14ac:dyDescent="0.25">
      <c r="A1" s="5" t="s">
        <v>3</v>
      </c>
      <c r="B1" s="5" t="s">
        <v>4</v>
      </c>
      <c r="C1" s="5" t="s">
        <v>2</v>
      </c>
      <c r="D1" s="5" t="s">
        <v>0</v>
      </c>
      <c r="E1" s="5" t="s">
        <v>1</v>
      </c>
      <c r="F1" s="5" t="s">
        <v>632</v>
      </c>
      <c r="G1" s="5" t="s">
        <v>633</v>
      </c>
      <c r="H1" s="5" t="s">
        <v>634</v>
      </c>
      <c r="I1" s="8" t="s">
        <v>635</v>
      </c>
    </row>
    <row r="2" spans="1:11" x14ac:dyDescent="0.25">
      <c r="A2" s="2" t="s">
        <v>21</v>
      </c>
      <c r="B2" s="2">
        <v>2400</v>
      </c>
      <c r="C2" s="2">
        <v>3</v>
      </c>
      <c r="D2" s="2" t="s">
        <v>29</v>
      </c>
      <c r="E2" s="3">
        <v>43951</v>
      </c>
      <c r="F2" s="2" t="s">
        <v>288</v>
      </c>
      <c r="G2" s="2" t="s">
        <v>308</v>
      </c>
      <c r="H2" s="2" t="s">
        <v>49</v>
      </c>
      <c r="I2" s="9">
        <v>26060</v>
      </c>
      <c r="K2" s="1"/>
    </row>
    <row r="3" spans="1:11" x14ac:dyDescent="0.25">
      <c r="A3" s="2" t="s">
        <v>20</v>
      </c>
      <c r="B3" s="2">
        <v>2600</v>
      </c>
      <c r="C3" s="2">
        <v>4</v>
      </c>
      <c r="D3" s="2" t="s">
        <v>31</v>
      </c>
      <c r="E3" s="3">
        <v>43949</v>
      </c>
      <c r="F3" s="2" t="s">
        <v>288</v>
      </c>
      <c r="G3" s="2" t="s">
        <v>362</v>
      </c>
      <c r="H3" s="2" t="s">
        <v>49</v>
      </c>
      <c r="I3" s="9">
        <v>24425</v>
      </c>
      <c r="K3" s="1"/>
    </row>
    <row r="4" spans="1:11" x14ac:dyDescent="0.25">
      <c r="A4" s="2" t="s">
        <v>13</v>
      </c>
      <c r="B4" s="2">
        <v>2300</v>
      </c>
      <c r="C4" s="2">
        <v>2</v>
      </c>
      <c r="D4" s="2" t="s">
        <v>35</v>
      </c>
      <c r="E4" s="3">
        <v>44191</v>
      </c>
      <c r="F4" s="2" t="s">
        <v>127</v>
      </c>
      <c r="G4" s="2" t="s">
        <v>189</v>
      </c>
      <c r="H4" s="2" t="s">
        <v>44</v>
      </c>
      <c r="I4" s="9">
        <v>20410</v>
      </c>
    </row>
    <row r="5" spans="1:11" x14ac:dyDescent="0.25">
      <c r="A5" s="2" t="s">
        <v>18</v>
      </c>
      <c r="B5" s="2">
        <v>3000</v>
      </c>
      <c r="C5" s="2">
        <v>5</v>
      </c>
      <c r="D5" s="2" t="s">
        <v>40</v>
      </c>
      <c r="E5" s="3">
        <v>44195</v>
      </c>
      <c r="F5" s="2" t="s">
        <v>87</v>
      </c>
      <c r="G5" s="2" t="s">
        <v>468</v>
      </c>
      <c r="H5" s="2" t="s">
        <v>44</v>
      </c>
      <c r="I5" s="9">
        <v>32676</v>
      </c>
    </row>
    <row r="6" spans="1:11" x14ac:dyDescent="0.25">
      <c r="A6" s="2" t="s">
        <v>18</v>
      </c>
      <c r="B6" s="2">
        <v>3000</v>
      </c>
      <c r="C6" s="2">
        <v>4</v>
      </c>
      <c r="D6" s="2" t="s">
        <v>30</v>
      </c>
      <c r="E6" s="3">
        <v>43938</v>
      </c>
      <c r="F6" s="2" t="s">
        <v>208</v>
      </c>
      <c r="G6" s="2" t="s">
        <v>209</v>
      </c>
      <c r="H6" s="2" t="s">
        <v>44</v>
      </c>
      <c r="I6" s="9">
        <v>20628</v>
      </c>
    </row>
    <row r="7" spans="1:11" x14ac:dyDescent="0.25">
      <c r="A7" s="2" t="s">
        <v>13</v>
      </c>
      <c r="B7" s="2">
        <v>2300</v>
      </c>
      <c r="C7" s="2">
        <v>2</v>
      </c>
      <c r="D7" s="2" t="s">
        <v>37</v>
      </c>
      <c r="E7" s="3">
        <v>43882</v>
      </c>
      <c r="F7" s="2" t="s">
        <v>202</v>
      </c>
      <c r="G7" s="2" t="s">
        <v>203</v>
      </c>
      <c r="H7" s="2" t="s">
        <v>49</v>
      </c>
      <c r="I7" s="9">
        <v>30193</v>
      </c>
    </row>
    <row r="8" spans="1:11" x14ac:dyDescent="0.25">
      <c r="A8" s="2" t="s">
        <v>25</v>
      </c>
      <c r="B8" s="2">
        <v>2500</v>
      </c>
      <c r="C8" s="2">
        <v>1</v>
      </c>
      <c r="D8" s="2" t="s">
        <v>31</v>
      </c>
      <c r="E8" s="3">
        <v>43836</v>
      </c>
      <c r="F8" s="2" t="s">
        <v>605</v>
      </c>
      <c r="G8" s="2" t="s">
        <v>380</v>
      </c>
      <c r="H8" s="2" t="s">
        <v>49</v>
      </c>
      <c r="I8" s="9">
        <v>33869</v>
      </c>
    </row>
    <row r="9" spans="1:11" x14ac:dyDescent="0.25">
      <c r="A9" s="2" t="s">
        <v>25</v>
      </c>
      <c r="B9" s="2">
        <v>2500</v>
      </c>
      <c r="C9" s="2">
        <v>1</v>
      </c>
      <c r="D9" s="2" t="s">
        <v>36</v>
      </c>
      <c r="E9" s="3">
        <v>44007</v>
      </c>
      <c r="F9" s="2" t="s">
        <v>233</v>
      </c>
      <c r="G9" s="2" t="s">
        <v>93</v>
      </c>
      <c r="H9" s="2" t="s">
        <v>49</v>
      </c>
      <c r="I9" s="9">
        <v>18972</v>
      </c>
    </row>
    <row r="10" spans="1:11" x14ac:dyDescent="0.25">
      <c r="A10" s="2" t="s">
        <v>10</v>
      </c>
      <c r="B10" s="2">
        <v>1450</v>
      </c>
      <c r="C10" s="2">
        <v>3</v>
      </c>
      <c r="D10" s="2" t="s">
        <v>29</v>
      </c>
      <c r="E10" s="3">
        <v>44096</v>
      </c>
      <c r="F10" s="2" t="s">
        <v>122</v>
      </c>
      <c r="G10" s="2" t="s">
        <v>123</v>
      </c>
      <c r="H10" s="2" t="s">
        <v>49</v>
      </c>
      <c r="I10" s="9">
        <v>24211</v>
      </c>
    </row>
    <row r="11" spans="1:11" x14ac:dyDescent="0.25">
      <c r="A11" s="2" t="s">
        <v>5</v>
      </c>
      <c r="B11" s="2">
        <v>1750</v>
      </c>
      <c r="C11" s="2">
        <v>1</v>
      </c>
      <c r="D11" s="2" t="s">
        <v>38</v>
      </c>
      <c r="E11" s="3">
        <v>44163</v>
      </c>
      <c r="F11" s="2" t="s">
        <v>216</v>
      </c>
      <c r="G11" s="2" t="s">
        <v>502</v>
      </c>
      <c r="H11" s="2" t="s">
        <v>44</v>
      </c>
      <c r="I11" s="9">
        <v>18757</v>
      </c>
    </row>
    <row r="12" spans="1:11" x14ac:dyDescent="0.25">
      <c r="A12" s="2" t="s">
        <v>21</v>
      </c>
      <c r="B12" s="2">
        <v>2400</v>
      </c>
      <c r="C12" s="2">
        <v>4</v>
      </c>
      <c r="D12" s="2" t="s">
        <v>34</v>
      </c>
      <c r="E12" s="3">
        <v>44169</v>
      </c>
      <c r="F12" s="2" t="s">
        <v>42</v>
      </c>
      <c r="G12" s="2" t="s">
        <v>100</v>
      </c>
      <c r="H12" s="2" t="s">
        <v>44</v>
      </c>
      <c r="I12" s="9">
        <v>36495</v>
      </c>
    </row>
    <row r="13" spans="1:11" x14ac:dyDescent="0.25">
      <c r="A13" s="2" t="s">
        <v>28</v>
      </c>
      <c r="B13" s="2">
        <v>1400</v>
      </c>
      <c r="C13" s="2">
        <v>3</v>
      </c>
      <c r="D13" s="2" t="s">
        <v>30</v>
      </c>
      <c r="E13" s="3">
        <v>43878</v>
      </c>
      <c r="F13" s="2" t="s">
        <v>134</v>
      </c>
      <c r="G13" s="2" t="s">
        <v>135</v>
      </c>
      <c r="H13" s="2" t="s">
        <v>49</v>
      </c>
      <c r="I13" s="9">
        <v>26564</v>
      </c>
    </row>
    <row r="14" spans="1:11" x14ac:dyDescent="0.25">
      <c r="A14" s="2" t="s">
        <v>14</v>
      </c>
      <c r="B14" s="2">
        <v>2000</v>
      </c>
      <c r="C14" s="2">
        <v>5</v>
      </c>
      <c r="D14" s="2" t="s">
        <v>33</v>
      </c>
      <c r="E14" s="3">
        <v>44162</v>
      </c>
      <c r="F14" s="2" t="s">
        <v>66</v>
      </c>
      <c r="G14" s="2" t="s">
        <v>67</v>
      </c>
      <c r="H14" s="2" t="s">
        <v>44</v>
      </c>
      <c r="I14" s="9">
        <v>36762</v>
      </c>
    </row>
    <row r="15" spans="1:11" x14ac:dyDescent="0.25">
      <c r="A15" s="2" t="s">
        <v>9</v>
      </c>
      <c r="B15" s="2">
        <v>1500</v>
      </c>
      <c r="C15" s="2">
        <v>5</v>
      </c>
      <c r="D15" s="2" t="s">
        <v>33</v>
      </c>
      <c r="E15" s="3">
        <v>44002</v>
      </c>
      <c r="F15" s="2" t="s">
        <v>571</v>
      </c>
      <c r="G15" s="2" t="s">
        <v>474</v>
      </c>
      <c r="H15" s="2" t="s">
        <v>49</v>
      </c>
      <c r="I15" s="9">
        <v>21750</v>
      </c>
    </row>
    <row r="16" spans="1:11" x14ac:dyDescent="0.25">
      <c r="A16" s="2" t="s">
        <v>26</v>
      </c>
      <c r="B16" s="2">
        <v>1100</v>
      </c>
      <c r="C16" s="2">
        <v>2</v>
      </c>
      <c r="D16" s="2" t="s">
        <v>36</v>
      </c>
      <c r="E16" s="3">
        <v>44172</v>
      </c>
      <c r="F16" s="2" t="s">
        <v>328</v>
      </c>
      <c r="G16" s="2" t="s">
        <v>430</v>
      </c>
      <c r="H16" s="2" t="s">
        <v>49</v>
      </c>
      <c r="I16" s="9">
        <v>34792</v>
      </c>
    </row>
    <row r="17" spans="1:9" x14ac:dyDescent="0.25">
      <c r="A17" s="2" t="s">
        <v>15</v>
      </c>
      <c r="B17" s="2">
        <v>1900</v>
      </c>
      <c r="C17" s="2">
        <v>5</v>
      </c>
      <c r="D17" s="2" t="s">
        <v>36</v>
      </c>
      <c r="E17" s="3">
        <v>43881</v>
      </c>
      <c r="F17" s="2" t="s">
        <v>264</v>
      </c>
      <c r="G17" s="2" t="s">
        <v>125</v>
      </c>
      <c r="H17" s="2" t="s">
        <v>49</v>
      </c>
      <c r="I17" s="9">
        <v>26247</v>
      </c>
    </row>
    <row r="18" spans="1:9" x14ac:dyDescent="0.25">
      <c r="A18" s="2" t="s">
        <v>26</v>
      </c>
      <c r="B18" s="2">
        <v>1100</v>
      </c>
      <c r="C18" s="2">
        <v>4</v>
      </c>
      <c r="D18" s="2" t="s">
        <v>30</v>
      </c>
      <c r="E18" s="3">
        <v>44013</v>
      </c>
      <c r="F18" s="2" t="s">
        <v>439</v>
      </c>
      <c r="G18" s="2" t="s">
        <v>262</v>
      </c>
      <c r="H18" s="2" t="s">
        <v>44</v>
      </c>
      <c r="I18" s="9">
        <v>31165</v>
      </c>
    </row>
    <row r="19" spans="1:9" x14ac:dyDescent="0.25">
      <c r="A19" s="2" t="s">
        <v>26</v>
      </c>
      <c r="B19" s="2">
        <v>1100</v>
      </c>
      <c r="C19" s="2">
        <v>2</v>
      </c>
      <c r="D19" s="2" t="s">
        <v>29</v>
      </c>
      <c r="E19" s="3">
        <v>44020</v>
      </c>
      <c r="F19" s="2" t="s">
        <v>120</v>
      </c>
      <c r="G19" s="2" t="s">
        <v>121</v>
      </c>
      <c r="H19" s="2" t="s">
        <v>44</v>
      </c>
      <c r="I19" s="9">
        <v>23989</v>
      </c>
    </row>
    <row r="20" spans="1:9" x14ac:dyDescent="0.25">
      <c r="A20" s="2" t="s">
        <v>16</v>
      </c>
      <c r="B20" s="2">
        <v>1400</v>
      </c>
      <c r="C20" s="2">
        <v>3</v>
      </c>
      <c r="D20" s="2" t="s">
        <v>38</v>
      </c>
      <c r="E20" s="3">
        <v>43938</v>
      </c>
      <c r="F20" s="2" t="s">
        <v>107</v>
      </c>
      <c r="G20" s="2" t="s">
        <v>340</v>
      </c>
      <c r="H20" s="2" t="s">
        <v>49</v>
      </c>
      <c r="I20" s="9">
        <v>23329</v>
      </c>
    </row>
    <row r="21" spans="1:9" x14ac:dyDescent="0.25">
      <c r="A21" s="2" t="s">
        <v>5</v>
      </c>
      <c r="B21" s="2">
        <v>1750</v>
      </c>
      <c r="C21" s="2">
        <v>5</v>
      </c>
      <c r="D21" s="2" t="s">
        <v>41</v>
      </c>
      <c r="E21" s="3">
        <v>44042</v>
      </c>
      <c r="F21" s="2" t="s">
        <v>216</v>
      </c>
      <c r="G21" s="2" t="s">
        <v>485</v>
      </c>
      <c r="H21" s="2" t="s">
        <v>44</v>
      </c>
      <c r="I21" s="9">
        <v>32252</v>
      </c>
    </row>
    <row r="22" spans="1:9" x14ac:dyDescent="0.25">
      <c r="A22" s="2" t="s">
        <v>11</v>
      </c>
      <c r="B22" s="2">
        <v>4500</v>
      </c>
      <c r="C22" s="2">
        <v>2</v>
      </c>
      <c r="D22" s="2" t="s">
        <v>40</v>
      </c>
      <c r="E22" s="3">
        <v>43958</v>
      </c>
      <c r="F22" s="2" t="s">
        <v>392</v>
      </c>
      <c r="G22" s="2" t="s">
        <v>393</v>
      </c>
      <c r="H22" s="2" t="s">
        <v>49</v>
      </c>
      <c r="I22" s="9">
        <v>31041</v>
      </c>
    </row>
    <row r="23" spans="1:9" x14ac:dyDescent="0.25">
      <c r="A23" s="2" t="s">
        <v>19</v>
      </c>
      <c r="B23" s="2">
        <v>700</v>
      </c>
      <c r="C23" s="2">
        <v>4</v>
      </c>
      <c r="D23" s="2" t="s">
        <v>32</v>
      </c>
      <c r="E23" s="3">
        <v>43866</v>
      </c>
      <c r="F23" s="2" t="s">
        <v>192</v>
      </c>
      <c r="G23" s="2" t="s">
        <v>245</v>
      </c>
      <c r="H23" s="2" t="s">
        <v>49</v>
      </c>
      <c r="I23" s="9">
        <v>29464</v>
      </c>
    </row>
    <row r="24" spans="1:9" x14ac:dyDescent="0.25">
      <c r="A24" s="2" t="s">
        <v>12</v>
      </c>
      <c r="B24" s="2">
        <v>6500</v>
      </c>
      <c r="C24" s="2">
        <v>3</v>
      </c>
      <c r="D24" s="2" t="s">
        <v>30</v>
      </c>
      <c r="E24" s="3">
        <v>43924</v>
      </c>
      <c r="F24" s="2" t="s">
        <v>109</v>
      </c>
      <c r="G24" s="2" t="s">
        <v>63</v>
      </c>
      <c r="H24" s="2" t="s">
        <v>44</v>
      </c>
      <c r="I24" s="9">
        <v>20396</v>
      </c>
    </row>
    <row r="25" spans="1:9" x14ac:dyDescent="0.25">
      <c r="A25" s="2" t="s">
        <v>7</v>
      </c>
      <c r="B25" s="2">
        <v>750</v>
      </c>
      <c r="C25" s="2">
        <v>1</v>
      </c>
      <c r="D25" s="2" t="s">
        <v>41</v>
      </c>
      <c r="E25" s="3">
        <v>43988</v>
      </c>
      <c r="F25" s="2" t="s">
        <v>74</v>
      </c>
      <c r="G25" s="2" t="s">
        <v>606</v>
      </c>
      <c r="H25" s="2" t="s">
        <v>44</v>
      </c>
      <c r="I25" s="9">
        <v>21824</v>
      </c>
    </row>
    <row r="26" spans="1:9" x14ac:dyDescent="0.25">
      <c r="A26" s="2" t="s">
        <v>11</v>
      </c>
      <c r="B26" s="2">
        <v>4500</v>
      </c>
      <c r="C26" s="2">
        <v>2</v>
      </c>
      <c r="D26" s="2" t="s">
        <v>39</v>
      </c>
      <c r="E26" s="3">
        <v>43971</v>
      </c>
      <c r="F26" s="2" t="s">
        <v>464</v>
      </c>
      <c r="G26" s="2" t="s">
        <v>465</v>
      </c>
      <c r="H26" s="2" t="s">
        <v>49</v>
      </c>
      <c r="I26" s="9">
        <v>35859</v>
      </c>
    </row>
    <row r="27" spans="1:9" x14ac:dyDescent="0.25">
      <c r="A27" s="2" t="s">
        <v>8</v>
      </c>
      <c r="B27" s="2">
        <v>5500</v>
      </c>
      <c r="C27" s="2">
        <v>3</v>
      </c>
      <c r="D27" s="2" t="s">
        <v>31</v>
      </c>
      <c r="E27" s="3">
        <v>44063</v>
      </c>
      <c r="F27" s="2" t="s">
        <v>577</v>
      </c>
      <c r="G27" s="2" t="s">
        <v>334</v>
      </c>
      <c r="H27" s="2" t="s">
        <v>44</v>
      </c>
      <c r="I27" s="9">
        <v>28734</v>
      </c>
    </row>
    <row r="28" spans="1:9" x14ac:dyDescent="0.25">
      <c r="A28" s="2" t="s">
        <v>23</v>
      </c>
      <c r="B28" s="2">
        <v>1500</v>
      </c>
      <c r="C28" s="2">
        <v>5</v>
      </c>
      <c r="D28" s="2" t="s">
        <v>31</v>
      </c>
      <c r="E28" s="3">
        <v>43997</v>
      </c>
      <c r="F28" s="2" t="s">
        <v>264</v>
      </c>
      <c r="G28" s="2" t="s">
        <v>395</v>
      </c>
      <c r="H28" s="2" t="s">
        <v>49</v>
      </c>
      <c r="I28" s="9">
        <v>34991</v>
      </c>
    </row>
    <row r="29" spans="1:9" x14ac:dyDescent="0.25">
      <c r="A29" s="2" t="s">
        <v>15</v>
      </c>
      <c r="B29" s="2">
        <v>1900</v>
      </c>
      <c r="C29" s="2">
        <v>1</v>
      </c>
      <c r="D29" s="2" t="s">
        <v>38</v>
      </c>
      <c r="E29" s="3">
        <v>44011</v>
      </c>
      <c r="F29" s="2" t="s">
        <v>216</v>
      </c>
      <c r="G29" s="2" t="s">
        <v>442</v>
      </c>
      <c r="H29" s="2" t="s">
        <v>44</v>
      </c>
      <c r="I29" s="9">
        <v>27664</v>
      </c>
    </row>
    <row r="30" spans="1:9" x14ac:dyDescent="0.25">
      <c r="A30" s="2" t="s">
        <v>8</v>
      </c>
      <c r="B30" s="2">
        <v>5500</v>
      </c>
      <c r="C30" s="2">
        <v>3</v>
      </c>
      <c r="D30" s="2" t="s">
        <v>31</v>
      </c>
      <c r="E30" s="3">
        <v>44113</v>
      </c>
      <c r="F30" s="2" t="s">
        <v>401</v>
      </c>
      <c r="G30" s="2" t="s">
        <v>172</v>
      </c>
      <c r="H30" s="2" t="s">
        <v>49</v>
      </c>
      <c r="I30" s="9">
        <v>21639</v>
      </c>
    </row>
    <row r="31" spans="1:9" x14ac:dyDescent="0.25">
      <c r="A31" s="2" t="s">
        <v>11</v>
      </c>
      <c r="B31" s="2">
        <v>4500</v>
      </c>
      <c r="C31" s="2">
        <v>3</v>
      </c>
      <c r="D31" s="2" t="s">
        <v>31</v>
      </c>
      <c r="E31" s="3">
        <v>43988</v>
      </c>
      <c r="F31" s="2" t="s">
        <v>264</v>
      </c>
      <c r="G31" s="2" t="s">
        <v>449</v>
      </c>
      <c r="H31" s="2" t="s">
        <v>49</v>
      </c>
      <c r="I31" s="9">
        <v>34122</v>
      </c>
    </row>
    <row r="32" spans="1:9" x14ac:dyDescent="0.25">
      <c r="A32" s="2" t="s">
        <v>13</v>
      </c>
      <c r="B32" s="2">
        <v>2300</v>
      </c>
      <c r="C32" s="2">
        <v>4</v>
      </c>
      <c r="D32" s="2" t="s">
        <v>30</v>
      </c>
      <c r="E32" s="3">
        <v>44012</v>
      </c>
      <c r="F32" s="2" t="s">
        <v>355</v>
      </c>
      <c r="G32" s="2" t="s">
        <v>454</v>
      </c>
      <c r="H32" s="2" t="s">
        <v>44</v>
      </c>
      <c r="I32" s="9">
        <v>25735</v>
      </c>
    </row>
    <row r="33" spans="1:9" x14ac:dyDescent="0.25">
      <c r="A33" s="2" t="s">
        <v>24</v>
      </c>
      <c r="B33" s="2">
        <v>2000</v>
      </c>
      <c r="C33" s="2">
        <v>4</v>
      </c>
      <c r="D33" s="2" t="s">
        <v>36</v>
      </c>
      <c r="E33" s="3">
        <v>44174</v>
      </c>
      <c r="F33" s="2" t="s">
        <v>155</v>
      </c>
      <c r="G33" s="2" t="s">
        <v>573</v>
      </c>
      <c r="H33" s="2" t="s">
        <v>44</v>
      </c>
      <c r="I33" s="9">
        <v>34059</v>
      </c>
    </row>
    <row r="34" spans="1:9" x14ac:dyDescent="0.25">
      <c r="A34" s="2" t="s">
        <v>7</v>
      </c>
      <c r="B34" s="2">
        <v>750</v>
      </c>
      <c r="C34" s="2">
        <v>3</v>
      </c>
      <c r="D34" s="2" t="s">
        <v>29</v>
      </c>
      <c r="E34" s="3">
        <v>44093</v>
      </c>
      <c r="F34" s="2" t="s">
        <v>426</v>
      </c>
      <c r="G34" s="2" t="s">
        <v>75</v>
      </c>
      <c r="H34" s="2" t="s">
        <v>49</v>
      </c>
      <c r="I34" s="9">
        <v>33756</v>
      </c>
    </row>
    <row r="35" spans="1:9" x14ac:dyDescent="0.25">
      <c r="A35" s="2" t="s">
        <v>24</v>
      </c>
      <c r="B35" s="2">
        <v>2000</v>
      </c>
      <c r="C35" s="2">
        <v>2</v>
      </c>
      <c r="D35" s="2" t="s">
        <v>29</v>
      </c>
      <c r="E35" s="3">
        <v>44116</v>
      </c>
      <c r="F35" s="2" t="s">
        <v>68</v>
      </c>
      <c r="G35" s="2" t="s">
        <v>145</v>
      </c>
      <c r="H35" s="2" t="s">
        <v>49</v>
      </c>
      <c r="I35" s="9">
        <v>20646</v>
      </c>
    </row>
    <row r="36" spans="1:9" x14ac:dyDescent="0.25">
      <c r="A36" s="2" t="s">
        <v>6</v>
      </c>
      <c r="B36" s="2">
        <v>1200</v>
      </c>
      <c r="C36" s="2">
        <v>1</v>
      </c>
      <c r="D36" s="2" t="s">
        <v>37</v>
      </c>
      <c r="E36" s="3">
        <v>44023</v>
      </c>
      <c r="F36" s="2" t="s">
        <v>256</v>
      </c>
      <c r="G36" s="2" t="s">
        <v>287</v>
      </c>
      <c r="H36" s="2" t="s">
        <v>44</v>
      </c>
      <c r="I36" s="9">
        <v>23671</v>
      </c>
    </row>
    <row r="37" spans="1:9" x14ac:dyDescent="0.25">
      <c r="A37" s="2" t="s">
        <v>13</v>
      </c>
      <c r="B37" s="2">
        <v>2300</v>
      </c>
      <c r="C37" s="2">
        <v>1</v>
      </c>
      <c r="D37" s="2" t="s">
        <v>32</v>
      </c>
      <c r="E37" s="3">
        <v>44087</v>
      </c>
      <c r="F37" s="2" t="s">
        <v>247</v>
      </c>
      <c r="G37" s="2" t="s">
        <v>308</v>
      </c>
      <c r="H37" s="2" t="s">
        <v>44</v>
      </c>
      <c r="I37" s="9">
        <v>20824</v>
      </c>
    </row>
    <row r="38" spans="1:9" x14ac:dyDescent="0.25">
      <c r="A38" s="2" t="s">
        <v>22</v>
      </c>
      <c r="B38" s="2">
        <v>5200</v>
      </c>
      <c r="C38" s="2">
        <v>1</v>
      </c>
      <c r="D38" s="2" t="s">
        <v>37</v>
      </c>
      <c r="E38" s="3">
        <v>44096</v>
      </c>
      <c r="F38" s="2" t="s">
        <v>52</v>
      </c>
      <c r="G38" s="2" t="s">
        <v>63</v>
      </c>
      <c r="H38" s="2" t="s">
        <v>44</v>
      </c>
      <c r="I38" s="9">
        <v>20411</v>
      </c>
    </row>
    <row r="39" spans="1:9" x14ac:dyDescent="0.25">
      <c r="A39" s="2" t="s">
        <v>10</v>
      </c>
      <c r="B39" s="2">
        <v>1450</v>
      </c>
      <c r="C39" s="2">
        <v>1</v>
      </c>
      <c r="D39" s="2" t="s">
        <v>29</v>
      </c>
      <c r="E39" s="3">
        <v>44021</v>
      </c>
      <c r="F39" s="2" t="s">
        <v>256</v>
      </c>
      <c r="G39" s="2" t="s">
        <v>292</v>
      </c>
      <c r="H39" s="2" t="s">
        <v>44</v>
      </c>
      <c r="I39" s="9">
        <v>25098</v>
      </c>
    </row>
    <row r="40" spans="1:9" x14ac:dyDescent="0.25">
      <c r="A40" s="2" t="s">
        <v>27</v>
      </c>
      <c r="B40" s="2">
        <v>1500</v>
      </c>
      <c r="C40" s="2">
        <v>3</v>
      </c>
      <c r="D40" s="2" t="s">
        <v>38</v>
      </c>
      <c r="E40" s="3">
        <v>43843</v>
      </c>
      <c r="F40" s="2" t="s">
        <v>90</v>
      </c>
      <c r="G40" s="2" t="s">
        <v>91</v>
      </c>
      <c r="H40" s="2" t="s">
        <v>49</v>
      </c>
      <c r="I40" s="9">
        <v>33405</v>
      </c>
    </row>
    <row r="41" spans="1:9" x14ac:dyDescent="0.25">
      <c r="A41" s="2" t="s">
        <v>25</v>
      </c>
      <c r="B41" s="2">
        <v>2500</v>
      </c>
      <c r="C41" s="2">
        <v>2</v>
      </c>
      <c r="D41" s="2" t="s">
        <v>38</v>
      </c>
      <c r="E41" s="3">
        <v>43867</v>
      </c>
      <c r="F41" s="2" t="s">
        <v>568</v>
      </c>
      <c r="G41" s="2" t="s">
        <v>529</v>
      </c>
      <c r="H41" s="2" t="s">
        <v>44</v>
      </c>
      <c r="I41" s="9">
        <v>22705</v>
      </c>
    </row>
    <row r="42" spans="1:9" x14ac:dyDescent="0.25">
      <c r="A42" s="2" t="s">
        <v>19</v>
      </c>
      <c r="B42" s="2">
        <v>700</v>
      </c>
      <c r="C42" s="2">
        <v>5</v>
      </c>
      <c r="D42" s="2" t="s">
        <v>41</v>
      </c>
      <c r="E42" s="3">
        <v>44023</v>
      </c>
      <c r="F42" s="2" t="s">
        <v>177</v>
      </c>
      <c r="G42" s="2" t="s">
        <v>480</v>
      </c>
      <c r="H42" s="2" t="s">
        <v>49</v>
      </c>
      <c r="I42" s="9">
        <v>32007</v>
      </c>
    </row>
    <row r="43" spans="1:9" x14ac:dyDescent="0.25">
      <c r="A43" s="2" t="s">
        <v>10</v>
      </c>
      <c r="B43" s="2">
        <v>1450</v>
      </c>
      <c r="C43" s="2">
        <v>5</v>
      </c>
      <c r="D43" s="2" t="s">
        <v>29</v>
      </c>
      <c r="E43" s="3">
        <v>43933</v>
      </c>
      <c r="F43" s="2" t="s">
        <v>98</v>
      </c>
      <c r="G43" s="2" t="s">
        <v>81</v>
      </c>
      <c r="H43" s="2" t="s">
        <v>44</v>
      </c>
      <c r="I43" s="9">
        <v>30937</v>
      </c>
    </row>
    <row r="44" spans="1:9" x14ac:dyDescent="0.25">
      <c r="A44" s="2" t="s">
        <v>11</v>
      </c>
      <c r="B44" s="2">
        <v>4500</v>
      </c>
      <c r="C44" s="2">
        <v>2</v>
      </c>
      <c r="D44" s="2" t="s">
        <v>36</v>
      </c>
      <c r="E44" s="3">
        <v>43916</v>
      </c>
      <c r="F44" s="2" t="s">
        <v>233</v>
      </c>
      <c r="G44" s="2" t="s">
        <v>63</v>
      </c>
      <c r="H44" s="2" t="s">
        <v>49</v>
      </c>
      <c r="I44" s="9">
        <v>31797</v>
      </c>
    </row>
    <row r="45" spans="1:9" x14ac:dyDescent="0.25">
      <c r="A45" s="2" t="s">
        <v>21</v>
      </c>
      <c r="B45" s="2">
        <v>2400</v>
      </c>
      <c r="C45" s="2">
        <v>5</v>
      </c>
      <c r="D45" s="2" t="s">
        <v>32</v>
      </c>
      <c r="E45" s="3">
        <v>43885</v>
      </c>
      <c r="F45" s="2" t="s">
        <v>50</v>
      </c>
      <c r="G45" s="2" t="s">
        <v>51</v>
      </c>
      <c r="H45" s="2" t="s">
        <v>49</v>
      </c>
      <c r="I45" s="9">
        <v>25021</v>
      </c>
    </row>
    <row r="46" spans="1:9" x14ac:dyDescent="0.25">
      <c r="A46" s="2" t="s">
        <v>19</v>
      </c>
      <c r="B46" s="2">
        <v>700</v>
      </c>
      <c r="C46" s="2">
        <v>4</v>
      </c>
      <c r="D46" s="2" t="s">
        <v>31</v>
      </c>
      <c r="E46" s="3">
        <v>44039</v>
      </c>
      <c r="F46" s="2" t="s">
        <v>577</v>
      </c>
      <c r="G46" s="2" t="s">
        <v>334</v>
      </c>
      <c r="H46" s="2" t="s">
        <v>44</v>
      </c>
      <c r="I46" s="9">
        <v>28734</v>
      </c>
    </row>
    <row r="47" spans="1:9" x14ac:dyDescent="0.25">
      <c r="A47" s="2" t="s">
        <v>13</v>
      </c>
      <c r="B47" s="2">
        <v>2300</v>
      </c>
      <c r="C47" s="2">
        <v>1</v>
      </c>
      <c r="D47" s="2" t="s">
        <v>38</v>
      </c>
      <c r="E47" s="3">
        <v>44162</v>
      </c>
      <c r="F47" s="2" t="s">
        <v>444</v>
      </c>
      <c r="G47" s="2" t="s">
        <v>322</v>
      </c>
      <c r="H47" s="2" t="s">
        <v>49</v>
      </c>
      <c r="I47" s="9">
        <v>32337</v>
      </c>
    </row>
    <row r="48" spans="1:9" x14ac:dyDescent="0.25">
      <c r="A48" s="2" t="s">
        <v>27</v>
      </c>
      <c r="B48" s="2">
        <v>1500</v>
      </c>
      <c r="C48" s="2">
        <v>3</v>
      </c>
      <c r="D48" s="2" t="s">
        <v>39</v>
      </c>
      <c r="E48" s="3">
        <v>44077</v>
      </c>
      <c r="F48" s="2" t="s">
        <v>187</v>
      </c>
      <c r="G48" s="2" t="s">
        <v>156</v>
      </c>
      <c r="H48" s="2" t="s">
        <v>49</v>
      </c>
      <c r="I48" s="9">
        <v>21926</v>
      </c>
    </row>
    <row r="49" spans="1:9" x14ac:dyDescent="0.25">
      <c r="A49" s="2" t="s">
        <v>19</v>
      </c>
      <c r="B49" s="2">
        <v>700</v>
      </c>
      <c r="C49" s="2">
        <v>1</v>
      </c>
      <c r="D49" s="2" t="s">
        <v>31</v>
      </c>
      <c r="E49" s="3">
        <v>43960</v>
      </c>
      <c r="F49" s="2" t="s">
        <v>134</v>
      </c>
      <c r="G49" s="2" t="s">
        <v>63</v>
      </c>
      <c r="H49" s="2" t="s">
        <v>49</v>
      </c>
      <c r="I49" s="9">
        <v>33104</v>
      </c>
    </row>
    <row r="50" spans="1:9" x14ac:dyDescent="0.25">
      <c r="A50" s="2" t="s">
        <v>19</v>
      </c>
      <c r="B50" s="2">
        <v>700</v>
      </c>
      <c r="C50" s="2">
        <v>2</v>
      </c>
      <c r="D50" s="2" t="s">
        <v>29</v>
      </c>
      <c r="E50" s="3">
        <v>44176</v>
      </c>
      <c r="F50" s="2" t="s">
        <v>375</v>
      </c>
      <c r="G50" s="2" t="s">
        <v>376</v>
      </c>
      <c r="H50" s="2" t="s">
        <v>49</v>
      </c>
      <c r="I50" s="9">
        <v>19005</v>
      </c>
    </row>
    <row r="51" spans="1:9" x14ac:dyDescent="0.25">
      <c r="A51" s="2" t="s">
        <v>20</v>
      </c>
      <c r="B51" s="2">
        <v>2600</v>
      </c>
      <c r="C51" s="2">
        <v>5</v>
      </c>
      <c r="D51" s="2" t="s">
        <v>32</v>
      </c>
      <c r="E51" s="3">
        <v>44087</v>
      </c>
      <c r="F51" s="2" t="s">
        <v>343</v>
      </c>
      <c r="G51" s="2" t="s">
        <v>448</v>
      </c>
      <c r="H51" s="2" t="s">
        <v>49</v>
      </c>
      <c r="I51" s="9">
        <v>20109</v>
      </c>
    </row>
    <row r="52" spans="1:9" x14ac:dyDescent="0.25">
      <c r="A52" s="2" t="s">
        <v>12</v>
      </c>
      <c r="B52" s="2">
        <v>6500</v>
      </c>
      <c r="C52" s="2">
        <v>3</v>
      </c>
      <c r="D52" s="2" t="s">
        <v>31</v>
      </c>
      <c r="E52" s="3">
        <v>43841</v>
      </c>
      <c r="F52" s="2" t="s">
        <v>379</v>
      </c>
      <c r="G52" s="2" t="s">
        <v>376</v>
      </c>
      <c r="H52" s="2" t="s">
        <v>44</v>
      </c>
      <c r="I52" s="9">
        <v>31380</v>
      </c>
    </row>
    <row r="53" spans="1:9" x14ac:dyDescent="0.25">
      <c r="A53" s="2" t="s">
        <v>18</v>
      </c>
      <c r="B53" s="2">
        <v>3000</v>
      </c>
      <c r="C53" s="2">
        <v>3</v>
      </c>
      <c r="D53" s="2" t="s">
        <v>40</v>
      </c>
      <c r="E53" s="3">
        <v>44050</v>
      </c>
      <c r="F53" s="2" t="s">
        <v>120</v>
      </c>
      <c r="G53" s="2" t="s">
        <v>578</v>
      </c>
      <c r="H53" s="2" t="s">
        <v>44</v>
      </c>
      <c r="I53" s="9">
        <v>27100</v>
      </c>
    </row>
    <row r="54" spans="1:9" x14ac:dyDescent="0.25">
      <c r="A54" s="2" t="s">
        <v>14</v>
      </c>
      <c r="B54" s="2">
        <v>2000</v>
      </c>
      <c r="C54" s="2">
        <v>2</v>
      </c>
      <c r="D54" s="2" t="s">
        <v>38</v>
      </c>
      <c r="E54" s="3">
        <v>43901</v>
      </c>
      <c r="F54" s="2" t="s">
        <v>190</v>
      </c>
      <c r="G54" s="2" t="s">
        <v>297</v>
      </c>
      <c r="H54" s="2" t="s">
        <v>44</v>
      </c>
      <c r="I54" s="9">
        <v>24883</v>
      </c>
    </row>
    <row r="55" spans="1:9" x14ac:dyDescent="0.25">
      <c r="A55" s="2" t="s">
        <v>17</v>
      </c>
      <c r="B55" s="2">
        <v>1550</v>
      </c>
      <c r="C55" s="2">
        <v>5</v>
      </c>
      <c r="D55" s="2" t="s">
        <v>36</v>
      </c>
      <c r="E55" s="3">
        <v>43999</v>
      </c>
      <c r="F55" s="2" t="s">
        <v>514</v>
      </c>
      <c r="G55" s="2" t="s">
        <v>100</v>
      </c>
      <c r="H55" s="2" t="s">
        <v>44</v>
      </c>
      <c r="I55" s="9">
        <v>20777</v>
      </c>
    </row>
    <row r="56" spans="1:9" x14ac:dyDescent="0.25">
      <c r="A56" s="2" t="s">
        <v>22</v>
      </c>
      <c r="B56" s="2">
        <v>5200</v>
      </c>
      <c r="C56" s="2">
        <v>1</v>
      </c>
      <c r="D56" s="2" t="s">
        <v>37</v>
      </c>
      <c r="E56" s="3">
        <v>44150</v>
      </c>
      <c r="F56" s="2" t="s">
        <v>335</v>
      </c>
      <c r="G56" s="2" t="s">
        <v>83</v>
      </c>
      <c r="H56" s="2" t="s">
        <v>49</v>
      </c>
      <c r="I56" s="9">
        <v>29726</v>
      </c>
    </row>
    <row r="57" spans="1:9" x14ac:dyDescent="0.25">
      <c r="A57" s="2" t="s">
        <v>25</v>
      </c>
      <c r="B57" s="2">
        <v>2500</v>
      </c>
      <c r="C57" s="2">
        <v>1</v>
      </c>
      <c r="D57" s="2" t="s">
        <v>34</v>
      </c>
      <c r="E57" s="3">
        <v>44073</v>
      </c>
      <c r="F57" s="2" t="s">
        <v>528</v>
      </c>
      <c r="G57" s="2" t="s">
        <v>345</v>
      </c>
      <c r="H57" s="2" t="s">
        <v>44</v>
      </c>
      <c r="I57" s="9">
        <v>31102</v>
      </c>
    </row>
    <row r="58" spans="1:9" x14ac:dyDescent="0.25">
      <c r="A58" s="2" t="s">
        <v>18</v>
      </c>
      <c r="B58" s="2">
        <v>3000</v>
      </c>
      <c r="C58" s="2">
        <v>1</v>
      </c>
      <c r="D58" s="2" t="s">
        <v>38</v>
      </c>
      <c r="E58" s="3">
        <v>44102</v>
      </c>
      <c r="F58" s="2" t="s">
        <v>107</v>
      </c>
      <c r="G58" s="2" t="s">
        <v>340</v>
      </c>
      <c r="H58" s="2" t="s">
        <v>49</v>
      </c>
      <c r="I58" s="9">
        <v>23329</v>
      </c>
    </row>
    <row r="59" spans="1:9" x14ac:dyDescent="0.25">
      <c r="A59" s="2" t="s">
        <v>14</v>
      </c>
      <c r="B59" s="2">
        <v>2000</v>
      </c>
      <c r="C59" s="2">
        <v>2</v>
      </c>
      <c r="D59" s="2" t="s">
        <v>33</v>
      </c>
      <c r="E59" s="3">
        <v>44032</v>
      </c>
      <c r="F59" s="2" t="s">
        <v>87</v>
      </c>
      <c r="G59" s="2" t="s">
        <v>160</v>
      </c>
      <c r="H59" s="2" t="s">
        <v>44</v>
      </c>
      <c r="I59" s="9">
        <v>28196</v>
      </c>
    </row>
    <row r="60" spans="1:9" x14ac:dyDescent="0.25">
      <c r="A60" s="2" t="s">
        <v>10</v>
      </c>
      <c r="B60" s="2">
        <v>1450</v>
      </c>
      <c r="C60" s="2">
        <v>2</v>
      </c>
      <c r="D60" s="2" t="s">
        <v>32</v>
      </c>
      <c r="E60" s="3">
        <v>43881</v>
      </c>
      <c r="F60" s="2" t="s">
        <v>109</v>
      </c>
      <c r="G60" s="2" t="s">
        <v>243</v>
      </c>
      <c r="H60" s="2" t="s">
        <v>44</v>
      </c>
      <c r="I60" s="9">
        <v>19583</v>
      </c>
    </row>
    <row r="61" spans="1:9" x14ac:dyDescent="0.25">
      <c r="A61" s="2" t="s">
        <v>7</v>
      </c>
      <c r="B61" s="2">
        <v>750</v>
      </c>
      <c r="C61" s="2">
        <v>3</v>
      </c>
      <c r="D61" s="2" t="s">
        <v>34</v>
      </c>
      <c r="E61" s="3">
        <v>44055</v>
      </c>
      <c r="F61" s="2" t="s">
        <v>45</v>
      </c>
      <c r="G61" s="2" t="s">
        <v>156</v>
      </c>
      <c r="H61" s="2" t="s">
        <v>44</v>
      </c>
      <c r="I61" s="9">
        <v>32720</v>
      </c>
    </row>
    <row r="62" spans="1:9" x14ac:dyDescent="0.25">
      <c r="A62" s="2" t="s">
        <v>21</v>
      </c>
      <c r="B62" s="2">
        <v>2400</v>
      </c>
      <c r="C62" s="2">
        <v>4</v>
      </c>
      <c r="D62" s="2" t="s">
        <v>36</v>
      </c>
      <c r="E62" s="3">
        <v>43855</v>
      </c>
      <c r="F62" s="2" t="s">
        <v>302</v>
      </c>
      <c r="G62" s="2" t="s">
        <v>566</v>
      </c>
      <c r="H62" s="2" t="s">
        <v>49</v>
      </c>
      <c r="I62" s="9">
        <v>27853</v>
      </c>
    </row>
    <row r="63" spans="1:9" x14ac:dyDescent="0.25">
      <c r="A63" s="2" t="s">
        <v>6</v>
      </c>
      <c r="B63" s="2">
        <v>1200</v>
      </c>
      <c r="C63" s="2">
        <v>4</v>
      </c>
      <c r="D63" s="2" t="s">
        <v>32</v>
      </c>
      <c r="E63" s="3">
        <v>44059</v>
      </c>
      <c r="F63" s="2" t="s">
        <v>109</v>
      </c>
      <c r="G63" s="2" t="s">
        <v>337</v>
      </c>
      <c r="H63" s="2" t="s">
        <v>44</v>
      </c>
      <c r="I63" s="9">
        <v>28472</v>
      </c>
    </row>
    <row r="64" spans="1:9" x14ac:dyDescent="0.25">
      <c r="A64" s="2" t="s">
        <v>23</v>
      </c>
      <c r="B64" s="2">
        <v>1500</v>
      </c>
      <c r="C64" s="2">
        <v>3</v>
      </c>
      <c r="D64" s="2" t="s">
        <v>39</v>
      </c>
      <c r="E64" s="3">
        <v>44090</v>
      </c>
      <c r="F64" s="2" t="s">
        <v>155</v>
      </c>
      <c r="G64" s="2" t="s">
        <v>220</v>
      </c>
      <c r="H64" s="2" t="s">
        <v>44</v>
      </c>
      <c r="I64" s="9">
        <v>23658</v>
      </c>
    </row>
    <row r="65" spans="1:9" x14ac:dyDescent="0.25">
      <c r="A65" s="2" t="s">
        <v>27</v>
      </c>
      <c r="B65" s="2">
        <v>1500</v>
      </c>
      <c r="C65" s="2">
        <v>3</v>
      </c>
      <c r="D65" s="2" t="s">
        <v>32</v>
      </c>
      <c r="E65" s="3">
        <v>43855</v>
      </c>
      <c r="F65" s="2" t="s">
        <v>124</v>
      </c>
      <c r="G65" s="2" t="s">
        <v>191</v>
      </c>
      <c r="H65" s="2" t="s">
        <v>44</v>
      </c>
      <c r="I65" s="9">
        <v>22483</v>
      </c>
    </row>
    <row r="66" spans="1:9" x14ac:dyDescent="0.25">
      <c r="A66" s="2" t="s">
        <v>5</v>
      </c>
      <c r="B66" s="2">
        <v>1750</v>
      </c>
      <c r="C66" s="2">
        <v>5</v>
      </c>
      <c r="D66" s="2" t="s">
        <v>29</v>
      </c>
      <c r="E66" s="3">
        <v>44053</v>
      </c>
      <c r="F66" s="2" t="s">
        <v>42</v>
      </c>
      <c r="G66" s="2" t="s">
        <v>43</v>
      </c>
      <c r="H66" s="2" t="s">
        <v>44</v>
      </c>
      <c r="I66" s="9">
        <v>33469</v>
      </c>
    </row>
    <row r="67" spans="1:9" x14ac:dyDescent="0.25">
      <c r="A67" s="2" t="s">
        <v>25</v>
      </c>
      <c r="B67" s="2">
        <v>2500</v>
      </c>
      <c r="C67" s="2">
        <v>3</v>
      </c>
      <c r="D67" s="2" t="s">
        <v>36</v>
      </c>
      <c r="E67" s="3">
        <v>44090</v>
      </c>
      <c r="F67" s="2" t="s">
        <v>328</v>
      </c>
      <c r="G67" s="2" t="s">
        <v>430</v>
      </c>
      <c r="H67" s="2" t="s">
        <v>49</v>
      </c>
      <c r="I67" s="9">
        <v>34792</v>
      </c>
    </row>
    <row r="68" spans="1:9" x14ac:dyDescent="0.25">
      <c r="A68" s="2" t="s">
        <v>28</v>
      </c>
      <c r="B68" s="2">
        <v>1400</v>
      </c>
      <c r="C68" s="2">
        <v>2</v>
      </c>
      <c r="D68" s="2" t="s">
        <v>33</v>
      </c>
      <c r="E68" s="3">
        <v>44160</v>
      </c>
      <c r="F68" s="2" t="s">
        <v>582</v>
      </c>
      <c r="G68" s="2" t="s">
        <v>583</v>
      </c>
      <c r="H68" s="2" t="s">
        <v>49</v>
      </c>
      <c r="I68" s="9">
        <v>27281</v>
      </c>
    </row>
    <row r="69" spans="1:9" x14ac:dyDescent="0.25">
      <c r="A69" s="2" t="s">
        <v>20</v>
      </c>
      <c r="B69" s="2">
        <v>2600</v>
      </c>
      <c r="C69" s="2">
        <v>5</v>
      </c>
      <c r="D69" s="2" t="s">
        <v>34</v>
      </c>
      <c r="E69" s="3">
        <v>44149</v>
      </c>
      <c r="F69" s="2" t="s">
        <v>439</v>
      </c>
      <c r="G69" s="2" t="s">
        <v>89</v>
      </c>
      <c r="H69" s="2" t="s">
        <v>44</v>
      </c>
      <c r="I69" s="9">
        <v>20248</v>
      </c>
    </row>
    <row r="70" spans="1:9" x14ac:dyDescent="0.25">
      <c r="A70" s="2" t="s">
        <v>14</v>
      </c>
      <c r="B70" s="2">
        <v>2000</v>
      </c>
      <c r="C70" s="2">
        <v>1</v>
      </c>
      <c r="D70" s="2" t="s">
        <v>38</v>
      </c>
      <c r="E70" s="3">
        <v>43942</v>
      </c>
      <c r="F70" s="2" t="s">
        <v>394</v>
      </c>
      <c r="G70" s="2" t="s">
        <v>395</v>
      </c>
      <c r="H70" s="2" t="s">
        <v>49</v>
      </c>
      <c r="I70" s="9">
        <v>27665</v>
      </c>
    </row>
    <row r="71" spans="1:9" x14ac:dyDescent="0.25">
      <c r="A71" s="2" t="s">
        <v>24</v>
      </c>
      <c r="B71" s="2">
        <v>2000</v>
      </c>
      <c r="C71" s="2">
        <v>3</v>
      </c>
      <c r="D71" s="2" t="s">
        <v>40</v>
      </c>
      <c r="E71" s="3">
        <v>43944</v>
      </c>
      <c r="F71" s="2" t="s">
        <v>298</v>
      </c>
      <c r="G71" s="2" t="s">
        <v>287</v>
      </c>
      <c r="H71" s="2" t="s">
        <v>44</v>
      </c>
      <c r="I71" s="9">
        <v>32562</v>
      </c>
    </row>
    <row r="72" spans="1:9" x14ac:dyDescent="0.25">
      <c r="A72" s="2" t="s">
        <v>13</v>
      </c>
      <c r="B72" s="2">
        <v>2300</v>
      </c>
      <c r="C72" s="2">
        <v>3</v>
      </c>
      <c r="D72" s="2" t="s">
        <v>32</v>
      </c>
      <c r="E72" s="3">
        <v>43849</v>
      </c>
      <c r="F72" s="2" t="s">
        <v>137</v>
      </c>
      <c r="G72" s="2" t="s">
        <v>174</v>
      </c>
      <c r="H72" s="2" t="s">
        <v>49</v>
      </c>
      <c r="I72" s="9">
        <v>22798</v>
      </c>
    </row>
    <row r="73" spans="1:9" x14ac:dyDescent="0.25">
      <c r="A73" s="2" t="s">
        <v>22</v>
      </c>
      <c r="B73" s="2">
        <v>5200</v>
      </c>
      <c r="C73" s="2">
        <v>2</v>
      </c>
      <c r="D73" s="2" t="s">
        <v>29</v>
      </c>
      <c r="E73" s="3">
        <v>44085</v>
      </c>
      <c r="F73" s="2" t="s">
        <v>333</v>
      </c>
      <c r="G73" s="2" t="s">
        <v>334</v>
      </c>
      <c r="H73" s="2" t="s">
        <v>44</v>
      </c>
      <c r="I73" s="9">
        <v>26869</v>
      </c>
    </row>
    <row r="74" spans="1:9" x14ac:dyDescent="0.25">
      <c r="A74" s="2" t="s">
        <v>16</v>
      </c>
      <c r="B74" s="2">
        <v>1400</v>
      </c>
      <c r="C74" s="2">
        <v>3</v>
      </c>
      <c r="D74" s="2" t="s">
        <v>31</v>
      </c>
      <c r="E74" s="3">
        <v>44043</v>
      </c>
      <c r="F74" s="2" t="s">
        <v>155</v>
      </c>
      <c r="G74" s="2" t="s">
        <v>55</v>
      </c>
      <c r="H74" s="2" t="s">
        <v>44</v>
      </c>
      <c r="I74" s="9">
        <v>31729</v>
      </c>
    </row>
    <row r="75" spans="1:9" x14ac:dyDescent="0.25">
      <c r="A75" s="2" t="s">
        <v>19</v>
      </c>
      <c r="B75" s="2">
        <v>700</v>
      </c>
      <c r="C75" s="2">
        <v>3</v>
      </c>
      <c r="D75" s="2" t="s">
        <v>37</v>
      </c>
      <c r="E75" s="3">
        <v>43860</v>
      </c>
      <c r="F75" s="2" t="s">
        <v>610</v>
      </c>
      <c r="G75" s="2" t="s">
        <v>220</v>
      </c>
      <c r="H75" s="2" t="s">
        <v>44</v>
      </c>
      <c r="I75" s="9">
        <v>28170</v>
      </c>
    </row>
    <row r="76" spans="1:9" x14ac:dyDescent="0.25">
      <c r="A76" s="2" t="s">
        <v>22</v>
      </c>
      <c r="B76" s="2">
        <v>5200</v>
      </c>
      <c r="C76" s="2">
        <v>1</v>
      </c>
      <c r="D76" s="2" t="s">
        <v>32</v>
      </c>
      <c r="E76" s="3">
        <v>44152</v>
      </c>
      <c r="F76" s="2" t="s">
        <v>109</v>
      </c>
      <c r="G76" s="2" t="s">
        <v>243</v>
      </c>
      <c r="H76" s="2" t="s">
        <v>44</v>
      </c>
      <c r="I76" s="9">
        <v>19583</v>
      </c>
    </row>
    <row r="77" spans="1:9" x14ac:dyDescent="0.25">
      <c r="A77" s="2" t="s">
        <v>11</v>
      </c>
      <c r="B77" s="2">
        <v>4500</v>
      </c>
      <c r="C77" s="2">
        <v>3</v>
      </c>
      <c r="D77" s="2" t="s">
        <v>39</v>
      </c>
      <c r="E77" s="3">
        <v>43963</v>
      </c>
      <c r="F77" s="2" t="s">
        <v>98</v>
      </c>
      <c r="G77" s="2" t="s">
        <v>152</v>
      </c>
      <c r="H77" s="2" t="s">
        <v>44</v>
      </c>
      <c r="I77" s="9">
        <v>29032</v>
      </c>
    </row>
    <row r="78" spans="1:9" x14ac:dyDescent="0.25">
      <c r="A78" s="2" t="s">
        <v>15</v>
      </c>
      <c r="B78" s="2">
        <v>1900</v>
      </c>
      <c r="C78" s="2">
        <v>3</v>
      </c>
      <c r="D78" s="2" t="s">
        <v>32</v>
      </c>
      <c r="E78" s="3">
        <v>44027</v>
      </c>
      <c r="F78" s="2" t="s">
        <v>190</v>
      </c>
      <c r="G78" s="2" t="s">
        <v>83</v>
      </c>
      <c r="H78" s="2" t="s">
        <v>44</v>
      </c>
      <c r="I78" s="9">
        <v>32913</v>
      </c>
    </row>
    <row r="79" spans="1:9" x14ac:dyDescent="0.25">
      <c r="A79" s="2" t="s">
        <v>7</v>
      </c>
      <c r="B79" s="2">
        <v>750</v>
      </c>
      <c r="C79" s="2">
        <v>1</v>
      </c>
      <c r="D79" s="2" t="s">
        <v>30</v>
      </c>
      <c r="E79" s="3">
        <v>44045</v>
      </c>
      <c r="F79" s="2" t="s">
        <v>277</v>
      </c>
      <c r="G79" s="2" t="s">
        <v>278</v>
      </c>
      <c r="H79" s="2" t="s">
        <v>49</v>
      </c>
      <c r="I79" s="9">
        <v>24915</v>
      </c>
    </row>
    <row r="80" spans="1:9" x14ac:dyDescent="0.25">
      <c r="A80" s="2" t="s">
        <v>9</v>
      </c>
      <c r="B80" s="2">
        <v>1500</v>
      </c>
      <c r="C80" s="2">
        <v>1</v>
      </c>
      <c r="D80" s="2" t="s">
        <v>29</v>
      </c>
      <c r="E80" s="3">
        <v>44128</v>
      </c>
      <c r="F80" s="2" t="s">
        <v>589</v>
      </c>
      <c r="G80" s="2" t="s">
        <v>586</v>
      </c>
      <c r="H80" s="2" t="s">
        <v>44</v>
      </c>
      <c r="I80" s="9">
        <v>20204</v>
      </c>
    </row>
    <row r="81" spans="1:9" x14ac:dyDescent="0.25">
      <c r="A81" s="2" t="s">
        <v>23</v>
      </c>
      <c r="B81" s="2">
        <v>1500</v>
      </c>
      <c r="C81" s="2">
        <v>5</v>
      </c>
      <c r="D81" s="2" t="s">
        <v>36</v>
      </c>
      <c r="E81" s="3">
        <v>43851</v>
      </c>
      <c r="F81" s="2" t="s">
        <v>579</v>
      </c>
      <c r="G81" s="2" t="s">
        <v>449</v>
      </c>
      <c r="H81" s="2" t="s">
        <v>49</v>
      </c>
      <c r="I81" s="9">
        <v>24093</v>
      </c>
    </row>
    <row r="82" spans="1:9" x14ac:dyDescent="0.25">
      <c r="A82" s="2" t="s">
        <v>23</v>
      </c>
      <c r="B82" s="2">
        <v>1500</v>
      </c>
      <c r="C82" s="2">
        <v>2</v>
      </c>
      <c r="D82" s="2" t="s">
        <v>41</v>
      </c>
      <c r="E82" s="3">
        <v>44046</v>
      </c>
      <c r="F82" s="2" t="s">
        <v>264</v>
      </c>
      <c r="G82" s="2" t="s">
        <v>143</v>
      </c>
      <c r="H82" s="2" t="s">
        <v>49</v>
      </c>
      <c r="I82" s="9">
        <v>34753</v>
      </c>
    </row>
    <row r="83" spans="1:9" x14ac:dyDescent="0.25">
      <c r="A83" s="2" t="s">
        <v>15</v>
      </c>
      <c r="B83" s="2">
        <v>1900</v>
      </c>
      <c r="C83" s="2">
        <v>2</v>
      </c>
      <c r="D83" s="2" t="s">
        <v>30</v>
      </c>
      <c r="E83" s="3">
        <v>44038</v>
      </c>
      <c r="F83" s="2" t="s">
        <v>94</v>
      </c>
      <c r="G83" s="2" t="s">
        <v>210</v>
      </c>
      <c r="H83" s="2" t="s">
        <v>49</v>
      </c>
      <c r="I83" s="9">
        <v>31670</v>
      </c>
    </row>
    <row r="84" spans="1:9" x14ac:dyDescent="0.25">
      <c r="A84" s="2" t="s">
        <v>23</v>
      </c>
      <c r="B84" s="2">
        <v>1500</v>
      </c>
      <c r="C84" s="2">
        <v>3</v>
      </c>
      <c r="D84" s="2" t="s">
        <v>37</v>
      </c>
      <c r="E84" s="3">
        <v>43857</v>
      </c>
      <c r="F84" s="2" t="s">
        <v>548</v>
      </c>
      <c r="G84" s="2" t="s">
        <v>559</v>
      </c>
      <c r="H84" s="2" t="s">
        <v>49</v>
      </c>
      <c r="I84" s="9">
        <v>35817</v>
      </c>
    </row>
    <row r="85" spans="1:9" x14ac:dyDescent="0.25">
      <c r="A85" s="2" t="s">
        <v>5</v>
      </c>
      <c r="B85" s="2">
        <v>1750</v>
      </c>
      <c r="C85" s="2">
        <v>4</v>
      </c>
      <c r="D85" s="2" t="s">
        <v>41</v>
      </c>
      <c r="E85" s="3">
        <v>44118</v>
      </c>
      <c r="F85" s="2" t="s">
        <v>264</v>
      </c>
      <c r="G85" s="2" t="s">
        <v>435</v>
      </c>
      <c r="H85" s="2" t="s">
        <v>49</v>
      </c>
      <c r="I85" s="9">
        <v>19820</v>
      </c>
    </row>
    <row r="86" spans="1:9" x14ac:dyDescent="0.25">
      <c r="A86" s="2" t="s">
        <v>21</v>
      </c>
      <c r="B86" s="2">
        <v>2400</v>
      </c>
      <c r="C86" s="2">
        <v>3</v>
      </c>
      <c r="D86" s="2" t="s">
        <v>41</v>
      </c>
      <c r="E86" s="3">
        <v>43855</v>
      </c>
      <c r="F86" s="2" t="s">
        <v>221</v>
      </c>
      <c r="G86" s="2" t="s">
        <v>222</v>
      </c>
      <c r="H86" s="2" t="s">
        <v>44</v>
      </c>
      <c r="I86" s="9">
        <v>35083</v>
      </c>
    </row>
    <row r="87" spans="1:9" x14ac:dyDescent="0.25">
      <c r="A87" s="2" t="s">
        <v>11</v>
      </c>
      <c r="B87" s="2">
        <v>4500</v>
      </c>
      <c r="C87" s="2">
        <v>4</v>
      </c>
      <c r="D87" s="2" t="s">
        <v>41</v>
      </c>
      <c r="E87" s="3">
        <v>43954</v>
      </c>
      <c r="F87" s="2" t="s">
        <v>109</v>
      </c>
      <c r="G87" s="2" t="s">
        <v>323</v>
      </c>
      <c r="H87" s="2" t="s">
        <v>44</v>
      </c>
      <c r="I87" s="9">
        <v>26977</v>
      </c>
    </row>
    <row r="88" spans="1:9" x14ac:dyDescent="0.25">
      <c r="A88" s="2" t="s">
        <v>18</v>
      </c>
      <c r="B88" s="2">
        <v>3000</v>
      </c>
      <c r="C88" s="2">
        <v>2</v>
      </c>
      <c r="D88" s="2" t="s">
        <v>37</v>
      </c>
      <c r="E88" s="3">
        <v>43887</v>
      </c>
      <c r="F88" s="2" t="s">
        <v>469</v>
      </c>
      <c r="G88" s="2" t="s">
        <v>97</v>
      </c>
      <c r="H88" s="2" t="s">
        <v>44</v>
      </c>
      <c r="I88" s="9">
        <v>24316</v>
      </c>
    </row>
    <row r="89" spans="1:9" x14ac:dyDescent="0.25">
      <c r="A89" s="2" t="s">
        <v>25</v>
      </c>
      <c r="B89" s="2">
        <v>2500</v>
      </c>
      <c r="C89" s="2">
        <v>5</v>
      </c>
      <c r="D89" s="2" t="s">
        <v>38</v>
      </c>
      <c r="E89" s="3">
        <v>43961</v>
      </c>
      <c r="F89" s="2" t="s">
        <v>312</v>
      </c>
      <c r="G89" s="2" t="s">
        <v>411</v>
      </c>
      <c r="H89" s="2" t="s">
        <v>49</v>
      </c>
      <c r="I89" s="9">
        <v>26225</v>
      </c>
    </row>
    <row r="90" spans="1:9" x14ac:dyDescent="0.25">
      <c r="A90" s="2" t="s">
        <v>28</v>
      </c>
      <c r="B90" s="2">
        <v>1400</v>
      </c>
      <c r="C90" s="2">
        <v>2</v>
      </c>
      <c r="D90" s="2" t="s">
        <v>30</v>
      </c>
      <c r="E90" s="3">
        <v>44072</v>
      </c>
      <c r="F90" s="2" t="s">
        <v>158</v>
      </c>
      <c r="G90" s="2" t="s">
        <v>159</v>
      </c>
      <c r="H90" s="2" t="s">
        <v>49</v>
      </c>
      <c r="I90" s="9">
        <v>31269</v>
      </c>
    </row>
    <row r="91" spans="1:9" x14ac:dyDescent="0.25">
      <c r="A91" s="2" t="s">
        <v>15</v>
      </c>
      <c r="B91" s="2">
        <v>1900</v>
      </c>
      <c r="C91" s="2">
        <v>3</v>
      </c>
      <c r="D91" s="2" t="s">
        <v>34</v>
      </c>
      <c r="E91" s="3">
        <v>44081</v>
      </c>
      <c r="F91" s="2" t="s">
        <v>155</v>
      </c>
      <c r="G91" s="2" t="s">
        <v>141</v>
      </c>
      <c r="H91" s="2" t="s">
        <v>44</v>
      </c>
      <c r="I91" s="9">
        <v>32109</v>
      </c>
    </row>
    <row r="92" spans="1:9" x14ac:dyDescent="0.25">
      <c r="A92" s="2" t="s">
        <v>23</v>
      </c>
      <c r="B92" s="2">
        <v>1500</v>
      </c>
      <c r="C92" s="2">
        <v>4</v>
      </c>
      <c r="D92" s="2" t="s">
        <v>38</v>
      </c>
      <c r="E92" s="3">
        <v>44024</v>
      </c>
      <c r="F92" s="2" t="s">
        <v>221</v>
      </c>
      <c r="G92" s="2" t="s">
        <v>294</v>
      </c>
      <c r="H92" s="2" t="s">
        <v>44</v>
      </c>
      <c r="I92" s="9">
        <v>28733</v>
      </c>
    </row>
    <row r="93" spans="1:9" x14ac:dyDescent="0.25">
      <c r="A93" s="2" t="s">
        <v>5</v>
      </c>
      <c r="B93" s="2">
        <v>1750</v>
      </c>
      <c r="C93" s="2">
        <v>4</v>
      </c>
      <c r="D93" s="2" t="s">
        <v>31</v>
      </c>
      <c r="E93" s="3">
        <v>43983</v>
      </c>
      <c r="F93" s="2" t="s">
        <v>42</v>
      </c>
      <c r="G93" s="2" t="s">
        <v>274</v>
      </c>
      <c r="H93" s="2" t="s">
        <v>44</v>
      </c>
      <c r="I93" s="9">
        <v>30739</v>
      </c>
    </row>
    <row r="94" spans="1:9" x14ac:dyDescent="0.25">
      <c r="A94" s="2" t="s">
        <v>19</v>
      </c>
      <c r="B94" s="2">
        <v>700</v>
      </c>
      <c r="C94" s="2">
        <v>4</v>
      </c>
      <c r="D94" s="2" t="s">
        <v>34</v>
      </c>
      <c r="E94" s="3">
        <v>44105</v>
      </c>
      <c r="F94" s="2" t="s">
        <v>256</v>
      </c>
      <c r="G94" s="2" t="s">
        <v>468</v>
      </c>
      <c r="H94" s="2" t="s">
        <v>44</v>
      </c>
      <c r="I94" s="9">
        <v>32705</v>
      </c>
    </row>
    <row r="95" spans="1:9" x14ac:dyDescent="0.25">
      <c r="A95" s="2" t="s">
        <v>18</v>
      </c>
      <c r="B95" s="2">
        <v>3000</v>
      </c>
      <c r="C95" s="2">
        <v>3</v>
      </c>
      <c r="D95" s="2" t="s">
        <v>36</v>
      </c>
      <c r="E95" s="3">
        <v>43899</v>
      </c>
      <c r="F95" s="2" t="s">
        <v>120</v>
      </c>
      <c r="G95" s="2" t="s">
        <v>171</v>
      </c>
      <c r="H95" s="2" t="s">
        <v>44</v>
      </c>
      <c r="I95" s="9">
        <v>26810</v>
      </c>
    </row>
    <row r="96" spans="1:9" x14ac:dyDescent="0.25">
      <c r="A96" s="2" t="s">
        <v>22</v>
      </c>
      <c r="B96" s="2">
        <v>5200</v>
      </c>
      <c r="C96" s="2">
        <v>5</v>
      </c>
      <c r="D96" s="2" t="s">
        <v>40</v>
      </c>
      <c r="E96" s="3">
        <v>44121</v>
      </c>
      <c r="F96" s="2" t="s">
        <v>111</v>
      </c>
      <c r="G96" s="2" t="s">
        <v>63</v>
      </c>
      <c r="H96" s="2" t="s">
        <v>44</v>
      </c>
      <c r="I96" s="9">
        <v>34809</v>
      </c>
    </row>
    <row r="97" spans="1:9" x14ac:dyDescent="0.25">
      <c r="A97" s="2" t="s">
        <v>19</v>
      </c>
      <c r="B97" s="2">
        <v>700</v>
      </c>
      <c r="C97" s="2">
        <v>2</v>
      </c>
      <c r="D97" s="2" t="s">
        <v>36</v>
      </c>
      <c r="E97" s="3">
        <v>43907</v>
      </c>
      <c r="F97" s="2" t="s">
        <v>439</v>
      </c>
      <c r="G97" s="2" t="s">
        <v>448</v>
      </c>
      <c r="H97" s="2" t="s">
        <v>44</v>
      </c>
      <c r="I97" s="9">
        <v>19690</v>
      </c>
    </row>
    <row r="98" spans="1:9" x14ac:dyDescent="0.25">
      <c r="A98" s="2" t="s">
        <v>26</v>
      </c>
      <c r="B98" s="2">
        <v>1100</v>
      </c>
      <c r="C98" s="2">
        <v>2</v>
      </c>
      <c r="D98" s="2" t="s">
        <v>34</v>
      </c>
      <c r="E98" s="3">
        <v>43878</v>
      </c>
      <c r="F98" s="2" t="s">
        <v>78</v>
      </c>
      <c r="G98" s="2" t="s">
        <v>79</v>
      </c>
      <c r="H98" s="2" t="s">
        <v>49</v>
      </c>
      <c r="I98" s="9">
        <v>36540</v>
      </c>
    </row>
    <row r="99" spans="1:9" x14ac:dyDescent="0.25">
      <c r="A99" s="2" t="s">
        <v>7</v>
      </c>
      <c r="B99" s="2">
        <v>750</v>
      </c>
      <c r="C99" s="2">
        <v>5</v>
      </c>
      <c r="D99" s="2" t="s">
        <v>36</v>
      </c>
      <c r="E99" s="3">
        <v>43964</v>
      </c>
      <c r="F99" s="2" t="s">
        <v>505</v>
      </c>
      <c r="G99" s="2" t="s">
        <v>274</v>
      </c>
      <c r="H99" s="2" t="s">
        <v>44</v>
      </c>
      <c r="I99" s="9">
        <v>24346</v>
      </c>
    </row>
    <row r="100" spans="1:9" x14ac:dyDescent="0.25">
      <c r="A100" s="2" t="s">
        <v>9</v>
      </c>
      <c r="B100" s="2">
        <v>1500</v>
      </c>
      <c r="C100" s="2">
        <v>3</v>
      </c>
      <c r="D100" s="2" t="s">
        <v>35</v>
      </c>
      <c r="E100" s="3">
        <v>44194</v>
      </c>
      <c r="F100" s="2" t="s">
        <v>414</v>
      </c>
      <c r="G100" s="2" t="s">
        <v>415</v>
      </c>
      <c r="H100" s="2" t="s">
        <v>44</v>
      </c>
      <c r="I100" s="9">
        <v>36190</v>
      </c>
    </row>
    <row r="101" spans="1:9" x14ac:dyDescent="0.25">
      <c r="A101" s="2" t="s">
        <v>11</v>
      </c>
      <c r="B101" s="2">
        <v>4500</v>
      </c>
      <c r="C101" s="2">
        <v>3</v>
      </c>
      <c r="D101" s="2" t="s">
        <v>32</v>
      </c>
      <c r="E101" s="3">
        <v>44157</v>
      </c>
      <c r="F101" s="2" t="s">
        <v>173</v>
      </c>
      <c r="G101" s="2" t="s">
        <v>474</v>
      </c>
      <c r="H101" s="2" t="s">
        <v>44</v>
      </c>
      <c r="I101" s="9">
        <v>25642</v>
      </c>
    </row>
    <row r="102" spans="1:9" x14ac:dyDescent="0.25">
      <c r="A102" s="2" t="s">
        <v>11</v>
      </c>
      <c r="B102" s="2">
        <v>4500</v>
      </c>
      <c r="C102" s="2">
        <v>5</v>
      </c>
      <c r="D102" s="2" t="s">
        <v>31</v>
      </c>
      <c r="E102" s="3">
        <v>43960</v>
      </c>
      <c r="F102" s="2" t="s">
        <v>439</v>
      </c>
      <c r="G102" s="2" t="s">
        <v>77</v>
      </c>
      <c r="H102" s="2" t="s">
        <v>44</v>
      </c>
      <c r="I102" s="9">
        <v>34385</v>
      </c>
    </row>
    <row r="103" spans="1:9" x14ac:dyDescent="0.25">
      <c r="A103" s="2" t="s">
        <v>19</v>
      </c>
      <c r="B103" s="2">
        <v>700</v>
      </c>
      <c r="C103" s="2">
        <v>4</v>
      </c>
      <c r="D103" s="2" t="s">
        <v>29</v>
      </c>
      <c r="E103" s="3">
        <v>43962</v>
      </c>
      <c r="F103" s="2" t="s">
        <v>98</v>
      </c>
      <c r="G103" s="2" t="s">
        <v>257</v>
      </c>
      <c r="H103" s="2" t="s">
        <v>44</v>
      </c>
      <c r="I103" s="9">
        <v>34611</v>
      </c>
    </row>
    <row r="104" spans="1:9" x14ac:dyDescent="0.25">
      <c r="A104" s="2" t="s">
        <v>5</v>
      </c>
      <c r="B104" s="2">
        <v>1750</v>
      </c>
      <c r="C104" s="2">
        <v>3</v>
      </c>
      <c r="D104" s="2" t="s">
        <v>40</v>
      </c>
      <c r="E104" s="3">
        <v>44176</v>
      </c>
      <c r="F104" s="2" t="s">
        <v>78</v>
      </c>
      <c r="G104" s="2" t="s">
        <v>294</v>
      </c>
      <c r="H104" s="2" t="s">
        <v>49</v>
      </c>
      <c r="I104" s="9">
        <v>30553</v>
      </c>
    </row>
    <row r="105" spans="1:9" x14ac:dyDescent="0.25">
      <c r="A105" s="2" t="s">
        <v>15</v>
      </c>
      <c r="B105" s="2">
        <v>1900</v>
      </c>
      <c r="C105" s="2">
        <v>2</v>
      </c>
      <c r="D105" s="2" t="s">
        <v>29</v>
      </c>
      <c r="E105" s="3">
        <v>43964</v>
      </c>
      <c r="F105" s="2" t="s">
        <v>433</v>
      </c>
      <c r="G105" s="2" t="s">
        <v>81</v>
      </c>
      <c r="H105" s="2" t="s">
        <v>44</v>
      </c>
      <c r="I105" s="9">
        <v>33868</v>
      </c>
    </row>
    <row r="106" spans="1:9" x14ac:dyDescent="0.25">
      <c r="A106" s="2" t="s">
        <v>16</v>
      </c>
      <c r="B106" s="2">
        <v>1400</v>
      </c>
      <c r="C106" s="2">
        <v>1</v>
      </c>
      <c r="D106" s="2" t="s">
        <v>37</v>
      </c>
      <c r="E106" s="3">
        <v>44057</v>
      </c>
      <c r="F106" s="2" t="s">
        <v>570</v>
      </c>
      <c r="G106" s="2" t="s">
        <v>262</v>
      </c>
      <c r="H106" s="2" t="s">
        <v>49</v>
      </c>
      <c r="I106" s="9">
        <v>23974</v>
      </c>
    </row>
    <row r="107" spans="1:9" x14ac:dyDescent="0.25">
      <c r="A107" s="2" t="s">
        <v>21</v>
      </c>
      <c r="B107" s="2">
        <v>2400</v>
      </c>
      <c r="C107" s="2">
        <v>4</v>
      </c>
      <c r="D107" s="2" t="s">
        <v>29</v>
      </c>
      <c r="E107" s="3">
        <v>43976</v>
      </c>
      <c r="F107" s="2" t="s">
        <v>122</v>
      </c>
      <c r="G107" s="2" t="s">
        <v>123</v>
      </c>
      <c r="H107" s="2" t="s">
        <v>49</v>
      </c>
      <c r="I107" s="9">
        <v>24211</v>
      </c>
    </row>
    <row r="108" spans="1:9" x14ac:dyDescent="0.25">
      <c r="A108" s="2" t="s">
        <v>9</v>
      </c>
      <c r="B108" s="2">
        <v>1500</v>
      </c>
      <c r="C108" s="2">
        <v>1</v>
      </c>
      <c r="D108" s="2" t="s">
        <v>37</v>
      </c>
      <c r="E108" s="3">
        <v>43945</v>
      </c>
      <c r="F108" s="2" t="s">
        <v>211</v>
      </c>
      <c r="G108" s="2" t="s">
        <v>231</v>
      </c>
      <c r="H108" s="2" t="s">
        <v>49</v>
      </c>
      <c r="I108" s="9">
        <v>29937</v>
      </c>
    </row>
    <row r="109" spans="1:9" x14ac:dyDescent="0.25">
      <c r="A109" s="2" t="s">
        <v>12</v>
      </c>
      <c r="B109" s="2">
        <v>6500</v>
      </c>
      <c r="C109" s="2">
        <v>5</v>
      </c>
      <c r="D109" s="2" t="s">
        <v>38</v>
      </c>
      <c r="E109" s="3">
        <v>44191</v>
      </c>
      <c r="F109" s="2" t="s">
        <v>568</v>
      </c>
      <c r="G109" s="2" t="s">
        <v>529</v>
      </c>
      <c r="H109" s="2" t="s">
        <v>44</v>
      </c>
      <c r="I109" s="9">
        <v>22705</v>
      </c>
    </row>
    <row r="110" spans="1:9" x14ac:dyDescent="0.25">
      <c r="A110" s="2" t="s">
        <v>27</v>
      </c>
      <c r="B110" s="2">
        <v>1500</v>
      </c>
      <c r="C110" s="2">
        <v>3</v>
      </c>
      <c r="D110" s="2" t="s">
        <v>34</v>
      </c>
      <c r="E110" s="3">
        <v>43882</v>
      </c>
      <c r="F110" s="2" t="s">
        <v>126</v>
      </c>
      <c r="G110" s="2" t="s">
        <v>81</v>
      </c>
      <c r="H110" s="2" t="s">
        <v>49</v>
      </c>
      <c r="I110" s="9">
        <v>28031</v>
      </c>
    </row>
    <row r="111" spans="1:9" x14ac:dyDescent="0.25">
      <c r="A111" s="2" t="s">
        <v>15</v>
      </c>
      <c r="B111" s="2">
        <v>1900</v>
      </c>
      <c r="C111" s="2">
        <v>2</v>
      </c>
      <c r="D111" s="2" t="s">
        <v>29</v>
      </c>
      <c r="E111" s="3">
        <v>43853</v>
      </c>
      <c r="F111" s="2" t="s">
        <v>98</v>
      </c>
      <c r="G111" s="2" t="s">
        <v>257</v>
      </c>
      <c r="H111" s="2" t="s">
        <v>44</v>
      </c>
      <c r="I111" s="9">
        <v>34611</v>
      </c>
    </row>
    <row r="112" spans="1:9" x14ac:dyDescent="0.25">
      <c r="A112" s="2" t="s">
        <v>25</v>
      </c>
      <c r="B112" s="2">
        <v>2500</v>
      </c>
      <c r="C112" s="2">
        <v>1</v>
      </c>
      <c r="D112" s="2" t="s">
        <v>35</v>
      </c>
      <c r="E112" s="3">
        <v>43929</v>
      </c>
      <c r="F112" s="2" t="s">
        <v>214</v>
      </c>
      <c r="G112" s="2" t="s">
        <v>215</v>
      </c>
      <c r="H112" s="2" t="s">
        <v>49</v>
      </c>
      <c r="I112" s="9">
        <v>34667</v>
      </c>
    </row>
    <row r="113" spans="1:9" x14ac:dyDescent="0.25">
      <c r="A113" s="2" t="s">
        <v>5</v>
      </c>
      <c r="B113" s="2">
        <v>1750</v>
      </c>
      <c r="C113" s="2">
        <v>5</v>
      </c>
      <c r="D113" s="2" t="s">
        <v>35</v>
      </c>
      <c r="E113" s="3">
        <v>43880</v>
      </c>
      <c r="F113" s="2" t="s">
        <v>216</v>
      </c>
      <c r="G113" s="2" t="s">
        <v>172</v>
      </c>
      <c r="H113" s="2" t="s">
        <v>44</v>
      </c>
      <c r="I113" s="9">
        <v>20763</v>
      </c>
    </row>
    <row r="114" spans="1:9" x14ac:dyDescent="0.25">
      <c r="A114" s="2" t="s">
        <v>23</v>
      </c>
      <c r="B114" s="2">
        <v>1500</v>
      </c>
      <c r="C114" s="2">
        <v>2</v>
      </c>
      <c r="D114" s="2" t="s">
        <v>29</v>
      </c>
      <c r="E114" s="3">
        <v>43994</v>
      </c>
      <c r="F114" s="2" t="s">
        <v>111</v>
      </c>
      <c r="G114" s="2" t="s">
        <v>238</v>
      </c>
      <c r="H114" s="2" t="s">
        <v>44</v>
      </c>
      <c r="I114" s="9">
        <v>22611</v>
      </c>
    </row>
    <row r="115" spans="1:9" x14ac:dyDescent="0.25">
      <c r="A115" s="2" t="s">
        <v>9</v>
      </c>
      <c r="B115" s="2">
        <v>1500</v>
      </c>
      <c r="C115" s="2">
        <v>5</v>
      </c>
      <c r="D115" s="2" t="s">
        <v>41</v>
      </c>
      <c r="E115" s="3">
        <v>43944</v>
      </c>
      <c r="F115" s="2" t="s">
        <v>618</v>
      </c>
      <c r="G115" s="2" t="s">
        <v>611</v>
      </c>
      <c r="H115" s="2" t="s">
        <v>49</v>
      </c>
      <c r="I115" s="9">
        <v>36123</v>
      </c>
    </row>
    <row r="116" spans="1:9" x14ac:dyDescent="0.25">
      <c r="A116" s="2" t="s">
        <v>7</v>
      </c>
      <c r="B116" s="2">
        <v>750</v>
      </c>
      <c r="C116" s="2">
        <v>1</v>
      </c>
      <c r="D116" s="2" t="s">
        <v>32</v>
      </c>
      <c r="E116" s="3">
        <v>43966</v>
      </c>
      <c r="F116" s="2" t="s">
        <v>68</v>
      </c>
      <c r="G116" s="2" t="s">
        <v>425</v>
      </c>
      <c r="H116" s="2" t="s">
        <v>49</v>
      </c>
      <c r="I116" s="9">
        <v>25697</v>
      </c>
    </row>
    <row r="117" spans="1:9" x14ac:dyDescent="0.25">
      <c r="A117" s="2" t="s">
        <v>15</v>
      </c>
      <c r="B117" s="2">
        <v>1900</v>
      </c>
      <c r="C117" s="2">
        <v>2</v>
      </c>
      <c r="D117" s="2" t="s">
        <v>36</v>
      </c>
      <c r="E117" s="3">
        <v>44085</v>
      </c>
      <c r="F117" s="2" t="s">
        <v>66</v>
      </c>
      <c r="G117" s="2" t="s">
        <v>123</v>
      </c>
      <c r="H117" s="2" t="s">
        <v>44</v>
      </c>
      <c r="I117" s="9">
        <v>18687</v>
      </c>
    </row>
    <row r="118" spans="1:9" x14ac:dyDescent="0.25">
      <c r="A118" s="2" t="s">
        <v>20</v>
      </c>
      <c r="B118" s="2">
        <v>2600</v>
      </c>
      <c r="C118" s="2">
        <v>4</v>
      </c>
      <c r="D118" s="2" t="s">
        <v>34</v>
      </c>
      <c r="E118" s="3">
        <v>44111</v>
      </c>
      <c r="F118" s="2" t="s">
        <v>392</v>
      </c>
      <c r="G118" s="2" t="s">
        <v>458</v>
      </c>
      <c r="H118" s="2" t="s">
        <v>49</v>
      </c>
      <c r="I118" s="9">
        <v>21960</v>
      </c>
    </row>
    <row r="119" spans="1:9" x14ac:dyDescent="0.25">
      <c r="A119" s="2" t="s">
        <v>10</v>
      </c>
      <c r="B119" s="2">
        <v>1450</v>
      </c>
      <c r="C119" s="2">
        <v>5</v>
      </c>
      <c r="D119" s="2" t="s">
        <v>32</v>
      </c>
      <c r="E119" s="3">
        <v>43993</v>
      </c>
      <c r="F119" s="2" t="s">
        <v>258</v>
      </c>
      <c r="G119" s="2" t="s">
        <v>164</v>
      </c>
      <c r="H119" s="2" t="s">
        <v>49</v>
      </c>
      <c r="I119" s="9">
        <v>21676</v>
      </c>
    </row>
    <row r="120" spans="1:9" x14ac:dyDescent="0.25">
      <c r="A120" s="2" t="s">
        <v>12</v>
      </c>
      <c r="B120" s="2">
        <v>6500</v>
      </c>
      <c r="C120" s="2">
        <v>2</v>
      </c>
      <c r="D120" s="2" t="s">
        <v>29</v>
      </c>
      <c r="E120" s="3">
        <v>44141</v>
      </c>
      <c r="F120" s="2" t="s">
        <v>318</v>
      </c>
      <c r="G120" s="2" t="s">
        <v>578</v>
      </c>
      <c r="H120" s="2" t="s">
        <v>44</v>
      </c>
      <c r="I120" s="9">
        <v>19024</v>
      </c>
    </row>
    <row r="121" spans="1:9" x14ac:dyDescent="0.25">
      <c r="A121" s="2" t="s">
        <v>22</v>
      </c>
      <c r="B121" s="2">
        <v>5200</v>
      </c>
      <c r="C121" s="2">
        <v>5</v>
      </c>
      <c r="D121" s="2" t="s">
        <v>38</v>
      </c>
      <c r="E121" s="3">
        <v>44059</v>
      </c>
      <c r="F121" s="2" t="s">
        <v>167</v>
      </c>
      <c r="G121" s="2" t="s">
        <v>168</v>
      </c>
      <c r="H121" s="2" t="s">
        <v>44</v>
      </c>
      <c r="I121" s="9">
        <v>32536</v>
      </c>
    </row>
    <row r="122" spans="1:9" x14ac:dyDescent="0.25">
      <c r="A122" s="2" t="s">
        <v>13</v>
      </c>
      <c r="B122" s="2">
        <v>2300</v>
      </c>
      <c r="C122" s="2">
        <v>4</v>
      </c>
      <c r="D122" s="2" t="s">
        <v>36</v>
      </c>
      <c r="E122" s="3">
        <v>44166</v>
      </c>
      <c r="F122" s="2" t="s">
        <v>239</v>
      </c>
      <c r="G122" s="2" t="s">
        <v>152</v>
      </c>
      <c r="H122" s="2" t="s">
        <v>49</v>
      </c>
      <c r="I122" s="9">
        <v>32841</v>
      </c>
    </row>
    <row r="123" spans="1:9" x14ac:dyDescent="0.25">
      <c r="A123" s="2" t="s">
        <v>17</v>
      </c>
      <c r="B123" s="2">
        <v>1550</v>
      </c>
      <c r="C123" s="2">
        <v>2</v>
      </c>
      <c r="D123" s="2" t="s">
        <v>29</v>
      </c>
      <c r="E123" s="3">
        <v>43955</v>
      </c>
      <c r="F123" s="2" t="s">
        <v>221</v>
      </c>
      <c r="G123" s="2" t="s">
        <v>467</v>
      </c>
      <c r="H123" s="2" t="s">
        <v>44</v>
      </c>
      <c r="I123" s="9">
        <v>35281</v>
      </c>
    </row>
    <row r="124" spans="1:9" x14ac:dyDescent="0.25">
      <c r="A124" s="2" t="s">
        <v>16</v>
      </c>
      <c r="B124" s="2">
        <v>1400</v>
      </c>
      <c r="C124" s="2">
        <v>2</v>
      </c>
      <c r="D124" s="2" t="s">
        <v>30</v>
      </c>
      <c r="E124" s="3">
        <v>43989</v>
      </c>
      <c r="F124" s="2" t="s">
        <v>137</v>
      </c>
      <c r="G124" s="2" t="s">
        <v>236</v>
      </c>
      <c r="H124" s="2" t="s">
        <v>49</v>
      </c>
      <c r="I124" s="9">
        <v>26258</v>
      </c>
    </row>
    <row r="125" spans="1:9" x14ac:dyDescent="0.25">
      <c r="A125" s="2" t="s">
        <v>28</v>
      </c>
      <c r="B125" s="2">
        <v>1400</v>
      </c>
      <c r="C125" s="2">
        <v>4</v>
      </c>
      <c r="D125" s="2" t="s">
        <v>37</v>
      </c>
      <c r="E125" s="3">
        <v>43948</v>
      </c>
      <c r="F125" s="2" t="s">
        <v>272</v>
      </c>
      <c r="G125" s="2" t="s">
        <v>537</v>
      </c>
      <c r="H125" s="2" t="s">
        <v>49</v>
      </c>
      <c r="I125" s="9">
        <v>27931</v>
      </c>
    </row>
    <row r="126" spans="1:9" x14ac:dyDescent="0.25">
      <c r="A126" s="2" t="s">
        <v>9</v>
      </c>
      <c r="B126" s="2">
        <v>1500</v>
      </c>
      <c r="C126" s="2">
        <v>5</v>
      </c>
      <c r="D126" s="2" t="s">
        <v>37</v>
      </c>
      <c r="E126" s="3">
        <v>43924</v>
      </c>
      <c r="F126" s="2" t="s">
        <v>462</v>
      </c>
      <c r="G126" s="2" t="s">
        <v>569</v>
      </c>
      <c r="H126" s="2" t="s">
        <v>49</v>
      </c>
      <c r="I126" s="9">
        <v>36704</v>
      </c>
    </row>
    <row r="127" spans="1:9" x14ac:dyDescent="0.25">
      <c r="A127" s="2" t="s">
        <v>22</v>
      </c>
      <c r="B127" s="2">
        <v>5200</v>
      </c>
      <c r="C127" s="2">
        <v>5</v>
      </c>
      <c r="D127" s="2" t="s">
        <v>36</v>
      </c>
      <c r="E127" s="3">
        <v>43967</v>
      </c>
      <c r="F127" s="2" t="s">
        <v>388</v>
      </c>
      <c r="G127" s="2" t="s">
        <v>287</v>
      </c>
      <c r="H127" s="2" t="s">
        <v>44</v>
      </c>
      <c r="I127" s="9">
        <v>25429</v>
      </c>
    </row>
    <row r="128" spans="1:9" x14ac:dyDescent="0.25">
      <c r="A128" s="2" t="s">
        <v>14</v>
      </c>
      <c r="B128" s="2">
        <v>2000</v>
      </c>
      <c r="C128" s="2">
        <v>2</v>
      </c>
      <c r="D128" s="2" t="s">
        <v>39</v>
      </c>
      <c r="E128" s="3">
        <v>44093</v>
      </c>
      <c r="F128" s="2" t="s">
        <v>64</v>
      </c>
      <c r="G128" s="2" t="s">
        <v>594</v>
      </c>
      <c r="H128" s="2" t="s">
        <v>44</v>
      </c>
      <c r="I128" s="9">
        <v>36419</v>
      </c>
    </row>
    <row r="129" spans="1:9" x14ac:dyDescent="0.25">
      <c r="A129" s="2" t="s">
        <v>9</v>
      </c>
      <c r="B129" s="2">
        <v>1500</v>
      </c>
      <c r="C129" s="2">
        <v>1</v>
      </c>
      <c r="D129" s="2" t="s">
        <v>29</v>
      </c>
      <c r="E129" s="3">
        <v>44091</v>
      </c>
      <c r="F129" s="2" t="s">
        <v>52</v>
      </c>
      <c r="G129" s="2" t="s">
        <v>232</v>
      </c>
      <c r="H129" s="2" t="s">
        <v>44</v>
      </c>
      <c r="I129" s="9">
        <v>34971</v>
      </c>
    </row>
    <row r="130" spans="1:9" x14ac:dyDescent="0.25">
      <c r="A130" s="2" t="s">
        <v>20</v>
      </c>
      <c r="B130" s="2">
        <v>2600</v>
      </c>
      <c r="C130" s="2">
        <v>3</v>
      </c>
      <c r="D130" s="2" t="s">
        <v>30</v>
      </c>
      <c r="E130" s="3">
        <v>44148</v>
      </c>
      <c r="F130" s="2" t="s">
        <v>134</v>
      </c>
      <c r="G130" s="2" t="s">
        <v>310</v>
      </c>
      <c r="H130" s="2" t="s">
        <v>49</v>
      </c>
      <c r="I130" s="9">
        <v>20738</v>
      </c>
    </row>
    <row r="131" spans="1:9" x14ac:dyDescent="0.25">
      <c r="A131" s="2" t="s">
        <v>13</v>
      </c>
      <c r="B131" s="2">
        <v>2300</v>
      </c>
      <c r="C131" s="2">
        <v>3</v>
      </c>
      <c r="D131" s="2" t="s">
        <v>40</v>
      </c>
      <c r="E131" s="3">
        <v>44073</v>
      </c>
      <c r="F131" s="2" t="s">
        <v>51</v>
      </c>
      <c r="G131" s="2" t="s">
        <v>352</v>
      </c>
      <c r="H131" s="2" t="s">
        <v>44</v>
      </c>
      <c r="I131" s="9">
        <v>32566</v>
      </c>
    </row>
    <row r="132" spans="1:9" x14ac:dyDescent="0.25">
      <c r="A132" s="2" t="s">
        <v>20</v>
      </c>
      <c r="B132" s="2">
        <v>2600</v>
      </c>
      <c r="C132" s="2">
        <v>3</v>
      </c>
      <c r="D132" s="2" t="s">
        <v>31</v>
      </c>
      <c r="E132" s="3">
        <v>44073</v>
      </c>
      <c r="F132" s="2" t="s">
        <v>405</v>
      </c>
      <c r="G132" s="2" t="s">
        <v>451</v>
      </c>
      <c r="H132" s="2" t="s">
        <v>44</v>
      </c>
      <c r="I132" s="9">
        <v>22469</v>
      </c>
    </row>
    <row r="133" spans="1:9" x14ac:dyDescent="0.25">
      <c r="A133" s="2" t="s">
        <v>16</v>
      </c>
      <c r="B133" s="2">
        <v>1400</v>
      </c>
      <c r="C133" s="2">
        <v>3</v>
      </c>
      <c r="D133" s="2" t="s">
        <v>37</v>
      </c>
      <c r="E133" s="3">
        <v>44180</v>
      </c>
      <c r="F133" s="2" t="s">
        <v>234</v>
      </c>
      <c r="G133" s="2" t="s">
        <v>117</v>
      </c>
      <c r="H133" s="2" t="s">
        <v>44</v>
      </c>
      <c r="I133" s="9">
        <v>31431</v>
      </c>
    </row>
    <row r="134" spans="1:9" x14ac:dyDescent="0.25">
      <c r="A134" s="2" t="s">
        <v>22</v>
      </c>
      <c r="B134" s="2">
        <v>5200</v>
      </c>
      <c r="C134" s="2">
        <v>5</v>
      </c>
      <c r="D134" s="2" t="s">
        <v>41</v>
      </c>
      <c r="E134" s="3">
        <v>44001</v>
      </c>
      <c r="F134" s="2" t="s">
        <v>216</v>
      </c>
      <c r="G134" s="2" t="s">
        <v>69</v>
      </c>
      <c r="H134" s="2" t="s">
        <v>44</v>
      </c>
      <c r="I134" s="9">
        <v>28992</v>
      </c>
    </row>
    <row r="135" spans="1:9" x14ac:dyDescent="0.25">
      <c r="A135" s="2" t="s">
        <v>27</v>
      </c>
      <c r="B135" s="2">
        <v>1500</v>
      </c>
      <c r="C135" s="2">
        <v>4</v>
      </c>
      <c r="D135" s="2" t="s">
        <v>32</v>
      </c>
      <c r="E135" s="3">
        <v>44052</v>
      </c>
      <c r="F135" s="2" t="s">
        <v>408</v>
      </c>
      <c r="G135" s="2" t="s">
        <v>409</v>
      </c>
      <c r="H135" s="2" t="s">
        <v>49</v>
      </c>
      <c r="I135" s="9">
        <v>26065</v>
      </c>
    </row>
    <row r="136" spans="1:9" x14ac:dyDescent="0.25">
      <c r="A136" s="2" t="s">
        <v>6</v>
      </c>
      <c r="B136" s="2">
        <v>1200</v>
      </c>
      <c r="C136" s="2">
        <v>4</v>
      </c>
      <c r="D136" s="2" t="s">
        <v>34</v>
      </c>
      <c r="E136" s="3">
        <v>43994</v>
      </c>
      <c r="F136" s="2" t="s">
        <v>165</v>
      </c>
      <c r="G136" s="2" t="s">
        <v>246</v>
      </c>
      <c r="H136" s="2" t="s">
        <v>49</v>
      </c>
      <c r="I136" s="9">
        <v>31238</v>
      </c>
    </row>
    <row r="137" spans="1:9" x14ac:dyDescent="0.25">
      <c r="A137" s="2" t="s">
        <v>24</v>
      </c>
      <c r="B137" s="2">
        <v>2000</v>
      </c>
      <c r="C137" s="2">
        <v>3</v>
      </c>
      <c r="D137" s="2" t="s">
        <v>40</v>
      </c>
      <c r="E137" s="3">
        <v>44070</v>
      </c>
      <c r="F137" s="2" t="s">
        <v>111</v>
      </c>
      <c r="G137" s="2" t="s">
        <v>63</v>
      </c>
      <c r="H137" s="2" t="s">
        <v>44</v>
      </c>
      <c r="I137" s="9">
        <v>34809</v>
      </c>
    </row>
    <row r="138" spans="1:9" x14ac:dyDescent="0.25">
      <c r="A138" s="2" t="s">
        <v>25</v>
      </c>
      <c r="B138" s="2">
        <v>2500</v>
      </c>
      <c r="C138" s="2">
        <v>3</v>
      </c>
      <c r="D138" s="2" t="s">
        <v>29</v>
      </c>
      <c r="E138" s="3">
        <v>44094</v>
      </c>
      <c r="F138" s="2" t="s">
        <v>402</v>
      </c>
      <c r="G138" s="2" t="s">
        <v>117</v>
      </c>
      <c r="H138" s="2" t="s">
        <v>49</v>
      </c>
      <c r="I138" s="9">
        <v>29273</v>
      </c>
    </row>
    <row r="139" spans="1:9" x14ac:dyDescent="0.25">
      <c r="A139" s="2" t="s">
        <v>12</v>
      </c>
      <c r="B139" s="2">
        <v>6500</v>
      </c>
      <c r="C139" s="2">
        <v>4</v>
      </c>
      <c r="D139" s="2" t="s">
        <v>40</v>
      </c>
      <c r="E139" s="3">
        <v>44077</v>
      </c>
      <c r="F139" s="2" t="s">
        <v>51</v>
      </c>
      <c r="G139" s="2" t="s">
        <v>352</v>
      </c>
      <c r="H139" s="2" t="s">
        <v>44</v>
      </c>
      <c r="I139" s="9">
        <v>32566</v>
      </c>
    </row>
    <row r="140" spans="1:9" x14ac:dyDescent="0.25">
      <c r="A140" s="2" t="s">
        <v>18</v>
      </c>
      <c r="B140" s="2">
        <v>3000</v>
      </c>
      <c r="C140" s="2">
        <v>2</v>
      </c>
      <c r="D140" s="2" t="s">
        <v>32</v>
      </c>
      <c r="E140" s="3">
        <v>44099</v>
      </c>
      <c r="F140" s="2" t="s">
        <v>259</v>
      </c>
      <c r="G140" s="2" t="s">
        <v>174</v>
      </c>
      <c r="H140" s="2" t="s">
        <v>49</v>
      </c>
      <c r="I140" s="9">
        <v>35764</v>
      </c>
    </row>
    <row r="141" spans="1:9" x14ac:dyDescent="0.25">
      <c r="A141" s="2" t="s">
        <v>24</v>
      </c>
      <c r="B141" s="2">
        <v>2000</v>
      </c>
      <c r="C141" s="2">
        <v>2</v>
      </c>
      <c r="D141" s="2" t="s">
        <v>41</v>
      </c>
      <c r="E141" s="3">
        <v>43980</v>
      </c>
      <c r="F141" s="2" t="s">
        <v>403</v>
      </c>
      <c r="G141" s="2" t="s">
        <v>389</v>
      </c>
      <c r="H141" s="2" t="s">
        <v>49</v>
      </c>
      <c r="I141" s="9">
        <v>27050</v>
      </c>
    </row>
    <row r="142" spans="1:9" x14ac:dyDescent="0.25">
      <c r="A142" s="2" t="s">
        <v>17</v>
      </c>
      <c r="B142" s="2">
        <v>1550</v>
      </c>
      <c r="C142" s="2">
        <v>2</v>
      </c>
      <c r="D142" s="2" t="s">
        <v>30</v>
      </c>
      <c r="E142" s="3">
        <v>43939</v>
      </c>
      <c r="F142" s="2" t="s">
        <v>155</v>
      </c>
      <c r="G142" s="2" t="s">
        <v>63</v>
      </c>
      <c r="H142" s="2" t="s">
        <v>44</v>
      </c>
      <c r="I142" s="9">
        <v>24147</v>
      </c>
    </row>
    <row r="143" spans="1:9" x14ac:dyDescent="0.25">
      <c r="A143" s="2" t="s">
        <v>21</v>
      </c>
      <c r="B143" s="2">
        <v>2400</v>
      </c>
      <c r="C143" s="2">
        <v>1</v>
      </c>
      <c r="D143" s="2" t="s">
        <v>33</v>
      </c>
      <c r="E143" s="3">
        <v>44037</v>
      </c>
      <c r="F143" s="2" t="s">
        <v>279</v>
      </c>
      <c r="G143" s="2" t="s">
        <v>329</v>
      </c>
      <c r="H143" s="2" t="s">
        <v>44</v>
      </c>
      <c r="I143" s="9">
        <v>18364</v>
      </c>
    </row>
    <row r="144" spans="1:9" x14ac:dyDescent="0.25">
      <c r="A144" s="2" t="s">
        <v>18</v>
      </c>
      <c r="B144" s="2">
        <v>3000</v>
      </c>
      <c r="C144" s="2">
        <v>4</v>
      </c>
      <c r="D144" s="2" t="s">
        <v>38</v>
      </c>
      <c r="E144" s="3">
        <v>43860</v>
      </c>
      <c r="F144" s="2" t="s">
        <v>272</v>
      </c>
      <c r="G144" s="2" t="s">
        <v>273</v>
      </c>
      <c r="H144" s="2" t="s">
        <v>49</v>
      </c>
      <c r="I144" s="9">
        <v>30689</v>
      </c>
    </row>
    <row r="145" spans="1:9" x14ac:dyDescent="0.25">
      <c r="A145" s="2" t="s">
        <v>28</v>
      </c>
      <c r="B145" s="2">
        <v>1400</v>
      </c>
      <c r="C145" s="2">
        <v>4</v>
      </c>
      <c r="D145" s="2" t="s">
        <v>36</v>
      </c>
      <c r="E145" s="3">
        <v>43967</v>
      </c>
      <c r="F145" s="2" t="s">
        <v>486</v>
      </c>
      <c r="G145" s="2" t="s">
        <v>308</v>
      </c>
      <c r="H145" s="2" t="s">
        <v>44</v>
      </c>
      <c r="I145" s="9">
        <v>35988</v>
      </c>
    </row>
    <row r="146" spans="1:9" x14ac:dyDescent="0.25">
      <c r="A146" s="2" t="s">
        <v>5</v>
      </c>
      <c r="B146" s="2">
        <v>1750</v>
      </c>
      <c r="C146" s="2">
        <v>4</v>
      </c>
      <c r="D146" s="2" t="s">
        <v>34</v>
      </c>
      <c r="E146" s="3">
        <v>44047</v>
      </c>
      <c r="F146" s="2" t="s">
        <v>272</v>
      </c>
      <c r="G146" s="2" t="s">
        <v>495</v>
      </c>
      <c r="H146" s="2" t="s">
        <v>49</v>
      </c>
      <c r="I146" s="9">
        <v>34134</v>
      </c>
    </row>
    <row r="147" spans="1:9" x14ac:dyDescent="0.25">
      <c r="A147" s="2" t="s">
        <v>21</v>
      </c>
      <c r="B147" s="2">
        <v>2400</v>
      </c>
      <c r="C147" s="2">
        <v>3</v>
      </c>
      <c r="D147" s="2" t="s">
        <v>31</v>
      </c>
      <c r="E147" s="3">
        <v>44010</v>
      </c>
      <c r="F147" s="2" t="s">
        <v>155</v>
      </c>
      <c r="G147" s="2" t="s">
        <v>55</v>
      </c>
      <c r="H147" s="2" t="s">
        <v>44</v>
      </c>
      <c r="I147" s="9">
        <v>31729</v>
      </c>
    </row>
    <row r="148" spans="1:9" x14ac:dyDescent="0.25">
      <c r="A148" s="2" t="s">
        <v>27</v>
      </c>
      <c r="B148" s="2">
        <v>1500</v>
      </c>
      <c r="C148" s="2">
        <v>2</v>
      </c>
      <c r="D148" s="2" t="s">
        <v>29</v>
      </c>
      <c r="E148" s="3">
        <v>44182</v>
      </c>
      <c r="F148" s="2" t="s">
        <v>239</v>
      </c>
      <c r="G148" s="2" t="s">
        <v>240</v>
      </c>
      <c r="H148" s="2" t="s">
        <v>49</v>
      </c>
      <c r="I148" s="9">
        <v>31265</v>
      </c>
    </row>
    <row r="149" spans="1:9" x14ac:dyDescent="0.25">
      <c r="A149" s="2" t="s">
        <v>20</v>
      </c>
      <c r="B149" s="2">
        <v>2600</v>
      </c>
      <c r="C149" s="2">
        <v>1</v>
      </c>
      <c r="D149" s="2" t="s">
        <v>41</v>
      </c>
      <c r="E149" s="3">
        <v>43837</v>
      </c>
      <c r="F149" s="2" t="s">
        <v>167</v>
      </c>
      <c r="G149" s="2" t="s">
        <v>474</v>
      </c>
      <c r="H149" s="2" t="s">
        <v>44</v>
      </c>
      <c r="I149" s="9">
        <v>24330</v>
      </c>
    </row>
    <row r="150" spans="1:9" x14ac:dyDescent="0.25">
      <c r="A150" s="2" t="s">
        <v>26</v>
      </c>
      <c r="B150" s="2">
        <v>1100</v>
      </c>
      <c r="C150" s="2">
        <v>4</v>
      </c>
      <c r="D150" s="2" t="s">
        <v>38</v>
      </c>
      <c r="E150" s="3">
        <v>44100</v>
      </c>
      <c r="F150" s="2" t="s">
        <v>124</v>
      </c>
      <c r="G150" s="2" t="s">
        <v>509</v>
      </c>
      <c r="H150" s="2" t="s">
        <v>44</v>
      </c>
      <c r="I150" s="9">
        <v>26062</v>
      </c>
    </row>
    <row r="151" spans="1:9" x14ac:dyDescent="0.25">
      <c r="A151" s="2" t="s">
        <v>16</v>
      </c>
      <c r="B151" s="2">
        <v>1400</v>
      </c>
      <c r="C151" s="2">
        <v>4</v>
      </c>
      <c r="D151" s="2" t="s">
        <v>31</v>
      </c>
      <c r="E151" s="3">
        <v>43956</v>
      </c>
      <c r="F151" s="2" t="s">
        <v>52</v>
      </c>
      <c r="G151" s="2" t="s">
        <v>203</v>
      </c>
      <c r="H151" s="2" t="s">
        <v>44</v>
      </c>
      <c r="I151" s="9">
        <v>34955</v>
      </c>
    </row>
    <row r="152" spans="1:9" x14ac:dyDescent="0.25">
      <c r="A152" s="2" t="s">
        <v>18</v>
      </c>
      <c r="B152" s="2">
        <v>3000</v>
      </c>
      <c r="C152" s="2">
        <v>1</v>
      </c>
      <c r="D152" s="2" t="s">
        <v>31</v>
      </c>
      <c r="E152" s="3">
        <v>44163</v>
      </c>
      <c r="F152" s="2" t="s">
        <v>288</v>
      </c>
      <c r="G152" s="2" t="s">
        <v>362</v>
      </c>
      <c r="H152" s="2" t="s">
        <v>49</v>
      </c>
      <c r="I152" s="9">
        <v>24425</v>
      </c>
    </row>
    <row r="153" spans="1:9" x14ac:dyDescent="0.25">
      <c r="A153" s="2" t="s">
        <v>13</v>
      </c>
      <c r="B153" s="2">
        <v>2300</v>
      </c>
      <c r="C153" s="2">
        <v>3</v>
      </c>
      <c r="D153" s="2" t="s">
        <v>39</v>
      </c>
      <c r="E153" s="3">
        <v>43867</v>
      </c>
      <c r="F153" s="2" t="s">
        <v>161</v>
      </c>
      <c r="G153" s="2" t="s">
        <v>162</v>
      </c>
      <c r="H153" s="2" t="s">
        <v>49</v>
      </c>
      <c r="I153" s="9">
        <v>18628</v>
      </c>
    </row>
    <row r="154" spans="1:9" x14ac:dyDescent="0.25">
      <c r="A154" s="2" t="s">
        <v>18</v>
      </c>
      <c r="B154" s="2">
        <v>3000</v>
      </c>
      <c r="C154" s="2">
        <v>3</v>
      </c>
      <c r="D154" s="2" t="s">
        <v>35</v>
      </c>
      <c r="E154" s="3">
        <v>43898</v>
      </c>
      <c r="F154" s="2" t="s">
        <v>158</v>
      </c>
      <c r="G154" s="2" t="s">
        <v>411</v>
      </c>
      <c r="H154" s="2" t="s">
        <v>49</v>
      </c>
      <c r="I154" s="9">
        <v>32270</v>
      </c>
    </row>
    <row r="155" spans="1:9" x14ac:dyDescent="0.25">
      <c r="A155" s="2" t="s">
        <v>14</v>
      </c>
      <c r="B155" s="2">
        <v>2000</v>
      </c>
      <c r="C155" s="2">
        <v>3</v>
      </c>
      <c r="D155" s="2" t="s">
        <v>33</v>
      </c>
      <c r="E155" s="3">
        <v>44125</v>
      </c>
      <c r="F155" s="2" t="s">
        <v>134</v>
      </c>
      <c r="G155" s="2" t="s">
        <v>55</v>
      </c>
      <c r="H155" s="2" t="s">
        <v>49</v>
      </c>
      <c r="I155" s="9">
        <v>19488</v>
      </c>
    </row>
    <row r="156" spans="1:9" x14ac:dyDescent="0.25">
      <c r="A156" s="2" t="s">
        <v>8</v>
      </c>
      <c r="B156" s="2">
        <v>5500</v>
      </c>
      <c r="C156" s="2">
        <v>3</v>
      </c>
      <c r="D156" s="2" t="s">
        <v>29</v>
      </c>
      <c r="E156" s="3">
        <v>44010</v>
      </c>
      <c r="F156" s="2" t="s">
        <v>199</v>
      </c>
      <c r="G156" s="2" t="s">
        <v>200</v>
      </c>
      <c r="H156" s="2" t="s">
        <v>49</v>
      </c>
      <c r="I156" s="9">
        <v>34675</v>
      </c>
    </row>
    <row r="157" spans="1:9" x14ac:dyDescent="0.25">
      <c r="A157" s="2" t="s">
        <v>28</v>
      </c>
      <c r="B157" s="2">
        <v>1400</v>
      </c>
      <c r="C157" s="2">
        <v>5</v>
      </c>
      <c r="D157" s="2" t="s">
        <v>29</v>
      </c>
      <c r="E157" s="3">
        <v>43905</v>
      </c>
      <c r="F157" s="2" t="s">
        <v>129</v>
      </c>
      <c r="G157" s="2" t="s">
        <v>130</v>
      </c>
      <c r="H157" s="2" t="s">
        <v>49</v>
      </c>
      <c r="I157" s="9">
        <v>24024</v>
      </c>
    </row>
    <row r="158" spans="1:9" x14ac:dyDescent="0.25">
      <c r="A158" s="2" t="s">
        <v>25</v>
      </c>
      <c r="B158" s="2">
        <v>2500</v>
      </c>
      <c r="C158" s="2">
        <v>1</v>
      </c>
      <c r="D158" s="2" t="s">
        <v>35</v>
      </c>
      <c r="E158" s="3">
        <v>44045</v>
      </c>
      <c r="F158" s="2" t="s">
        <v>140</v>
      </c>
      <c r="G158" s="2" t="s">
        <v>297</v>
      </c>
      <c r="H158" s="2" t="s">
        <v>49</v>
      </c>
      <c r="I158" s="9">
        <v>20819</v>
      </c>
    </row>
    <row r="159" spans="1:9" x14ac:dyDescent="0.25">
      <c r="A159" s="2" t="s">
        <v>13</v>
      </c>
      <c r="B159" s="2">
        <v>2300</v>
      </c>
      <c r="C159" s="2">
        <v>4</v>
      </c>
      <c r="D159" s="2" t="s">
        <v>36</v>
      </c>
      <c r="E159" s="3">
        <v>43871</v>
      </c>
      <c r="F159" s="2" t="s">
        <v>111</v>
      </c>
      <c r="G159" s="2" t="s">
        <v>614</v>
      </c>
      <c r="H159" s="2" t="s">
        <v>44</v>
      </c>
      <c r="I159" s="9">
        <v>25590</v>
      </c>
    </row>
    <row r="160" spans="1:9" x14ac:dyDescent="0.25">
      <c r="A160" s="2" t="s">
        <v>7</v>
      </c>
      <c r="B160" s="2">
        <v>750</v>
      </c>
      <c r="C160" s="2">
        <v>1</v>
      </c>
      <c r="D160" s="2" t="s">
        <v>39</v>
      </c>
      <c r="E160" s="3">
        <v>43991</v>
      </c>
      <c r="F160" s="2" t="s">
        <v>455</v>
      </c>
      <c r="G160" s="2" t="s">
        <v>63</v>
      </c>
      <c r="H160" s="2" t="s">
        <v>49</v>
      </c>
      <c r="I160" s="9">
        <v>23893</v>
      </c>
    </row>
    <row r="161" spans="1:9" x14ac:dyDescent="0.25">
      <c r="A161" s="2" t="s">
        <v>25</v>
      </c>
      <c r="B161" s="2">
        <v>2500</v>
      </c>
      <c r="C161" s="2">
        <v>3</v>
      </c>
      <c r="D161" s="2" t="s">
        <v>41</v>
      </c>
      <c r="E161" s="3">
        <v>43857</v>
      </c>
      <c r="F161" s="2" t="s">
        <v>618</v>
      </c>
      <c r="G161" s="2" t="s">
        <v>611</v>
      </c>
      <c r="H161" s="2" t="s">
        <v>49</v>
      </c>
      <c r="I161" s="9">
        <v>36123</v>
      </c>
    </row>
    <row r="162" spans="1:9" x14ac:dyDescent="0.25">
      <c r="A162" s="2" t="s">
        <v>9</v>
      </c>
      <c r="B162" s="2">
        <v>1500</v>
      </c>
      <c r="C162" s="2">
        <v>4</v>
      </c>
      <c r="D162" s="2" t="s">
        <v>38</v>
      </c>
      <c r="E162" s="3">
        <v>43972</v>
      </c>
      <c r="F162" s="2" t="s">
        <v>217</v>
      </c>
      <c r="G162" s="2" t="s">
        <v>326</v>
      </c>
      <c r="H162" s="2" t="s">
        <v>44</v>
      </c>
      <c r="I162" s="9">
        <v>19151</v>
      </c>
    </row>
    <row r="163" spans="1:9" x14ac:dyDescent="0.25">
      <c r="A163" s="2" t="s">
        <v>24</v>
      </c>
      <c r="B163" s="2">
        <v>2000</v>
      </c>
      <c r="C163" s="2">
        <v>2</v>
      </c>
      <c r="D163" s="2" t="s">
        <v>39</v>
      </c>
      <c r="E163" s="3">
        <v>44097</v>
      </c>
      <c r="F163" s="2" t="s">
        <v>98</v>
      </c>
      <c r="G163" s="2" t="s">
        <v>152</v>
      </c>
      <c r="H163" s="2" t="s">
        <v>44</v>
      </c>
      <c r="I163" s="9">
        <v>29032</v>
      </c>
    </row>
    <row r="164" spans="1:9" x14ac:dyDescent="0.25">
      <c r="A164" s="2" t="s">
        <v>21</v>
      </c>
      <c r="B164" s="2">
        <v>2400</v>
      </c>
      <c r="C164" s="2">
        <v>4</v>
      </c>
      <c r="D164" s="2" t="s">
        <v>39</v>
      </c>
      <c r="E164" s="3">
        <v>43946</v>
      </c>
      <c r="F164" s="2" t="s">
        <v>173</v>
      </c>
      <c r="G164" s="2" t="s">
        <v>278</v>
      </c>
      <c r="H164" s="2" t="s">
        <v>44</v>
      </c>
      <c r="I164" s="9">
        <v>30474</v>
      </c>
    </row>
    <row r="165" spans="1:9" x14ac:dyDescent="0.25">
      <c r="A165" s="2" t="s">
        <v>7</v>
      </c>
      <c r="B165" s="2">
        <v>750</v>
      </c>
      <c r="C165" s="2">
        <v>5</v>
      </c>
      <c r="D165" s="2" t="s">
        <v>39</v>
      </c>
      <c r="E165" s="3">
        <v>43975</v>
      </c>
      <c r="F165" s="2" t="s">
        <v>318</v>
      </c>
      <c r="G165" s="2" t="s">
        <v>395</v>
      </c>
      <c r="H165" s="2" t="s">
        <v>44</v>
      </c>
      <c r="I165" s="9">
        <v>32659</v>
      </c>
    </row>
    <row r="166" spans="1:9" x14ac:dyDescent="0.25">
      <c r="A166" s="2" t="s">
        <v>16</v>
      </c>
      <c r="B166" s="2">
        <v>1400</v>
      </c>
      <c r="C166" s="2">
        <v>5</v>
      </c>
      <c r="D166" s="2" t="s">
        <v>29</v>
      </c>
      <c r="E166" s="3">
        <v>44031</v>
      </c>
      <c r="F166" s="2" t="s">
        <v>167</v>
      </c>
      <c r="G166" s="2" t="s">
        <v>276</v>
      </c>
      <c r="H166" s="2" t="s">
        <v>44</v>
      </c>
      <c r="I166" s="9">
        <v>36680</v>
      </c>
    </row>
    <row r="167" spans="1:9" x14ac:dyDescent="0.25">
      <c r="A167" s="2" t="s">
        <v>26</v>
      </c>
      <c r="B167" s="2">
        <v>1100</v>
      </c>
      <c r="C167" s="2">
        <v>2</v>
      </c>
      <c r="D167" s="2" t="s">
        <v>29</v>
      </c>
      <c r="E167" s="3">
        <v>44150</v>
      </c>
      <c r="F167" s="2" t="s">
        <v>589</v>
      </c>
      <c r="G167" s="2" t="s">
        <v>586</v>
      </c>
      <c r="H167" s="2" t="s">
        <v>44</v>
      </c>
      <c r="I167" s="9">
        <v>20204</v>
      </c>
    </row>
    <row r="168" spans="1:9" x14ac:dyDescent="0.25">
      <c r="A168" s="2" t="s">
        <v>7</v>
      </c>
      <c r="B168" s="2">
        <v>750</v>
      </c>
      <c r="C168" s="2">
        <v>1</v>
      </c>
      <c r="D168" s="2" t="s">
        <v>31</v>
      </c>
      <c r="E168" s="3">
        <v>44096</v>
      </c>
      <c r="F168" s="2" t="s">
        <v>101</v>
      </c>
      <c r="G168" s="2" t="s">
        <v>83</v>
      </c>
      <c r="H168" s="2" t="s">
        <v>49</v>
      </c>
      <c r="I168" s="9">
        <v>20172</v>
      </c>
    </row>
    <row r="169" spans="1:9" x14ac:dyDescent="0.25">
      <c r="A169" s="2" t="s">
        <v>26</v>
      </c>
      <c r="B169" s="2">
        <v>1100</v>
      </c>
      <c r="C169" s="2">
        <v>3</v>
      </c>
      <c r="D169" s="2" t="s">
        <v>33</v>
      </c>
      <c r="E169" s="3">
        <v>43881</v>
      </c>
      <c r="F169" s="2" t="s">
        <v>190</v>
      </c>
      <c r="G169" s="2" t="s">
        <v>157</v>
      </c>
      <c r="H169" s="2" t="s">
        <v>44</v>
      </c>
      <c r="I169" s="9">
        <v>28493</v>
      </c>
    </row>
    <row r="170" spans="1:9" x14ac:dyDescent="0.25">
      <c r="A170" s="2" t="s">
        <v>9</v>
      </c>
      <c r="B170" s="2">
        <v>1500</v>
      </c>
      <c r="C170" s="2">
        <v>3</v>
      </c>
      <c r="D170" s="2" t="s">
        <v>34</v>
      </c>
      <c r="E170" s="3">
        <v>44019</v>
      </c>
      <c r="F170" s="2" t="s">
        <v>50</v>
      </c>
      <c r="G170" s="2" t="s">
        <v>346</v>
      </c>
      <c r="H170" s="2" t="s">
        <v>49</v>
      </c>
      <c r="I170" s="9">
        <v>31799</v>
      </c>
    </row>
    <row r="171" spans="1:9" x14ac:dyDescent="0.25">
      <c r="A171" s="2" t="s">
        <v>19</v>
      </c>
      <c r="B171" s="2">
        <v>700</v>
      </c>
      <c r="C171" s="2">
        <v>3</v>
      </c>
      <c r="D171" s="2" t="s">
        <v>32</v>
      </c>
      <c r="E171" s="3">
        <v>44100</v>
      </c>
      <c r="F171" s="2" t="s">
        <v>155</v>
      </c>
      <c r="G171" s="2" t="s">
        <v>274</v>
      </c>
      <c r="H171" s="2" t="s">
        <v>44</v>
      </c>
      <c r="I171" s="9">
        <v>33478</v>
      </c>
    </row>
    <row r="172" spans="1:9" x14ac:dyDescent="0.25">
      <c r="A172" s="2" t="s">
        <v>8</v>
      </c>
      <c r="B172" s="2">
        <v>5500</v>
      </c>
      <c r="C172" s="2">
        <v>5</v>
      </c>
      <c r="D172" s="2" t="s">
        <v>37</v>
      </c>
      <c r="E172" s="3">
        <v>44047</v>
      </c>
      <c r="F172" s="2" t="s">
        <v>234</v>
      </c>
      <c r="G172" s="2" t="s">
        <v>117</v>
      </c>
      <c r="H172" s="2" t="s">
        <v>44</v>
      </c>
      <c r="I172" s="9">
        <v>31431</v>
      </c>
    </row>
    <row r="173" spans="1:9" x14ac:dyDescent="0.25">
      <c r="A173" s="2" t="s">
        <v>6</v>
      </c>
      <c r="B173" s="2">
        <v>1200</v>
      </c>
      <c r="C173" s="2">
        <v>2</v>
      </c>
      <c r="D173" s="2" t="s">
        <v>35</v>
      </c>
      <c r="E173" s="3">
        <v>43840</v>
      </c>
      <c r="F173" s="2" t="s">
        <v>120</v>
      </c>
      <c r="G173" s="2" t="s">
        <v>440</v>
      </c>
      <c r="H173" s="2" t="s">
        <v>44</v>
      </c>
      <c r="I173" s="9">
        <v>25875</v>
      </c>
    </row>
    <row r="174" spans="1:9" x14ac:dyDescent="0.25">
      <c r="A174" s="2" t="s">
        <v>26</v>
      </c>
      <c r="B174" s="2">
        <v>1100</v>
      </c>
      <c r="C174" s="2">
        <v>4</v>
      </c>
      <c r="D174" s="2" t="s">
        <v>35</v>
      </c>
      <c r="E174" s="3">
        <v>43990</v>
      </c>
      <c r="F174" s="2" t="s">
        <v>328</v>
      </c>
      <c r="G174" s="2" t="s">
        <v>149</v>
      </c>
      <c r="H174" s="2" t="s">
        <v>49</v>
      </c>
      <c r="I174" s="9">
        <v>36743</v>
      </c>
    </row>
    <row r="175" spans="1:9" x14ac:dyDescent="0.25">
      <c r="A175" s="2" t="s">
        <v>13</v>
      </c>
      <c r="B175" s="2">
        <v>2300</v>
      </c>
      <c r="C175" s="2">
        <v>3</v>
      </c>
      <c r="D175" s="2" t="s">
        <v>31</v>
      </c>
      <c r="E175" s="3">
        <v>44109</v>
      </c>
      <c r="F175" s="2" t="s">
        <v>288</v>
      </c>
      <c r="G175" s="2" t="s">
        <v>362</v>
      </c>
      <c r="H175" s="2" t="s">
        <v>49</v>
      </c>
      <c r="I175" s="9">
        <v>24425</v>
      </c>
    </row>
    <row r="176" spans="1:9" x14ac:dyDescent="0.25">
      <c r="A176" s="2" t="s">
        <v>9</v>
      </c>
      <c r="B176" s="2">
        <v>1500</v>
      </c>
      <c r="C176" s="2">
        <v>1</v>
      </c>
      <c r="D176" s="2" t="s">
        <v>35</v>
      </c>
      <c r="E176" s="3">
        <v>43961</v>
      </c>
      <c r="F176" s="2" t="s">
        <v>414</v>
      </c>
      <c r="G176" s="2" t="s">
        <v>415</v>
      </c>
      <c r="H176" s="2" t="s">
        <v>44</v>
      </c>
      <c r="I176" s="9">
        <v>36190</v>
      </c>
    </row>
    <row r="177" spans="1:9" x14ac:dyDescent="0.25">
      <c r="A177" s="2" t="s">
        <v>17</v>
      </c>
      <c r="B177" s="2">
        <v>1550</v>
      </c>
      <c r="C177" s="2">
        <v>4</v>
      </c>
      <c r="D177" s="2" t="s">
        <v>41</v>
      </c>
      <c r="E177" s="3">
        <v>43853</v>
      </c>
      <c r="F177" s="2" t="s">
        <v>438</v>
      </c>
      <c r="G177" s="2" t="s">
        <v>554</v>
      </c>
      <c r="H177" s="2" t="s">
        <v>49</v>
      </c>
      <c r="I177" s="9">
        <v>23805</v>
      </c>
    </row>
    <row r="178" spans="1:9" x14ac:dyDescent="0.25">
      <c r="A178" s="2" t="s">
        <v>18</v>
      </c>
      <c r="B178" s="2">
        <v>3000</v>
      </c>
      <c r="C178" s="2">
        <v>5</v>
      </c>
      <c r="D178" s="2" t="s">
        <v>36</v>
      </c>
      <c r="E178" s="3">
        <v>44061</v>
      </c>
      <c r="F178" s="2" t="s">
        <v>302</v>
      </c>
      <c r="G178" s="2" t="s">
        <v>83</v>
      </c>
      <c r="H178" s="2" t="s">
        <v>49</v>
      </c>
      <c r="I178" s="9">
        <v>28996</v>
      </c>
    </row>
    <row r="179" spans="1:9" x14ac:dyDescent="0.25">
      <c r="A179" s="2" t="s">
        <v>16</v>
      </c>
      <c r="B179" s="2">
        <v>1400</v>
      </c>
      <c r="C179" s="2">
        <v>3</v>
      </c>
      <c r="D179" s="2" t="s">
        <v>34</v>
      </c>
      <c r="E179" s="3">
        <v>44186</v>
      </c>
      <c r="F179" s="2" t="s">
        <v>173</v>
      </c>
      <c r="G179" s="2" t="s">
        <v>174</v>
      </c>
      <c r="H179" s="2" t="s">
        <v>44</v>
      </c>
      <c r="I179" s="9">
        <v>20273</v>
      </c>
    </row>
    <row r="180" spans="1:9" x14ac:dyDescent="0.25">
      <c r="A180" s="2" t="s">
        <v>5</v>
      </c>
      <c r="B180" s="2">
        <v>1750</v>
      </c>
      <c r="C180" s="2">
        <v>5</v>
      </c>
      <c r="D180" s="2" t="s">
        <v>39</v>
      </c>
      <c r="E180" s="3">
        <v>43967</v>
      </c>
      <c r="F180" s="2" t="s">
        <v>74</v>
      </c>
      <c r="G180" s="2" t="s">
        <v>370</v>
      </c>
      <c r="H180" s="2" t="s">
        <v>44</v>
      </c>
      <c r="I180" s="9">
        <v>24651</v>
      </c>
    </row>
    <row r="181" spans="1:9" x14ac:dyDescent="0.25">
      <c r="A181" s="2" t="s">
        <v>12</v>
      </c>
      <c r="B181" s="2">
        <v>6500</v>
      </c>
      <c r="C181" s="2">
        <v>5</v>
      </c>
      <c r="D181" s="2" t="s">
        <v>36</v>
      </c>
      <c r="E181" s="3">
        <v>43850</v>
      </c>
      <c r="F181" s="2" t="s">
        <v>374</v>
      </c>
      <c r="G181" s="2" t="s">
        <v>81</v>
      </c>
      <c r="H181" s="2" t="s">
        <v>49</v>
      </c>
      <c r="I181" s="9">
        <v>21262</v>
      </c>
    </row>
    <row r="182" spans="1:9" x14ac:dyDescent="0.25">
      <c r="A182" s="2" t="s">
        <v>20</v>
      </c>
      <c r="B182" s="2">
        <v>2600</v>
      </c>
      <c r="C182" s="2">
        <v>4</v>
      </c>
      <c r="D182" s="2" t="s">
        <v>40</v>
      </c>
      <c r="E182" s="3">
        <v>44058</v>
      </c>
      <c r="F182" s="2" t="s">
        <v>293</v>
      </c>
      <c r="G182" s="2" t="s">
        <v>63</v>
      </c>
      <c r="H182" s="2" t="s">
        <v>49</v>
      </c>
      <c r="I182" s="9">
        <v>36322</v>
      </c>
    </row>
    <row r="183" spans="1:9" x14ac:dyDescent="0.25">
      <c r="A183" s="2" t="s">
        <v>27</v>
      </c>
      <c r="B183" s="2">
        <v>1500</v>
      </c>
      <c r="C183" s="2">
        <v>1</v>
      </c>
      <c r="D183" s="2" t="s">
        <v>35</v>
      </c>
      <c r="E183" s="3">
        <v>43950</v>
      </c>
      <c r="F183" s="2" t="s">
        <v>204</v>
      </c>
      <c r="G183" s="2" t="s">
        <v>203</v>
      </c>
      <c r="H183" s="2" t="s">
        <v>49</v>
      </c>
      <c r="I183" s="9">
        <v>29783</v>
      </c>
    </row>
    <row r="184" spans="1:9" x14ac:dyDescent="0.25">
      <c r="A184" s="2" t="s">
        <v>6</v>
      </c>
      <c r="B184" s="2">
        <v>1200</v>
      </c>
      <c r="C184" s="2">
        <v>5</v>
      </c>
      <c r="D184" s="2" t="s">
        <v>30</v>
      </c>
      <c r="E184" s="3">
        <v>44094</v>
      </c>
      <c r="F184" s="2" t="s">
        <v>134</v>
      </c>
      <c r="G184" s="2" t="s">
        <v>310</v>
      </c>
      <c r="H184" s="2" t="s">
        <v>49</v>
      </c>
      <c r="I184" s="9">
        <v>20738</v>
      </c>
    </row>
    <row r="185" spans="1:9" x14ac:dyDescent="0.25">
      <c r="A185" s="2" t="s">
        <v>18</v>
      </c>
      <c r="B185" s="2">
        <v>3000</v>
      </c>
      <c r="C185" s="2">
        <v>3</v>
      </c>
      <c r="D185" s="2" t="s">
        <v>29</v>
      </c>
      <c r="E185" s="3">
        <v>43956</v>
      </c>
      <c r="F185" s="2" t="s">
        <v>228</v>
      </c>
      <c r="G185" s="2" t="s">
        <v>207</v>
      </c>
      <c r="H185" s="2" t="s">
        <v>44</v>
      </c>
      <c r="I185" s="9">
        <v>18957</v>
      </c>
    </row>
    <row r="186" spans="1:9" x14ac:dyDescent="0.25">
      <c r="A186" s="2" t="s">
        <v>10</v>
      </c>
      <c r="B186" s="2">
        <v>1450</v>
      </c>
      <c r="C186" s="2">
        <v>2</v>
      </c>
      <c r="D186" s="2" t="s">
        <v>39</v>
      </c>
      <c r="E186" s="3">
        <v>43853</v>
      </c>
      <c r="F186" s="2" t="s">
        <v>290</v>
      </c>
      <c r="G186" s="2" t="s">
        <v>291</v>
      </c>
      <c r="H186" s="2" t="s">
        <v>49</v>
      </c>
      <c r="I186" s="9">
        <v>27611</v>
      </c>
    </row>
    <row r="187" spans="1:9" x14ac:dyDescent="0.25">
      <c r="A187" s="2" t="s">
        <v>11</v>
      </c>
      <c r="B187" s="2">
        <v>4500</v>
      </c>
      <c r="C187" s="2">
        <v>1</v>
      </c>
      <c r="D187" s="2" t="s">
        <v>34</v>
      </c>
      <c r="E187" s="3">
        <v>44130</v>
      </c>
      <c r="F187" s="2" t="s">
        <v>401</v>
      </c>
      <c r="G187" s="2" t="s">
        <v>152</v>
      </c>
      <c r="H187" s="2" t="s">
        <v>49</v>
      </c>
      <c r="I187" s="9">
        <v>26474</v>
      </c>
    </row>
    <row r="188" spans="1:9" x14ac:dyDescent="0.25">
      <c r="A188" s="2" t="s">
        <v>6</v>
      </c>
      <c r="B188" s="2">
        <v>1200</v>
      </c>
      <c r="C188" s="2">
        <v>4</v>
      </c>
      <c r="D188" s="2" t="s">
        <v>37</v>
      </c>
      <c r="E188" s="3">
        <v>44012</v>
      </c>
      <c r="F188" s="2" t="s">
        <v>87</v>
      </c>
      <c r="G188" s="2" t="s">
        <v>205</v>
      </c>
      <c r="H188" s="2" t="s">
        <v>44</v>
      </c>
      <c r="I188" s="9">
        <v>33504</v>
      </c>
    </row>
    <row r="189" spans="1:9" x14ac:dyDescent="0.25">
      <c r="A189" s="2" t="s">
        <v>15</v>
      </c>
      <c r="B189" s="2">
        <v>1900</v>
      </c>
      <c r="C189" s="2">
        <v>3</v>
      </c>
      <c r="D189" s="2" t="s">
        <v>33</v>
      </c>
      <c r="E189" s="3">
        <v>44150</v>
      </c>
      <c r="F189" s="2" t="s">
        <v>301</v>
      </c>
      <c r="G189" s="2" t="s">
        <v>160</v>
      </c>
      <c r="H189" s="2" t="s">
        <v>49</v>
      </c>
      <c r="I189" s="9">
        <v>25209</v>
      </c>
    </row>
    <row r="190" spans="1:9" x14ac:dyDescent="0.25">
      <c r="A190" s="2" t="s">
        <v>12</v>
      </c>
      <c r="B190" s="2">
        <v>6500</v>
      </c>
      <c r="C190" s="2">
        <v>2</v>
      </c>
      <c r="D190" s="2" t="s">
        <v>31</v>
      </c>
      <c r="E190" s="3">
        <v>44047</v>
      </c>
      <c r="F190" s="2" t="s">
        <v>127</v>
      </c>
      <c r="G190" s="2" t="s">
        <v>574</v>
      </c>
      <c r="H190" s="2" t="s">
        <v>44</v>
      </c>
      <c r="I190" s="9">
        <v>20646</v>
      </c>
    </row>
    <row r="191" spans="1:9" x14ac:dyDescent="0.25">
      <c r="A191" s="2" t="s">
        <v>27</v>
      </c>
      <c r="B191" s="2">
        <v>1500</v>
      </c>
      <c r="C191" s="2">
        <v>3</v>
      </c>
      <c r="D191" s="2" t="s">
        <v>29</v>
      </c>
      <c r="E191" s="3">
        <v>44105</v>
      </c>
      <c r="F191" s="2" t="s">
        <v>546</v>
      </c>
      <c r="G191" s="2" t="s">
        <v>435</v>
      </c>
      <c r="H191" s="2" t="s">
        <v>49</v>
      </c>
      <c r="I191" s="9">
        <v>33358</v>
      </c>
    </row>
    <row r="192" spans="1:9" x14ac:dyDescent="0.25">
      <c r="A192" s="2" t="s">
        <v>15</v>
      </c>
      <c r="B192" s="2">
        <v>1900</v>
      </c>
      <c r="C192" s="2">
        <v>2</v>
      </c>
      <c r="D192" s="2" t="s">
        <v>36</v>
      </c>
      <c r="E192" s="3">
        <v>44019</v>
      </c>
      <c r="F192" s="2" t="s">
        <v>264</v>
      </c>
      <c r="G192" s="2" t="s">
        <v>353</v>
      </c>
      <c r="H192" s="2" t="s">
        <v>49</v>
      </c>
      <c r="I192" s="9">
        <v>34434</v>
      </c>
    </row>
    <row r="193" spans="1:9" x14ac:dyDescent="0.25">
      <c r="A193" s="2" t="s">
        <v>5</v>
      </c>
      <c r="B193" s="2">
        <v>1750</v>
      </c>
      <c r="C193" s="2">
        <v>5</v>
      </c>
      <c r="D193" s="2" t="s">
        <v>34</v>
      </c>
      <c r="E193" s="3">
        <v>43900</v>
      </c>
      <c r="F193" s="2" t="s">
        <v>155</v>
      </c>
      <c r="G193" s="2" t="s">
        <v>141</v>
      </c>
      <c r="H193" s="2" t="s">
        <v>44</v>
      </c>
      <c r="I193" s="9">
        <v>32109</v>
      </c>
    </row>
    <row r="194" spans="1:9" x14ac:dyDescent="0.25">
      <c r="A194" s="2" t="s">
        <v>20</v>
      </c>
      <c r="B194" s="2">
        <v>2600</v>
      </c>
      <c r="C194" s="2">
        <v>2</v>
      </c>
      <c r="D194" s="2" t="s">
        <v>29</v>
      </c>
      <c r="E194" s="3">
        <v>44062</v>
      </c>
      <c r="F194" s="2" t="s">
        <v>293</v>
      </c>
      <c r="G194" s="2" t="s">
        <v>495</v>
      </c>
      <c r="H194" s="2" t="s">
        <v>49</v>
      </c>
      <c r="I194" s="9">
        <v>35510</v>
      </c>
    </row>
    <row r="195" spans="1:9" x14ac:dyDescent="0.25">
      <c r="A195" s="2" t="s">
        <v>15</v>
      </c>
      <c r="B195" s="2">
        <v>1900</v>
      </c>
      <c r="C195" s="2">
        <v>5</v>
      </c>
      <c r="D195" s="2" t="s">
        <v>40</v>
      </c>
      <c r="E195" s="3">
        <v>44132</v>
      </c>
      <c r="F195" s="2" t="s">
        <v>80</v>
      </c>
      <c r="G195" s="2" t="s">
        <v>75</v>
      </c>
      <c r="H195" s="2" t="s">
        <v>44</v>
      </c>
      <c r="I195" s="9">
        <v>32180</v>
      </c>
    </row>
    <row r="196" spans="1:9" x14ac:dyDescent="0.25">
      <c r="A196" s="2" t="s">
        <v>9</v>
      </c>
      <c r="B196" s="2">
        <v>1500</v>
      </c>
      <c r="C196" s="2">
        <v>2</v>
      </c>
      <c r="D196" s="2" t="s">
        <v>41</v>
      </c>
      <c r="E196" s="3">
        <v>44063</v>
      </c>
      <c r="F196" s="2" t="s">
        <v>216</v>
      </c>
      <c r="G196" s="2" t="s">
        <v>69</v>
      </c>
      <c r="H196" s="2" t="s">
        <v>44</v>
      </c>
      <c r="I196" s="9">
        <v>28992</v>
      </c>
    </row>
    <row r="197" spans="1:9" x14ac:dyDescent="0.25">
      <c r="A197" s="2" t="s">
        <v>25</v>
      </c>
      <c r="B197" s="2">
        <v>2500</v>
      </c>
      <c r="C197" s="2">
        <v>5</v>
      </c>
      <c r="D197" s="2" t="s">
        <v>39</v>
      </c>
      <c r="E197" s="3">
        <v>43882</v>
      </c>
      <c r="F197" s="2" t="s">
        <v>289</v>
      </c>
      <c r="G197" s="2" t="s">
        <v>83</v>
      </c>
      <c r="H197" s="2" t="s">
        <v>44</v>
      </c>
      <c r="I197" s="9">
        <v>20233</v>
      </c>
    </row>
    <row r="198" spans="1:9" x14ac:dyDescent="0.25">
      <c r="A198" s="2" t="s">
        <v>23</v>
      </c>
      <c r="B198" s="2">
        <v>1500</v>
      </c>
      <c r="C198" s="2">
        <v>4</v>
      </c>
      <c r="D198" s="2" t="s">
        <v>38</v>
      </c>
      <c r="E198" s="3">
        <v>44100</v>
      </c>
      <c r="F198" s="2" t="s">
        <v>361</v>
      </c>
      <c r="G198" s="2" t="s">
        <v>203</v>
      </c>
      <c r="H198" s="2" t="s">
        <v>49</v>
      </c>
      <c r="I198" s="9">
        <v>36075</v>
      </c>
    </row>
    <row r="199" spans="1:9" x14ac:dyDescent="0.25">
      <c r="A199" s="2" t="s">
        <v>17</v>
      </c>
      <c r="B199" s="2">
        <v>1550</v>
      </c>
      <c r="C199" s="2">
        <v>3</v>
      </c>
      <c r="D199" s="2" t="s">
        <v>41</v>
      </c>
      <c r="E199" s="3">
        <v>43886</v>
      </c>
      <c r="F199" s="2" t="s">
        <v>190</v>
      </c>
      <c r="G199" s="2" t="s">
        <v>174</v>
      </c>
      <c r="H199" s="2" t="s">
        <v>44</v>
      </c>
      <c r="I199" s="9">
        <v>22769</v>
      </c>
    </row>
    <row r="200" spans="1:9" x14ac:dyDescent="0.25">
      <c r="A200" s="2" t="s">
        <v>15</v>
      </c>
      <c r="B200" s="2">
        <v>1900</v>
      </c>
      <c r="C200" s="2">
        <v>5</v>
      </c>
      <c r="D200" s="2" t="s">
        <v>31</v>
      </c>
      <c r="E200" s="3">
        <v>43875</v>
      </c>
      <c r="F200" s="2" t="s">
        <v>544</v>
      </c>
      <c r="G200" s="2" t="s">
        <v>171</v>
      </c>
      <c r="H200" s="2" t="s">
        <v>44</v>
      </c>
      <c r="I200" s="9">
        <v>18869</v>
      </c>
    </row>
    <row r="201" spans="1:9" x14ac:dyDescent="0.25">
      <c r="A201" s="2" t="s">
        <v>28</v>
      </c>
      <c r="B201" s="2">
        <v>1400</v>
      </c>
      <c r="C201" s="2">
        <v>3</v>
      </c>
      <c r="D201" s="2" t="s">
        <v>32</v>
      </c>
      <c r="E201" s="3">
        <v>44133</v>
      </c>
      <c r="F201" s="2" t="s">
        <v>254</v>
      </c>
      <c r="G201" s="2" t="s">
        <v>255</v>
      </c>
      <c r="H201" s="2" t="s">
        <v>49</v>
      </c>
      <c r="I201" s="9">
        <v>33057</v>
      </c>
    </row>
    <row r="202" spans="1:9" x14ac:dyDescent="0.25">
      <c r="A202" s="2" t="s">
        <v>26</v>
      </c>
      <c r="B202" s="2">
        <v>1100</v>
      </c>
      <c r="C202" s="2">
        <v>5</v>
      </c>
      <c r="D202" s="2" t="s">
        <v>39</v>
      </c>
      <c r="E202" s="3">
        <v>43863</v>
      </c>
      <c r="F202" s="2" t="s">
        <v>492</v>
      </c>
      <c r="G202" s="2" t="s">
        <v>99</v>
      </c>
      <c r="H202" s="2" t="s">
        <v>44</v>
      </c>
      <c r="I202" s="9">
        <v>26635</v>
      </c>
    </row>
    <row r="203" spans="1:9" x14ac:dyDescent="0.25">
      <c r="A203" s="2" t="s">
        <v>14</v>
      </c>
      <c r="B203" s="2">
        <v>2000</v>
      </c>
      <c r="C203" s="2">
        <v>1</v>
      </c>
      <c r="D203" s="2" t="s">
        <v>33</v>
      </c>
      <c r="E203" s="3">
        <v>43858</v>
      </c>
      <c r="F203" s="2" t="s">
        <v>190</v>
      </c>
      <c r="G203" s="2" t="s">
        <v>55</v>
      </c>
      <c r="H203" s="2" t="s">
        <v>44</v>
      </c>
      <c r="I203" s="9">
        <v>27461</v>
      </c>
    </row>
    <row r="204" spans="1:9" x14ac:dyDescent="0.25">
      <c r="A204" s="2" t="s">
        <v>20</v>
      </c>
      <c r="B204" s="2">
        <v>2600</v>
      </c>
      <c r="C204" s="2">
        <v>5</v>
      </c>
      <c r="D204" s="2" t="s">
        <v>39</v>
      </c>
      <c r="E204" s="3">
        <v>44147</v>
      </c>
      <c r="F204" s="2" t="s">
        <v>185</v>
      </c>
      <c r="G204" s="2" t="s">
        <v>311</v>
      </c>
      <c r="H204" s="2" t="s">
        <v>44</v>
      </c>
      <c r="I204" s="9">
        <v>26928</v>
      </c>
    </row>
    <row r="205" spans="1:9" x14ac:dyDescent="0.25">
      <c r="A205" s="2" t="s">
        <v>21</v>
      </c>
      <c r="B205" s="2">
        <v>2400</v>
      </c>
      <c r="C205" s="2">
        <v>2</v>
      </c>
      <c r="D205" s="2" t="s">
        <v>38</v>
      </c>
      <c r="E205" s="3">
        <v>44158</v>
      </c>
      <c r="F205" s="2" t="s">
        <v>361</v>
      </c>
      <c r="G205" s="2" t="s">
        <v>203</v>
      </c>
      <c r="H205" s="2" t="s">
        <v>49</v>
      </c>
      <c r="I205" s="9">
        <v>36075</v>
      </c>
    </row>
    <row r="206" spans="1:9" x14ac:dyDescent="0.25">
      <c r="A206" s="2" t="s">
        <v>15</v>
      </c>
      <c r="B206" s="2">
        <v>1900</v>
      </c>
      <c r="C206" s="2">
        <v>4</v>
      </c>
      <c r="D206" s="2" t="s">
        <v>38</v>
      </c>
      <c r="E206" s="3">
        <v>43983</v>
      </c>
      <c r="F206" s="2" t="s">
        <v>90</v>
      </c>
      <c r="G206" s="2" t="s">
        <v>91</v>
      </c>
      <c r="H206" s="2" t="s">
        <v>49</v>
      </c>
      <c r="I206" s="9">
        <v>33405</v>
      </c>
    </row>
    <row r="207" spans="1:9" x14ac:dyDescent="0.25">
      <c r="A207" s="2" t="s">
        <v>20</v>
      </c>
      <c r="B207" s="2">
        <v>2600</v>
      </c>
      <c r="C207" s="2">
        <v>5</v>
      </c>
      <c r="D207" s="2" t="s">
        <v>29</v>
      </c>
      <c r="E207" s="3">
        <v>44164</v>
      </c>
      <c r="F207" s="2" t="s">
        <v>165</v>
      </c>
      <c r="G207" s="2" t="s">
        <v>205</v>
      </c>
      <c r="H207" s="2" t="s">
        <v>49</v>
      </c>
      <c r="I207" s="9">
        <v>32463</v>
      </c>
    </row>
    <row r="208" spans="1:9" x14ac:dyDescent="0.25">
      <c r="A208" s="2" t="s">
        <v>6</v>
      </c>
      <c r="B208" s="2">
        <v>1200</v>
      </c>
      <c r="C208" s="2">
        <v>3</v>
      </c>
      <c r="D208" s="2" t="s">
        <v>37</v>
      </c>
      <c r="E208" s="3">
        <v>44037</v>
      </c>
      <c r="F208" s="2" t="s">
        <v>347</v>
      </c>
      <c r="G208" s="2" t="s">
        <v>348</v>
      </c>
      <c r="H208" s="2" t="s">
        <v>49</v>
      </c>
      <c r="I208" s="9">
        <v>28339</v>
      </c>
    </row>
    <row r="209" spans="1:9" x14ac:dyDescent="0.25">
      <c r="A209" s="2" t="s">
        <v>25</v>
      </c>
      <c r="B209" s="2">
        <v>2500</v>
      </c>
      <c r="C209" s="2">
        <v>3</v>
      </c>
      <c r="D209" s="2" t="s">
        <v>34</v>
      </c>
      <c r="E209" s="3">
        <v>44073</v>
      </c>
      <c r="F209" s="2" t="s">
        <v>137</v>
      </c>
      <c r="G209" s="2" t="s">
        <v>447</v>
      </c>
      <c r="H209" s="2" t="s">
        <v>49</v>
      </c>
      <c r="I209" s="9">
        <v>18368</v>
      </c>
    </row>
    <row r="210" spans="1:9" x14ac:dyDescent="0.25">
      <c r="A210" s="2" t="s">
        <v>20</v>
      </c>
      <c r="B210" s="2">
        <v>2600</v>
      </c>
      <c r="C210" s="2">
        <v>3</v>
      </c>
      <c r="D210" s="2" t="s">
        <v>39</v>
      </c>
      <c r="E210" s="3">
        <v>44114</v>
      </c>
      <c r="F210" s="2" t="s">
        <v>107</v>
      </c>
      <c r="G210" s="2" t="s">
        <v>89</v>
      </c>
      <c r="H210" s="2" t="s">
        <v>49</v>
      </c>
      <c r="I210" s="9">
        <v>31807</v>
      </c>
    </row>
    <row r="211" spans="1:9" x14ac:dyDescent="0.25">
      <c r="A211" s="2" t="s">
        <v>8</v>
      </c>
      <c r="B211" s="2">
        <v>5500</v>
      </c>
      <c r="C211" s="2">
        <v>1</v>
      </c>
      <c r="D211" s="2" t="s">
        <v>35</v>
      </c>
      <c r="E211" s="3">
        <v>44074</v>
      </c>
      <c r="F211" s="2" t="s">
        <v>87</v>
      </c>
      <c r="G211" s="2" t="s">
        <v>327</v>
      </c>
      <c r="H211" s="2" t="s">
        <v>44</v>
      </c>
      <c r="I211" s="9">
        <v>36724</v>
      </c>
    </row>
    <row r="212" spans="1:9" x14ac:dyDescent="0.25">
      <c r="A212" s="2" t="s">
        <v>6</v>
      </c>
      <c r="B212" s="2">
        <v>1200</v>
      </c>
      <c r="C212" s="2">
        <v>1</v>
      </c>
      <c r="D212" s="2" t="s">
        <v>29</v>
      </c>
      <c r="E212" s="3">
        <v>44173</v>
      </c>
      <c r="F212" s="2" t="s">
        <v>301</v>
      </c>
      <c r="G212" s="2" t="s">
        <v>449</v>
      </c>
      <c r="H212" s="2" t="s">
        <v>49</v>
      </c>
      <c r="I212" s="9">
        <v>33640</v>
      </c>
    </row>
    <row r="213" spans="1:9" x14ac:dyDescent="0.25">
      <c r="A213" s="2" t="s">
        <v>14</v>
      </c>
      <c r="B213" s="2">
        <v>2000</v>
      </c>
      <c r="C213" s="2">
        <v>3</v>
      </c>
      <c r="D213" s="2" t="s">
        <v>39</v>
      </c>
      <c r="E213" s="3">
        <v>44078</v>
      </c>
      <c r="F213" s="2" t="s">
        <v>131</v>
      </c>
      <c r="G213" s="2" t="s">
        <v>189</v>
      </c>
      <c r="H213" s="2" t="s">
        <v>44</v>
      </c>
      <c r="I213" s="9">
        <v>22252</v>
      </c>
    </row>
    <row r="214" spans="1:9" x14ac:dyDescent="0.25">
      <c r="A214" s="2" t="s">
        <v>14</v>
      </c>
      <c r="B214" s="2">
        <v>2000</v>
      </c>
      <c r="C214" s="2">
        <v>1</v>
      </c>
      <c r="D214" s="2" t="s">
        <v>36</v>
      </c>
      <c r="E214" s="3">
        <v>44155</v>
      </c>
      <c r="F214" s="2" t="s">
        <v>264</v>
      </c>
      <c r="G214" s="2" t="s">
        <v>125</v>
      </c>
      <c r="H214" s="2" t="s">
        <v>49</v>
      </c>
      <c r="I214" s="9">
        <v>26247</v>
      </c>
    </row>
    <row r="215" spans="1:9" x14ac:dyDescent="0.25">
      <c r="A215" s="2" t="s">
        <v>26</v>
      </c>
      <c r="B215" s="2">
        <v>1100</v>
      </c>
      <c r="C215" s="2">
        <v>3</v>
      </c>
      <c r="D215" s="2" t="s">
        <v>33</v>
      </c>
      <c r="E215" s="3">
        <v>43907</v>
      </c>
      <c r="F215" s="2" t="s">
        <v>161</v>
      </c>
      <c r="G215" s="2" t="s">
        <v>149</v>
      </c>
      <c r="H215" s="2" t="s">
        <v>49</v>
      </c>
      <c r="I215" s="9">
        <v>33864</v>
      </c>
    </row>
    <row r="216" spans="1:9" x14ac:dyDescent="0.25">
      <c r="A216" s="2" t="s">
        <v>9</v>
      </c>
      <c r="B216" s="2">
        <v>1500</v>
      </c>
      <c r="C216" s="2">
        <v>4</v>
      </c>
      <c r="D216" s="2" t="s">
        <v>38</v>
      </c>
      <c r="E216" s="3">
        <v>44067</v>
      </c>
      <c r="F216" s="2" t="s">
        <v>427</v>
      </c>
      <c r="G216" s="2" t="s">
        <v>428</v>
      </c>
      <c r="H216" s="2" t="s">
        <v>44</v>
      </c>
      <c r="I216" s="9">
        <v>27814</v>
      </c>
    </row>
    <row r="217" spans="1:9" x14ac:dyDescent="0.25">
      <c r="A217" s="2" t="s">
        <v>19</v>
      </c>
      <c r="B217" s="2">
        <v>700</v>
      </c>
      <c r="C217" s="2">
        <v>5</v>
      </c>
      <c r="D217" s="2" t="s">
        <v>38</v>
      </c>
      <c r="E217" s="3">
        <v>44114</v>
      </c>
      <c r="F217" s="2" t="s">
        <v>361</v>
      </c>
      <c r="G217" s="2" t="s">
        <v>203</v>
      </c>
      <c r="H217" s="2" t="s">
        <v>49</v>
      </c>
      <c r="I217" s="9">
        <v>36075</v>
      </c>
    </row>
    <row r="218" spans="1:9" x14ac:dyDescent="0.25">
      <c r="A218" s="2" t="s">
        <v>9</v>
      </c>
      <c r="B218" s="2">
        <v>1500</v>
      </c>
      <c r="C218" s="2">
        <v>1</v>
      </c>
      <c r="D218" s="2" t="s">
        <v>32</v>
      </c>
      <c r="E218" s="3">
        <v>44164</v>
      </c>
      <c r="F218" s="2" t="s">
        <v>80</v>
      </c>
      <c r="G218" s="2" t="s">
        <v>156</v>
      </c>
      <c r="H218" s="2" t="s">
        <v>44</v>
      </c>
      <c r="I218" s="9">
        <v>36180</v>
      </c>
    </row>
    <row r="219" spans="1:9" x14ac:dyDescent="0.25">
      <c r="A219" s="2" t="s">
        <v>14</v>
      </c>
      <c r="B219" s="2">
        <v>2000</v>
      </c>
      <c r="C219" s="2">
        <v>1</v>
      </c>
      <c r="D219" s="2" t="s">
        <v>38</v>
      </c>
      <c r="E219" s="3">
        <v>43915</v>
      </c>
      <c r="F219" s="2" t="s">
        <v>216</v>
      </c>
      <c r="G219" s="2" t="s">
        <v>442</v>
      </c>
      <c r="H219" s="2" t="s">
        <v>44</v>
      </c>
      <c r="I219" s="9">
        <v>27664</v>
      </c>
    </row>
    <row r="220" spans="1:9" x14ac:dyDescent="0.25">
      <c r="A220" s="2" t="s">
        <v>10</v>
      </c>
      <c r="B220" s="2">
        <v>1450</v>
      </c>
      <c r="C220" s="2">
        <v>5</v>
      </c>
      <c r="D220" s="2" t="s">
        <v>34</v>
      </c>
      <c r="E220" s="3">
        <v>43871</v>
      </c>
      <c r="F220" s="2" t="s">
        <v>87</v>
      </c>
      <c r="G220" s="2" t="s">
        <v>458</v>
      </c>
      <c r="H220" s="2" t="s">
        <v>44</v>
      </c>
      <c r="I220" s="9">
        <v>21480</v>
      </c>
    </row>
    <row r="221" spans="1:9" x14ac:dyDescent="0.25">
      <c r="A221" s="2" t="s">
        <v>26</v>
      </c>
      <c r="B221" s="2">
        <v>1100</v>
      </c>
      <c r="C221" s="2">
        <v>4</v>
      </c>
      <c r="D221" s="2" t="s">
        <v>33</v>
      </c>
      <c r="E221" s="3">
        <v>43898</v>
      </c>
      <c r="F221" s="2" t="s">
        <v>601</v>
      </c>
      <c r="G221" s="2" t="s">
        <v>123</v>
      </c>
      <c r="H221" s="2" t="s">
        <v>44</v>
      </c>
      <c r="I221" s="9">
        <v>29735</v>
      </c>
    </row>
    <row r="222" spans="1:9" x14ac:dyDescent="0.25">
      <c r="A222" s="2" t="s">
        <v>18</v>
      </c>
      <c r="B222" s="2">
        <v>3000</v>
      </c>
      <c r="C222" s="2">
        <v>3</v>
      </c>
      <c r="D222" s="2" t="s">
        <v>29</v>
      </c>
      <c r="E222" s="3">
        <v>43967</v>
      </c>
      <c r="F222" s="2" t="s">
        <v>140</v>
      </c>
      <c r="G222" s="2" t="s">
        <v>281</v>
      </c>
      <c r="H222" s="2" t="s">
        <v>49</v>
      </c>
      <c r="I222" s="9">
        <v>21078</v>
      </c>
    </row>
    <row r="223" spans="1:9" x14ac:dyDescent="0.25">
      <c r="A223" s="2" t="s">
        <v>9</v>
      </c>
      <c r="B223" s="2">
        <v>1500</v>
      </c>
      <c r="C223" s="2">
        <v>3</v>
      </c>
      <c r="D223" s="2" t="s">
        <v>31</v>
      </c>
      <c r="E223" s="3">
        <v>43969</v>
      </c>
      <c r="F223" s="2" t="s">
        <v>107</v>
      </c>
      <c r="G223" s="2" t="s">
        <v>205</v>
      </c>
      <c r="H223" s="2" t="s">
        <v>49</v>
      </c>
      <c r="I223" s="9">
        <v>31963</v>
      </c>
    </row>
    <row r="224" spans="1:9" x14ac:dyDescent="0.25">
      <c r="A224" s="2" t="s">
        <v>7</v>
      </c>
      <c r="B224" s="2">
        <v>750</v>
      </c>
      <c r="C224" s="2">
        <v>1</v>
      </c>
      <c r="D224" s="2" t="s">
        <v>41</v>
      </c>
      <c r="E224" s="3">
        <v>43978</v>
      </c>
      <c r="F224" s="2" t="s">
        <v>177</v>
      </c>
      <c r="G224" s="2" t="s">
        <v>480</v>
      </c>
      <c r="H224" s="2" t="s">
        <v>49</v>
      </c>
      <c r="I224" s="9">
        <v>32007</v>
      </c>
    </row>
    <row r="225" spans="1:9" x14ac:dyDescent="0.25">
      <c r="A225" s="2" t="s">
        <v>12</v>
      </c>
      <c r="B225" s="2">
        <v>6500</v>
      </c>
      <c r="C225" s="2">
        <v>1</v>
      </c>
      <c r="D225" s="2" t="s">
        <v>39</v>
      </c>
      <c r="E225" s="3">
        <v>44111</v>
      </c>
      <c r="F225" s="2" t="s">
        <v>301</v>
      </c>
      <c r="G225" s="2" t="s">
        <v>279</v>
      </c>
      <c r="H225" s="2" t="s">
        <v>49</v>
      </c>
      <c r="I225" s="9">
        <v>30893</v>
      </c>
    </row>
    <row r="226" spans="1:9" x14ac:dyDescent="0.25">
      <c r="A226" s="2" t="s">
        <v>21</v>
      </c>
      <c r="B226" s="2">
        <v>2400</v>
      </c>
      <c r="C226" s="2">
        <v>4</v>
      </c>
      <c r="D226" s="2" t="s">
        <v>29</v>
      </c>
      <c r="E226" s="3">
        <v>44192</v>
      </c>
      <c r="F226" s="2" t="s">
        <v>107</v>
      </c>
      <c r="G226" s="2" t="s">
        <v>81</v>
      </c>
      <c r="H226" s="2" t="s">
        <v>49</v>
      </c>
      <c r="I226" s="9">
        <v>29856</v>
      </c>
    </row>
    <row r="227" spans="1:9" x14ac:dyDescent="0.25">
      <c r="A227" s="2" t="s">
        <v>20</v>
      </c>
      <c r="B227" s="2">
        <v>2600</v>
      </c>
      <c r="C227" s="2">
        <v>1</v>
      </c>
      <c r="D227" s="2" t="s">
        <v>35</v>
      </c>
      <c r="E227" s="3">
        <v>44046</v>
      </c>
      <c r="F227" s="2" t="s">
        <v>544</v>
      </c>
      <c r="G227" s="2" t="s">
        <v>238</v>
      </c>
      <c r="H227" s="2" t="s">
        <v>44</v>
      </c>
      <c r="I227" s="9">
        <v>23493</v>
      </c>
    </row>
    <row r="228" spans="1:9" x14ac:dyDescent="0.25">
      <c r="A228" s="2" t="s">
        <v>5</v>
      </c>
      <c r="B228" s="2">
        <v>1750</v>
      </c>
      <c r="C228" s="2">
        <v>5</v>
      </c>
      <c r="D228" s="2" t="s">
        <v>37</v>
      </c>
      <c r="E228" s="3">
        <v>43883</v>
      </c>
      <c r="F228" s="2" t="s">
        <v>206</v>
      </c>
      <c r="G228" s="2" t="s">
        <v>207</v>
      </c>
      <c r="H228" s="2" t="s">
        <v>44</v>
      </c>
      <c r="I228" s="9">
        <v>24354</v>
      </c>
    </row>
    <row r="229" spans="1:9" x14ac:dyDescent="0.25">
      <c r="A229" s="2" t="s">
        <v>18</v>
      </c>
      <c r="B229" s="2">
        <v>3000</v>
      </c>
      <c r="C229" s="2">
        <v>4</v>
      </c>
      <c r="D229" s="2" t="s">
        <v>33</v>
      </c>
      <c r="E229" s="3">
        <v>44052</v>
      </c>
      <c r="F229" s="2" t="s">
        <v>301</v>
      </c>
      <c r="G229" s="2" t="s">
        <v>160</v>
      </c>
      <c r="H229" s="2" t="s">
        <v>49</v>
      </c>
      <c r="I229" s="9">
        <v>25209</v>
      </c>
    </row>
    <row r="230" spans="1:9" x14ac:dyDescent="0.25">
      <c r="A230" s="2" t="s">
        <v>23</v>
      </c>
      <c r="B230" s="2">
        <v>1500</v>
      </c>
      <c r="C230" s="2">
        <v>3</v>
      </c>
      <c r="D230" s="2" t="s">
        <v>40</v>
      </c>
      <c r="E230" s="3">
        <v>44111</v>
      </c>
      <c r="F230" s="2" t="s">
        <v>336</v>
      </c>
      <c r="G230" s="2" t="s">
        <v>75</v>
      </c>
      <c r="H230" s="2" t="s">
        <v>44</v>
      </c>
      <c r="I230" s="9">
        <v>28887</v>
      </c>
    </row>
    <row r="231" spans="1:9" x14ac:dyDescent="0.25">
      <c r="A231" s="2" t="s">
        <v>20</v>
      </c>
      <c r="B231" s="2">
        <v>2600</v>
      </c>
      <c r="C231" s="2">
        <v>2</v>
      </c>
      <c r="D231" s="2" t="s">
        <v>33</v>
      </c>
      <c r="E231" s="3">
        <v>43912</v>
      </c>
      <c r="F231" s="2" t="s">
        <v>582</v>
      </c>
      <c r="G231" s="2" t="s">
        <v>583</v>
      </c>
      <c r="H231" s="2" t="s">
        <v>49</v>
      </c>
      <c r="I231" s="9">
        <v>27281</v>
      </c>
    </row>
    <row r="232" spans="1:9" x14ac:dyDescent="0.25">
      <c r="A232" s="2" t="s">
        <v>7</v>
      </c>
      <c r="B232" s="2">
        <v>750</v>
      </c>
      <c r="C232" s="2">
        <v>1</v>
      </c>
      <c r="D232" s="2" t="s">
        <v>37</v>
      </c>
      <c r="E232" s="3">
        <v>44100</v>
      </c>
      <c r="F232" s="2" t="s">
        <v>268</v>
      </c>
      <c r="G232" s="2" t="s">
        <v>269</v>
      </c>
      <c r="H232" s="2" t="s">
        <v>44</v>
      </c>
      <c r="I232" s="9">
        <v>28451</v>
      </c>
    </row>
    <row r="233" spans="1:9" x14ac:dyDescent="0.25">
      <c r="A233" s="2" t="s">
        <v>22</v>
      </c>
      <c r="B233" s="2">
        <v>5200</v>
      </c>
      <c r="C233" s="2">
        <v>4</v>
      </c>
      <c r="D233" s="2" t="s">
        <v>35</v>
      </c>
      <c r="E233" s="3">
        <v>43844</v>
      </c>
      <c r="F233" s="2" t="s">
        <v>217</v>
      </c>
      <c r="G233" s="2" t="s">
        <v>169</v>
      </c>
      <c r="H233" s="2" t="s">
        <v>44</v>
      </c>
      <c r="I233" s="9">
        <v>26324</v>
      </c>
    </row>
    <row r="234" spans="1:9" x14ac:dyDescent="0.25">
      <c r="A234" s="2" t="s">
        <v>9</v>
      </c>
      <c r="B234" s="2">
        <v>1500</v>
      </c>
      <c r="C234" s="2">
        <v>1</v>
      </c>
      <c r="D234" s="2" t="s">
        <v>29</v>
      </c>
      <c r="E234" s="3">
        <v>44108</v>
      </c>
      <c r="F234" s="2" t="s">
        <v>364</v>
      </c>
      <c r="G234" s="2" t="s">
        <v>491</v>
      </c>
      <c r="H234" s="2" t="s">
        <v>44</v>
      </c>
      <c r="I234" s="9">
        <v>25352</v>
      </c>
    </row>
    <row r="235" spans="1:9" x14ac:dyDescent="0.25">
      <c r="A235" s="2" t="s">
        <v>15</v>
      </c>
      <c r="B235" s="2">
        <v>1900</v>
      </c>
      <c r="C235" s="2">
        <v>4</v>
      </c>
      <c r="D235" s="2" t="s">
        <v>41</v>
      </c>
      <c r="E235" s="3">
        <v>43936</v>
      </c>
      <c r="F235" s="2" t="s">
        <v>304</v>
      </c>
      <c r="G235" s="2" t="s">
        <v>305</v>
      </c>
      <c r="H235" s="2" t="s">
        <v>44</v>
      </c>
      <c r="I235" s="9">
        <v>20289</v>
      </c>
    </row>
    <row r="236" spans="1:9" x14ac:dyDescent="0.25">
      <c r="A236" s="2" t="s">
        <v>28</v>
      </c>
      <c r="B236" s="2">
        <v>1400</v>
      </c>
      <c r="C236" s="2">
        <v>2</v>
      </c>
      <c r="D236" s="2" t="s">
        <v>30</v>
      </c>
      <c r="E236" s="3">
        <v>43866</v>
      </c>
      <c r="F236" s="2" t="s">
        <v>134</v>
      </c>
      <c r="G236" s="2" t="s">
        <v>135</v>
      </c>
      <c r="H236" s="2" t="s">
        <v>49</v>
      </c>
      <c r="I236" s="9">
        <v>26564</v>
      </c>
    </row>
    <row r="237" spans="1:9" x14ac:dyDescent="0.25">
      <c r="A237" s="2" t="s">
        <v>5</v>
      </c>
      <c r="B237" s="2">
        <v>1750</v>
      </c>
      <c r="C237" s="2">
        <v>4</v>
      </c>
      <c r="D237" s="2" t="s">
        <v>29</v>
      </c>
      <c r="E237" s="3">
        <v>43839</v>
      </c>
      <c r="F237" s="2" t="s">
        <v>98</v>
      </c>
      <c r="G237" s="2" t="s">
        <v>511</v>
      </c>
      <c r="H237" s="2" t="s">
        <v>44</v>
      </c>
      <c r="I237" s="9">
        <v>30253</v>
      </c>
    </row>
    <row r="238" spans="1:9" x14ac:dyDescent="0.25">
      <c r="A238" s="2" t="s">
        <v>9</v>
      </c>
      <c r="B238" s="2">
        <v>1500</v>
      </c>
      <c r="C238" s="2">
        <v>1</v>
      </c>
      <c r="D238" s="2" t="s">
        <v>34</v>
      </c>
      <c r="E238" s="3">
        <v>44175</v>
      </c>
      <c r="F238" s="2" t="s">
        <v>256</v>
      </c>
      <c r="G238" s="2" t="s">
        <v>468</v>
      </c>
      <c r="H238" s="2" t="s">
        <v>44</v>
      </c>
      <c r="I238" s="9">
        <v>32705</v>
      </c>
    </row>
    <row r="239" spans="1:9" x14ac:dyDescent="0.25">
      <c r="A239" s="2" t="s">
        <v>11</v>
      </c>
      <c r="B239" s="2">
        <v>4500</v>
      </c>
      <c r="C239" s="2">
        <v>3</v>
      </c>
      <c r="D239" s="2" t="s">
        <v>35</v>
      </c>
      <c r="E239" s="3">
        <v>43917</v>
      </c>
      <c r="F239" s="2" t="s">
        <v>216</v>
      </c>
      <c r="G239" s="2" t="s">
        <v>172</v>
      </c>
      <c r="H239" s="2" t="s">
        <v>44</v>
      </c>
      <c r="I239" s="9">
        <v>20763</v>
      </c>
    </row>
    <row r="240" spans="1:9" x14ac:dyDescent="0.25">
      <c r="A240" s="2" t="s">
        <v>18</v>
      </c>
      <c r="B240" s="2">
        <v>3000</v>
      </c>
      <c r="C240" s="2">
        <v>2</v>
      </c>
      <c r="D240" s="2" t="s">
        <v>31</v>
      </c>
      <c r="E240" s="3">
        <v>44039</v>
      </c>
      <c r="F240" s="2" t="s">
        <v>87</v>
      </c>
      <c r="G240" s="2" t="s">
        <v>286</v>
      </c>
      <c r="H240" s="2" t="s">
        <v>44</v>
      </c>
      <c r="I240" s="9">
        <v>29174</v>
      </c>
    </row>
    <row r="241" spans="1:9" x14ac:dyDescent="0.25">
      <c r="A241" s="2" t="s">
        <v>16</v>
      </c>
      <c r="B241" s="2">
        <v>1400</v>
      </c>
      <c r="C241" s="2">
        <v>4</v>
      </c>
      <c r="D241" s="2" t="s">
        <v>31</v>
      </c>
      <c r="E241" s="3">
        <v>44014</v>
      </c>
      <c r="F241" s="2" t="s">
        <v>170</v>
      </c>
      <c r="G241" s="2" t="s">
        <v>152</v>
      </c>
      <c r="H241" s="2" t="s">
        <v>44</v>
      </c>
      <c r="I241" s="9">
        <v>19458</v>
      </c>
    </row>
    <row r="242" spans="1:9" x14ac:dyDescent="0.25">
      <c r="A242" s="2" t="s">
        <v>8</v>
      </c>
      <c r="B242" s="2">
        <v>5500</v>
      </c>
      <c r="C242" s="2">
        <v>2</v>
      </c>
      <c r="D242" s="2" t="s">
        <v>37</v>
      </c>
      <c r="E242" s="3">
        <v>43957</v>
      </c>
      <c r="F242" s="2" t="s">
        <v>598</v>
      </c>
      <c r="G242" s="2" t="s">
        <v>195</v>
      </c>
      <c r="H242" s="2" t="s">
        <v>44</v>
      </c>
      <c r="I242" s="9">
        <v>23756</v>
      </c>
    </row>
    <row r="243" spans="1:9" x14ac:dyDescent="0.25">
      <c r="A243" s="2" t="s">
        <v>17</v>
      </c>
      <c r="B243" s="2">
        <v>1550</v>
      </c>
      <c r="C243" s="2">
        <v>1</v>
      </c>
      <c r="D243" s="2" t="s">
        <v>34</v>
      </c>
      <c r="E243" s="3">
        <v>43923</v>
      </c>
      <c r="F243" s="2" t="s">
        <v>98</v>
      </c>
      <c r="G243" s="2" t="s">
        <v>213</v>
      </c>
      <c r="H243" s="2" t="s">
        <v>44</v>
      </c>
      <c r="I243" s="9">
        <v>23276</v>
      </c>
    </row>
    <row r="244" spans="1:9" x14ac:dyDescent="0.25">
      <c r="A244" s="2" t="s">
        <v>11</v>
      </c>
      <c r="B244" s="2">
        <v>4500</v>
      </c>
      <c r="C244" s="2">
        <v>5</v>
      </c>
      <c r="D244" s="2" t="s">
        <v>37</v>
      </c>
      <c r="E244" s="3">
        <v>43957</v>
      </c>
      <c r="F244" s="2" t="s">
        <v>109</v>
      </c>
      <c r="G244" s="2" t="s">
        <v>287</v>
      </c>
      <c r="H244" s="2" t="s">
        <v>44</v>
      </c>
      <c r="I244" s="9">
        <v>28026</v>
      </c>
    </row>
    <row r="245" spans="1:9" x14ac:dyDescent="0.25">
      <c r="A245" s="2" t="s">
        <v>25</v>
      </c>
      <c r="B245" s="2">
        <v>2500</v>
      </c>
      <c r="C245" s="2">
        <v>2</v>
      </c>
      <c r="D245" s="2" t="s">
        <v>32</v>
      </c>
      <c r="E245" s="3">
        <v>43923</v>
      </c>
      <c r="F245" s="2" t="s">
        <v>109</v>
      </c>
      <c r="G245" s="2" t="s">
        <v>243</v>
      </c>
      <c r="H245" s="2" t="s">
        <v>44</v>
      </c>
      <c r="I245" s="9">
        <v>19583</v>
      </c>
    </row>
    <row r="246" spans="1:9" x14ac:dyDescent="0.25">
      <c r="A246" s="2" t="s">
        <v>16</v>
      </c>
      <c r="B246" s="2">
        <v>1400</v>
      </c>
      <c r="C246" s="2">
        <v>1</v>
      </c>
      <c r="D246" s="2" t="s">
        <v>39</v>
      </c>
      <c r="E246" s="3">
        <v>43973</v>
      </c>
      <c r="F246" s="2" t="s">
        <v>137</v>
      </c>
      <c r="G246" s="2" t="s">
        <v>223</v>
      </c>
      <c r="H246" s="2" t="s">
        <v>49</v>
      </c>
      <c r="I246" s="9">
        <v>33537</v>
      </c>
    </row>
    <row r="247" spans="1:9" x14ac:dyDescent="0.25">
      <c r="A247" s="2" t="s">
        <v>22</v>
      </c>
      <c r="B247" s="2">
        <v>5200</v>
      </c>
      <c r="C247" s="2">
        <v>3</v>
      </c>
      <c r="D247" s="2" t="s">
        <v>31</v>
      </c>
      <c r="E247" s="3">
        <v>44127</v>
      </c>
      <c r="F247" s="2" t="s">
        <v>173</v>
      </c>
      <c r="G247" s="2" t="s">
        <v>99</v>
      </c>
      <c r="H247" s="2" t="s">
        <v>44</v>
      </c>
      <c r="I247" s="9">
        <v>19280</v>
      </c>
    </row>
    <row r="248" spans="1:9" x14ac:dyDescent="0.25">
      <c r="A248" s="2" t="s">
        <v>11</v>
      </c>
      <c r="B248" s="2">
        <v>4500</v>
      </c>
      <c r="C248" s="2">
        <v>4</v>
      </c>
      <c r="D248" s="2" t="s">
        <v>37</v>
      </c>
      <c r="E248" s="3">
        <v>44193</v>
      </c>
      <c r="F248" s="2" t="s">
        <v>144</v>
      </c>
      <c r="G248" s="2" t="s">
        <v>42</v>
      </c>
      <c r="H248" s="2" t="s">
        <v>49</v>
      </c>
      <c r="I248" s="9">
        <v>21953</v>
      </c>
    </row>
    <row r="249" spans="1:9" x14ac:dyDescent="0.25">
      <c r="A249" s="2" t="s">
        <v>25</v>
      </c>
      <c r="B249" s="2">
        <v>2500</v>
      </c>
      <c r="C249" s="2">
        <v>2</v>
      </c>
      <c r="D249" s="2" t="s">
        <v>31</v>
      </c>
      <c r="E249" s="3">
        <v>43843</v>
      </c>
      <c r="F249" s="2" t="s">
        <v>163</v>
      </c>
      <c r="G249" s="2" t="s">
        <v>99</v>
      </c>
      <c r="H249" s="2" t="s">
        <v>49</v>
      </c>
      <c r="I249" s="9">
        <v>34480</v>
      </c>
    </row>
    <row r="250" spans="1:9" x14ac:dyDescent="0.25">
      <c r="A250" s="2" t="s">
        <v>25</v>
      </c>
      <c r="B250" s="2">
        <v>2500</v>
      </c>
      <c r="C250" s="2">
        <v>3</v>
      </c>
      <c r="D250" s="2" t="s">
        <v>40</v>
      </c>
      <c r="E250" s="3">
        <v>44182</v>
      </c>
      <c r="F250" s="2" t="s">
        <v>124</v>
      </c>
      <c r="G250" s="2" t="s">
        <v>520</v>
      </c>
      <c r="H250" s="2" t="s">
        <v>44</v>
      </c>
      <c r="I250" s="9">
        <v>36819</v>
      </c>
    </row>
    <row r="251" spans="1:9" x14ac:dyDescent="0.25">
      <c r="A251" s="2" t="s">
        <v>22</v>
      </c>
      <c r="B251" s="2">
        <v>5200</v>
      </c>
      <c r="C251" s="2">
        <v>3</v>
      </c>
      <c r="D251" s="2" t="s">
        <v>41</v>
      </c>
      <c r="E251" s="3">
        <v>44122</v>
      </c>
      <c r="F251" s="2" t="s">
        <v>234</v>
      </c>
      <c r="G251" s="2" t="s">
        <v>229</v>
      </c>
      <c r="H251" s="2" t="s">
        <v>44</v>
      </c>
      <c r="I251" s="9">
        <v>23610</v>
      </c>
    </row>
    <row r="252" spans="1:9" x14ac:dyDescent="0.25">
      <c r="A252" s="2" t="s">
        <v>23</v>
      </c>
      <c r="B252" s="2">
        <v>1500</v>
      </c>
      <c r="C252" s="2">
        <v>4</v>
      </c>
      <c r="D252" s="2" t="s">
        <v>30</v>
      </c>
      <c r="E252" s="3">
        <v>44063</v>
      </c>
      <c r="F252" s="2" t="s">
        <v>78</v>
      </c>
      <c r="G252" s="2" t="s">
        <v>443</v>
      </c>
      <c r="H252" s="2" t="s">
        <v>49</v>
      </c>
      <c r="I252" s="9">
        <v>35369</v>
      </c>
    </row>
    <row r="253" spans="1:9" x14ac:dyDescent="0.25">
      <c r="A253" s="2" t="s">
        <v>5</v>
      </c>
      <c r="B253" s="2">
        <v>1750</v>
      </c>
      <c r="C253" s="2">
        <v>4</v>
      </c>
      <c r="D253" s="2" t="s">
        <v>35</v>
      </c>
      <c r="E253" s="3">
        <v>44100</v>
      </c>
      <c r="F253" s="2" t="s">
        <v>109</v>
      </c>
      <c r="G253" s="2" t="s">
        <v>488</v>
      </c>
      <c r="H253" s="2" t="s">
        <v>44</v>
      </c>
      <c r="I253" s="9">
        <v>36710</v>
      </c>
    </row>
    <row r="254" spans="1:9" x14ac:dyDescent="0.25">
      <c r="A254" s="2" t="s">
        <v>23</v>
      </c>
      <c r="B254" s="2">
        <v>1500</v>
      </c>
      <c r="C254" s="2">
        <v>5</v>
      </c>
      <c r="D254" s="2" t="s">
        <v>40</v>
      </c>
      <c r="E254" s="3">
        <v>44191</v>
      </c>
      <c r="F254" s="2" t="s">
        <v>392</v>
      </c>
      <c r="G254" s="2" t="s">
        <v>393</v>
      </c>
      <c r="H254" s="2" t="s">
        <v>49</v>
      </c>
      <c r="I254" s="9">
        <v>31041</v>
      </c>
    </row>
    <row r="255" spans="1:9" x14ac:dyDescent="0.25">
      <c r="A255" s="2" t="s">
        <v>7</v>
      </c>
      <c r="B255" s="2">
        <v>750</v>
      </c>
      <c r="C255" s="2">
        <v>5</v>
      </c>
      <c r="D255" s="2" t="s">
        <v>29</v>
      </c>
      <c r="E255" s="3">
        <v>43950</v>
      </c>
      <c r="F255" s="2" t="s">
        <v>179</v>
      </c>
      <c r="G255" s="2" t="s">
        <v>383</v>
      </c>
      <c r="H255" s="2" t="s">
        <v>44</v>
      </c>
      <c r="I255" s="9">
        <v>20035</v>
      </c>
    </row>
    <row r="256" spans="1:9" x14ac:dyDescent="0.25">
      <c r="A256" s="2" t="s">
        <v>23</v>
      </c>
      <c r="B256" s="2">
        <v>1500</v>
      </c>
      <c r="C256" s="2">
        <v>4</v>
      </c>
      <c r="D256" s="2" t="s">
        <v>33</v>
      </c>
      <c r="E256" s="3">
        <v>43986</v>
      </c>
      <c r="F256" s="2" t="s">
        <v>265</v>
      </c>
      <c r="G256" s="2" t="s">
        <v>266</v>
      </c>
      <c r="H256" s="2" t="s">
        <v>49</v>
      </c>
      <c r="I256" s="9">
        <v>31076</v>
      </c>
    </row>
    <row r="257" spans="1:9" x14ac:dyDescent="0.25">
      <c r="A257" s="2" t="s">
        <v>25</v>
      </c>
      <c r="B257" s="2">
        <v>2500</v>
      </c>
      <c r="C257" s="2">
        <v>3</v>
      </c>
      <c r="D257" s="2" t="s">
        <v>41</v>
      </c>
      <c r="E257" s="3">
        <v>44101</v>
      </c>
      <c r="F257" s="2" t="s">
        <v>112</v>
      </c>
      <c r="G257" s="2" t="s">
        <v>591</v>
      </c>
      <c r="H257" s="2" t="s">
        <v>44</v>
      </c>
      <c r="I257" s="9">
        <v>26766</v>
      </c>
    </row>
    <row r="258" spans="1:9" x14ac:dyDescent="0.25">
      <c r="A258" s="2" t="s">
        <v>22</v>
      </c>
      <c r="B258" s="2">
        <v>5200</v>
      </c>
      <c r="C258" s="2">
        <v>3</v>
      </c>
      <c r="D258" s="2" t="s">
        <v>40</v>
      </c>
      <c r="E258" s="3">
        <v>44165</v>
      </c>
      <c r="F258" s="2" t="s">
        <v>87</v>
      </c>
      <c r="G258" s="2" t="s">
        <v>450</v>
      </c>
      <c r="H258" s="2" t="s">
        <v>44</v>
      </c>
      <c r="I258" s="9">
        <v>20036</v>
      </c>
    </row>
    <row r="259" spans="1:9" x14ac:dyDescent="0.25">
      <c r="A259" s="2" t="s">
        <v>27</v>
      </c>
      <c r="B259" s="2">
        <v>1500</v>
      </c>
      <c r="C259" s="2">
        <v>2</v>
      </c>
      <c r="D259" s="2" t="s">
        <v>38</v>
      </c>
      <c r="E259" s="3">
        <v>43909</v>
      </c>
      <c r="F259" s="2" t="s">
        <v>361</v>
      </c>
      <c r="G259" s="2" t="s">
        <v>203</v>
      </c>
      <c r="H259" s="2" t="s">
        <v>49</v>
      </c>
      <c r="I259" s="9">
        <v>36075</v>
      </c>
    </row>
    <row r="260" spans="1:9" x14ac:dyDescent="0.25">
      <c r="A260" s="2" t="s">
        <v>14</v>
      </c>
      <c r="B260" s="2">
        <v>2000</v>
      </c>
      <c r="C260" s="2">
        <v>5</v>
      </c>
      <c r="D260" s="2" t="s">
        <v>30</v>
      </c>
      <c r="E260" s="3">
        <v>43868</v>
      </c>
      <c r="F260" s="2" t="s">
        <v>111</v>
      </c>
      <c r="G260" s="2" t="s">
        <v>51</v>
      </c>
      <c r="H260" s="2" t="s">
        <v>44</v>
      </c>
      <c r="I260" s="9">
        <v>22664</v>
      </c>
    </row>
    <row r="261" spans="1:9" x14ac:dyDescent="0.25">
      <c r="A261" s="2" t="s">
        <v>19</v>
      </c>
      <c r="B261" s="2">
        <v>700</v>
      </c>
      <c r="C261" s="2">
        <v>4</v>
      </c>
      <c r="D261" s="2" t="s">
        <v>29</v>
      </c>
      <c r="E261" s="3">
        <v>43836</v>
      </c>
      <c r="F261" s="2" t="s">
        <v>134</v>
      </c>
      <c r="G261" s="2" t="s">
        <v>555</v>
      </c>
      <c r="H261" s="2" t="s">
        <v>49</v>
      </c>
      <c r="I261" s="9">
        <v>26083</v>
      </c>
    </row>
    <row r="262" spans="1:9" x14ac:dyDescent="0.25">
      <c r="A262" s="2" t="s">
        <v>18</v>
      </c>
      <c r="B262" s="2">
        <v>3000</v>
      </c>
      <c r="C262" s="2">
        <v>4</v>
      </c>
      <c r="D262" s="2" t="s">
        <v>31</v>
      </c>
      <c r="E262" s="3">
        <v>44042</v>
      </c>
      <c r="F262" s="2" t="s">
        <v>45</v>
      </c>
      <c r="G262" s="2" t="s">
        <v>278</v>
      </c>
      <c r="H262" s="2" t="s">
        <v>44</v>
      </c>
      <c r="I262" s="9">
        <v>19406</v>
      </c>
    </row>
    <row r="263" spans="1:9" x14ac:dyDescent="0.25">
      <c r="A263" s="2" t="s">
        <v>18</v>
      </c>
      <c r="B263" s="2">
        <v>3000</v>
      </c>
      <c r="C263" s="2">
        <v>1</v>
      </c>
      <c r="D263" s="2" t="s">
        <v>41</v>
      </c>
      <c r="E263" s="3">
        <v>44139</v>
      </c>
      <c r="F263" s="2" t="s">
        <v>259</v>
      </c>
      <c r="G263" s="2" t="s">
        <v>346</v>
      </c>
      <c r="H263" s="2" t="s">
        <v>49</v>
      </c>
      <c r="I263" s="9">
        <v>20478</v>
      </c>
    </row>
    <row r="264" spans="1:9" x14ac:dyDescent="0.25">
      <c r="A264" s="2" t="s">
        <v>6</v>
      </c>
      <c r="B264" s="2">
        <v>1200</v>
      </c>
      <c r="C264" s="2">
        <v>5</v>
      </c>
      <c r="D264" s="2" t="s">
        <v>31</v>
      </c>
      <c r="E264" s="3">
        <v>44104</v>
      </c>
      <c r="F264" s="2" t="s">
        <v>401</v>
      </c>
      <c r="G264" s="2" t="s">
        <v>172</v>
      </c>
      <c r="H264" s="2" t="s">
        <v>49</v>
      </c>
      <c r="I264" s="9">
        <v>21639</v>
      </c>
    </row>
    <row r="265" spans="1:9" x14ac:dyDescent="0.25">
      <c r="A265" s="2" t="s">
        <v>24</v>
      </c>
      <c r="B265" s="2">
        <v>2000</v>
      </c>
      <c r="C265" s="2">
        <v>5</v>
      </c>
      <c r="D265" s="2" t="s">
        <v>36</v>
      </c>
      <c r="E265" s="3">
        <v>43915</v>
      </c>
      <c r="F265" s="2" t="s">
        <v>87</v>
      </c>
      <c r="G265" s="2" t="s">
        <v>172</v>
      </c>
      <c r="H265" s="2" t="s">
        <v>44</v>
      </c>
      <c r="I265" s="9">
        <v>33395</v>
      </c>
    </row>
    <row r="266" spans="1:9" x14ac:dyDescent="0.25">
      <c r="A266" s="2" t="s">
        <v>22</v>
      </c>
      <c r="B266" s="2">
        <v>5200</v>
      </c>
      <c r="C266" s="2">
        <v>1</v>
      </c>
      <c r="D266" s="2" t="s">
        <v>31</v>
      </c>
      <c r="E266" s="3">
        <v>43983</v>
      </c>
      <c r="F266" s="2" t="s">
        <v>51</v>
      </c>
      <c r="G266" s="2" t="s">
        <v>596</v>
      </c>
      <c r="H266" s="2" t="s">
        <v>44</v>
      </c>
      <c r="I266" s="9">
        <v>26563</v>
      </c>
    </row>
    <row r="267" spans="1:9" x14ac:dyDescent="0.25">
      <c r="A267" s="2" t="s">
        <v>6</v>
      </c>
      <c r="B267" s="2">
        <v>1200</v>
      </c>
      <c r="C267" s="2">
        <v>5</v>
      </c>
      <c r="D267" s="2" t="s">
        <v>35</v>
      </c>
      <c r="E267" s="3">
        <v>44140</v>
      </c>
      <c r="F267" s="2" t="s">
        <v>87</v>
      </c>
      <c r="G267" s="2" t="s">
        <v>327</v>
      </c>
      <c r="H267" s="2" t="s">
        <v>44</v>
      </c>
      <c r="I267" s="9">
        <v>36724</v>
      </c>
    </row>
    <row r="268" spans="1:9" x14ac:dyDescent="0.25">
      <c r="A268" s="2" t="s">
        <v>23</v>
      </c>
      <c r="B268" s="2">
        <v>1500</v>
      </c>
      <c r="C268" s="2">
        <v>3</v>
      </c>
      <c r="D268" s="2" t="s">
        <v>33</v>
      </c>
      <c r="E268" s="3">
        <v>44103</v>
      </c>
      <c r="F268" s="2" t="s">
        <v>76</v>
      </c>
      <c r="G268" s="2" t="s">
        <v>201</v>
      </c>
      <c r="H268" s="2" t="s">
        <v>49</v>
      </c>
      <c r="I268" s="9">
        <v>24594</v>
      </c>
    </row>
    <row r="269" spans="1:9" x14ac:dyDescent="0.25">
      <c r="A269" s="2" t="s">
        <v>10</v>
      </c>
      <c r="B269" s="2">
        <v>1450</v>
      </c>
      <c r="C269" s="2">
        <v>2</v>
      </c>
      <c r="D269" s="2" t="s">
        <v>38</v>
      </c>
      <c r="E269" s="3">
        <v>44159</v>
      </c>
      <c r="F269" s="2" t="s">
        <v>112</v>
      </c>
      <c r="G269" s="2" t="s">
        <v>77</v>
      </c>
      <c r="H269" s="2" t="s">
        <v>44</v>
      </c>
      <c r="I269" s="9">
        <v>35781</v>
      </c>
    </row>
    <row r="270" spans="1:9" x14ac:dyDescent="0.25">
      <c r="A270" s="2" t="s">
        <v>18</v>
      </c>
      <c r="B270" s="2">
        <v>3000</v>
      </c>
      <c r="C270" s="2">
        <v>3</v>
      </c>
      <c r="D270" s="2" t="s">
        <v>40</v>
      </c>
      <c r="E270" s="3">
        <v>43995</v>
      </c>
      <c r="F270" s="2" t="s">
        <v>173</v>
      </c>
      <c r="G270" s="2" t="s">
        <v>480</v>
      </c>
      <c r="H270" s="2" t="s">
        <v>44</v>
      </c>
      <c r="I270" s="9">
        <v>28612</v>
      </c>
    </row>
    <row r="271" spans="1:9" x14ac:dyDescent="0.25">
      <c r="A271" s="2" t="s">
        <v>14</v>
      </c>
      <c r="B271" s="2">
        <v>2000</v>
      </c>
      <c r="C271" s="2">
        <v>5</v>
      </c>
      <c r="D271" s="2" t="s">
        <v>35</v>
      </c>
      <c r="E271" s="3">
        <v>44138</v>
      </c>
      <c r="F271" s="2" t="s">
        <v>401</v>
      </c>
      <c r="G271" s="2" t="s">
        <v>292</v>
      </c>
      <c r="H271" s="2" t="s">
        <v>49</v>
      </c>
      <c r="I271" s="9">
        <v>21420</v>
      </c>
    </row>
    <row r="272" spans="1:9" x14ac:dyDescent="0.25">
      <c r="A272" s="2" t="s">
        <v>8</v>
      </c>
      <c r="B272" s="2">
        <v>5500</v>
      </c>
      <c r="C272" s="2">
        <v>2</v>
      </c>
      <c r="D272" s="2" t="s">
        <v>38</v>
      </c>
      <c r="E272" s="3">
        <v>43892</v>
      </c>
      <c r="F272" s="2" t="s">
        <v>107</v>
      </c>
      <c r="G272" s="2" t="s">
        <v>340</v>
      </c>
      <c r="H272" s="2" t="s">
        <v>49</v>
      </c>
      <c r="I272" s="9">
        <v>23329</v>
      </c>
    </row>
    <row r="273" spans="1:9" x14ac:dyDescent="0.25">
      <c r="A273" s="2" t="s">
        <v>5</v>
      </c>
      <c r="B273" s="2">
        <v>1750</v>
      </c>
      <c r="C273" s="2">
        <v>1</v>
      </c>
      <c r="D273" s="2" t="s">
        <v>35</v>
      </c>
      <c r="E273" s="3">
        <v>43879</v>
      </c>
      <c r="F273" s="2" t="s">
        <v>214</v>
      </c>
      <c r="G273" s="2" t="s">
        <v>215</v>
      </c>
      <c r="H273" s="2" t="s">
        <v>49</v>
      </c>
      <c r="I273" s="9">
        <v>34667</v>
      </c>
    </row>
    <row r="274" spans="1:9" x14ac:dyDescent="0.25">
      <c r="A274" s="2" t="s">
        <v>14</v>
      </c>
      <c r="B274" s="2">
        <v>2000</v>
      </c>
      <c r="C274" s="2">
        <v>4</v>
      </c>
      <c r="D274" s="2" t="s">
        <v>37</v>
      </c>
      <c r="E274" s="3">
        <v>43842</v>
      </c>
      <c r="F274" s="2" t="s">
        <v>120</v>
      </c>
      <c r="G274" s="2" t="s">
        <v>171</v>
      </c>
      <c r="H274" s="2" t="s">
        <v>44</v>
      </c>
      <c r="I274" s="9">
        <v>26468</v>
      </c>
    </row>
    <row r="275" spans="1:9" x14ac:dyDescent="0.25">
      <c r="A275" s="2" t="s">
        <v>24</v>
      </c>
      <c r="B275" s="2">
        <v>2000</v>
      </c>
      <c r="C275" s="2">
        <v>4</v>
      </c>
      <c r="D275" s="2" t="s">
        <v>32</v>
      </c>
      <c r="E275" s="3">
        <v>44024</v>
      </c>
      <c r="F275" s="2" t="s">
        <v>312</v>
      </c>
      <c r="G275" s="2" t="s">
        <v>63</v>
      </c>
      <c r="H275" s="2" t="s">
        <v>49</v>
      </c>
      <c r="I275" s="9">
        <v>20954</v>
      </c>
    </row>
    <row r="276" spans="1:9" x14ac:dyDescent="0.25">
      <c r="A276" s="2" t="s">
        <v>28</v>
      </c>
      <c r="B276" s="2">
        <v>1400</v>
      </c>
      <c r="C276" s="2">
        <v>2</v>
      </c>
      <c r="D276" s="2" t="s">
        <v>33</v>
      </c>
      <c r="E276" s="3">
        <v>44031</v>
      </c>
      <c r="F276" s="2" t="s">
        <v>179</v>
      </c>
      <c r="G276" s="2" t="s">
        <v>180</v>
      </c>
      <c r="H276" s="2" t="s">
        <v>44</v>
      </c>
      <c r="I276" s="9">
        <v>28082</v>
      </c>
    </row>
    <row r="277" spans="1:9" x14ac:dyDescent="0.25">
      <c r="A277" s="2" t="s">
        <v>8</v>
      </c>
      <c r="B277" s="2">
        <v>5500</v>
      </c>
      <c r="C277" s="2">
        <v>4</v>
      </c>
      <c r="D277" s="2" t="s">
        <v>33</v>
      </c>
      <c r="E277" s="3">
        <v>44162</v>
      </c>
      <c r="F277" s="2" t="s">
        <v>87</v>
      </c>
      <c r="G277" s="2" t="s">
        <v>89</v>
      </c>
      <c r="H277" s="2" t="s">
        <v>44</v>
      </c>
      <c r="I277" s="9">
        <v>28442</v>
      </c>
    </row>
    <row r="278" spans="1:9" x14ac:dyDescent="0.25">
      <c r="A278" s="2" t="s">
        <v>10</v>
      </c>
      <c r="B278" s="2">
        <v>1450</v>
      </c>
      <c r="C278" s="2">
        <v>5</v>
      </c>
      <c r="D278" s="2" t="s">
        <v>32</v>
      </c>
      <c r="E278" s="3">
        <v>43901</v>
      </c>
      <c r="F278" s="2" t="s">
        <v>254</v>
      </c>
      <c r="G278" s="2" t="s">
        <v>255</v>
      </c>
      <c r="H278" s="2" t="s">
        <v>49</v>
      </c>
      <c r="I278" s="9">
        <v>33057</v>
      </c>
    </row>
    <row r="279" spans="1:9" x14ac:dyDescent="0.25">
      <c r="A279" s="2" t="s">
        <v>18</v>
      </c>
      <c r="B279" s="2">
        <v>3000</v>
      </c>
      <c r="C279" s="2">
        <v>4</v>
      </c>
      <c r="D279" s="2" t="s">
        <v>30</v>
      </c>
      <c r="E279" s="3">
        <v>44123</v>
      </c>
      <c r="F279" s="2" t="s">
        <v>252</v>
      </c>
      <c r="G279" s="2" t="s">
        <v>253</v>
      </c>
      <c r="H279" s="2" t="s">
        <v>49</v>
      </c>
      <c r="I279" s="9">
        <v>30654</v>
      </c>
    </row>
    <row r="280" spans="1:9" x14ac:dyDescent="0.25">
      <c r="A280" s="2" t="s">
        <v>26</v>
      </c>
      <c r="B280" s="2">
        <v>1100</v>
      </c>
      <c r="C280" s="2">
        <v>5</v>
      </c>
      <c r="D280" s="2" t="s">
        <v>31</v>
      </c>
      <c r="E280" s="3">
        <v>43922</v>
      </c>
      <c r="F280" s="2" t="s">
        <v>259</v>
      </c>
      <c r="G280" s="2" t="s">
        <v>276</v>
      </c>
      <c r="H280" s="2" t="s">
        <v>49</v>
      </c>
      <c r="I280" s="9">
        <v>25235</v>
      </c>
    </row>
    <row r="281" spans="1:9" x14ac:dyDescent="0.25">
      <c r="A281" s="2" t="s">
        <v>13</v>
      </c>
      <c r="B281" s="2">
        <v>2300</v>
      </c>
      <c r="C281" s="2">
        <v>3</v>
      </c>
      <c r="D281" s="2" t="s">
        <v>35</v>
      </c>
      <c r="E281" s="3">
        <v>43928</v>
      </c>
      <c r="F281" s="2" t="s">
        <v>438</v>
      </c>
      <c r="G281" s="2" t="s">
        <v>123</v>
      </c>
      <c r="H281" s="2" t="s">
        <v>49</v>
      </c>
      <c r="I281" s="9">
        <v>26822</v>
      </c>
    </row>
    <row r="282" spans="1:9" x14ac:dyDescent="0.25">
      <c r="A282" s="2" t="s">
        <v>26</v>
      </c>
      <c r="B282" s="2">
        <v>1100</v>
      </c>
      <c r="C282" s="2">
        <v>5</v>
      </c>
      <c r="D282" s="2" t="s">
        <v>38</v>
      </c>
      <c r="E282" s="3">
        <v>43876</v>
      </c>
      <c r="F282" s="2" t="s">
        <v>190</v>
      </c>
      <c r="G282" s="2" t="s">
        <v>63</v>
      </c>
      <c r="H282" s="2" t="s">
        <v>44</v>
      </c>
      <c r="I282" s="9">
        <v>19333</v>
      </c>
    </row>
    <row r="283" spans="1:9" x14ac:dyDescent="0.25">
      <c r="A283" s="2" t="s">
        <v>20</v>
      </c>
      <c r="B283" s="2">
        <v>2600</v>
      </c>
      <c r="C283" s="2">
        <v>2</v>
      </c>
      <c r="D283" s="2" t="s">
        <v>39</v>
      </c>
      <c r="E283" s="3">
        <v>43944</v>
      </c>
      <c r="F283" s="2" t="s">
        <v>464</v>
      </c>
      <c r="G283" s="2" t="s">
        <v>465</v>
      </c>
      <c r="H283" s="2" t="s">
        <v>49</v>
      </c>
      <c r="I283" s="9">
        <v>35859</v>
      </c>
    </row>
    <row r="284" spans="1:9" x14ac:dyDescent="0.25">
      <c r="A284" s="2" t="s">
        <v>16</v>
      </c>
      <c r="B284" s="2">
        <v>1400</v>
      </c>
      <c r="C284" s="2">
        <v>1</v>
      </c>
      <c r="D284" s="2" t="s">
        <v>29</v>
      </c>
      <c r="E284" s="3">
        <v>43834</v>
      </c>
      <c r="F284" s="2" t="s">
        <v>98</v>
      </c>
      <c r="G284" s="2" t="s">
        <v>511</v>
      </c>
      <c r="H284" s="2" t="s">
        <v>44</v>
      </c>
      <c r="I284" s="9">
        <v>30253</v>
      </c>
    </row>
    <row r="285" spans="1:9" x14ac:dyDescent="0.25">
      <c r="A285" s="2" t="s">
        <v>23</v>
      </c>
      <c r="B285" s="2">
        <v>1500</v>
      </c>
      <c r="C285" s="2">
        <v>3</v>
      </c>
      <c r="D285" s="2" t="s">
        <v>33</v>
      </c>
      <c r="E285" s="3">
        <v>44170</v>
      </c>
      <c r="F285" s="2" t="s">
        <v>460</v>
      </c>
      <c r="G285" s="2" t="s">
        <v>606</v>
      </c>
      <c r="H285" s="2" t="s">
        <v>49</v>
      </c>
      <c r="I285" s="9">
        <v>35669</v>
      </c>
    </row>
    <row r="286" spans="1:9" x14ac:dyDescent="0.25">
      <c r="A286" s="2" t="s">
        <v>15</v>
      </c>
      <c r="B286" s="2">
        <v>1900</v>
      </c>
      <c r="C286" s="2">
        <v>2</v>
      </c>
      <c r="D286" s="2" t="s">
        <v>29</v>
      </c>
      <c r="E286" s="3">
        <v>44146</v>
      </c>
      <c r="F286" s="2" t="s">
        <v>134</v>
      </c>
      <c r="G286" s="2" t="s">
        <v>351</v>
      </c>
      <c r="H286" s="2" t="s">
        <v>49</v>
      </c>
      <c r="I286" s="9">
        <v>26735</v>
      </c>
    </row>
    <row r="287" spans="1:9" x14ac:dyDescent="0.25">
      <c r="A287" s="2" t="s">
        <v>22</v>
      </c>
      <c r="B287" s="2">
        <v>5200</v>
      </c>
      <c r="C287" s="2">
        <v>2</v>
      </c>
      <c r="D287" s="2" t="s">
        <v>39</v>
      </c>
      <c r="E287" s="3">
        <v>43988</v>
      </c>
      <c r="F287" s="2" t="s">
        <v>464</v>
      </c>
      <c r="G287" s="2" t="s">
        <v>465</v>
      </c>
      <c r="H287" s="2" t="s">
        <v>49</v>
      </c>
      <c r="I287" s="9">
        <v>35859</v>
      </c>
    </row>
    <row r="288" spans="1:9" x14ac:dyDescent="0.25">
      <c r="A288" s="2" t="s">
        <v>17</v>
      </c>
      <c r="B288" s="2">
        <v>1550</v>
      </c>
      <c r="C288" s="2">
        <v>1</v>
      </c>
      <c r="D288" s="2" t="s">
        <v>40</v>
      </c>
      <c r="E288" s="3">
        <v>44178</v>
      </c>
      <c r="F288" s="2" t="s">
        <v>629</v>
      </c>
      <c r="G288" s="2" t="s">
        <v>346</v>
      </c>
      <c r="H288" s="2" t="s">
        <v>44</v>
      </c>
      <c r="I288" s="9">
        <v>32927</v>
      </c>
    </row>
    <row r="289" spans="1:9" x14ac:dyDescent="0.25">
      <c r="A289" s="2" t="s">
        <v>8</v>
      </c>
      <c r="B289" s="2">
        <v>5500</v>
      </c>
      <c r="C289" s="2">
        <v>5</v>
      </c>
      <c r="D289" s="2" t="s">
        <v>38</v>
      </c>
      <c r="E289" s="3">
        <v>44144</v>
      </c>
      <c r="F289" s="2" t="s">
        <v>190</v>
      </c>
      <c r="G289" s="2" t="s">
        <v>297</v>
      </c>
      <c r="H289" s="2" t="s">
        <v>44</v>
      </c>
      <c r="I289" s="9">
        <v>24883</v>
      </c>
    </row>
    <row r="290" spans="1:9" x14ac:dyDescent="0.25">
      <c r="A290" s="2" t="s">
        <v>18</v>
      </c>
      <c r="B290" s="2">
        <v>3000</v>
      </c>
      <c r="C290" s="2">
        <v>5</v>
      </c>
      <c r="D290" s="2" t="s">
        <v>34</v>
      </c>
      <c r="E290" s="3">
        <v>44050</v>
      </c>
      <c r="F290" s="2" t="s">
        <v>528</v>
      </c>
      <c r="G290" s="2" t="s">
        <v>345</v>
      </c>
      <c r="H290" s="2" t="s">
        <v>44</v>
      </c>
      <c r="I290" s="9">
        <v>31102</v>
      </c>
    </row>
    <row r="291" spans="1:9" x14ac:dyDescent="0.25">
      <c r="A291" s="2" t="s">
        <v>10</v>
      </c>
      <c r="B291" s="2">
        <v>1450</v>
      </c>
      <c r="C291" s="2">
        <v>4</v>
      </c>
      <c r="D291" s="2" t="s">
        <v>35</v>
      </c>
      <c r="E291" s="3">
        <v>43896</v>
      </c>
      <c r="F291" s="2" t="s">
        <v>134</v>
      </c>
      <c r="G291" s="2" t="s">
        <v>63</v>
      </c>
      <c r="H291" s="2" t="s">
        <v>49</v>
      </c>
      <c r="I291" s="9">
        <v>31125</v>
      </c>
    </row>
    <row r="292" spans="1:9" x14ac:dyDescent="0.25">
      <c r="A292" s="2" t="s">
        <v>25</v>
      </c>
      <c r="B292" s="2">
        <v>2500</v>
      </c>
      <c r="C292" s="2">
        <v>4</v>
      </c>
      <c r="D292" s="2" t="s">
        <v>40</v>
      </c>
      <c r="E292" s="3">
        <v>44036</v>
      </c>
      <c r="F292" s="2" t="s">
        <v>190</v>
      </c>
      <c r="G292" s="2" t="s">
        <v>238</v>
      </c>
      <c r="H292" s="2" t="s">
        <v>44</v>
      </c>
      <c r="I292" s="9">
        <v>25439</v>
      </c>
    </row>
    <row r="293" spans="1:9" x14ac:dyDescent="0.25">
      <c r="A293" s="2" t="s">
        <v>18</v>
      </c>
      <c r="B293" s="2">
        <v>3000</v>
      </c>
      <c r="C293" s="2">
        <v>3</v>
      </c>
      <c r="D293" s="2" t="s">
        <v>41</v>
      </c>
      <c r="E293" s="3">
        <v>44135</v>
      </c>
      <c r="F293" s="2" t="s">
        <v>259</v>
      </c>
      <c r="G293" s="2" t="s">
        <v>346</v>
      </c>
      <c r="H293" s="2" t="s">
        <v>49</v>
      </c>
      <c r="I293" s="9">
        <v>20478</v>
      </c>
    </row>
    <row r="294" spans="1:9" x14ac:dyDescent="0.25">
      <c r="A294" s="2" t="s">
        <v>24</v>
      </c>
      <c r="B294" s="2">
        <v>2000</v>
      </c>
      <c r="C294" s="2">
        <v>4</v>
      </c>
      <c r="D294" s="2" t="s">
        <v>34</v>
      </c>
      <c r="E294" s="3">
        <v>44126</v>
      </c>
      <c r="F294" s="2" t="s">
        <v>165</v>
      </c>
      <c r="G294" s="2" t="s">
        <v>246</v>
      </c>
      <c r="H294" s="2" t="s">
        <v>49</v>
      </c>
      <c r="I294" s="9">
        <v>31238</v>
      </c>
    </row>
    <row r="295" spans="1:9" x14ac:dyDescent="0.25">
      <c r="A295" s="2" t="s">
        <v>20</v>
      </c>
      <c r="B295" s="2">
        <v>2600</v>
      </c>
      <c r="C295" s="2">
        <v>1</v>
      </c>
      <c r="D295" s="2" t="s">
        <v>38</v>
      </c>
      <c r="E295" s="3">
        <v>44014</v>
      </c>
      <c r="F295" s="2" t="s">
        <v>134</v>
      </c>
      <c r="G295" s="2" t="s">
        <v>69</v>
      </c>
      <c r="H295" s="2" t="s">
        <v>49</v>
      </c>
      <c r="I295" s="9">
        <v>19395</v>
      </c>
    </row>
    <row r="296" spans="1:9" x14ac:dyDescent="0.25">
      <c r="A296" s="2" t="s">
        <v>26</v>
      </c>
      <c r="B296" s="2">
        <v>1100</v>
      </c>
      <c r="C296" s="2">
        <v>3</v>
      </c>
      <c r="D296" s="2" t="s">
        <v>41</v>
      </c>
      <c r="E296" s="3">
        <v>44088</v>
      </c>
      <c r="F296" s="2" t="s">
        <v>177</v>
      </c>
      <c r="G296" s="2" t="s">
        <v>543</v>
      </c>
      <c r="H296" s="2" t="s">
        <v>49</v>
      </c>
      <c r="I296" s="9">
        <v>34433</v>
      </c>
    </row>
    <row r="297" spans="1:9" x14ac:dyDescent="0.25">
      <c r="A297" s="2" t="s">
        <v>10</v>
      </c>
      <c r="B297" s="2">
        <v>1450</v>
      </c>
      <c r="C297" s="2">
        <v>5</v>
      </c>
      <c r="D297" s="2" t="s">
        <v>39</v>
      </c>
      <c r="E297" s="3">
        <v>44012</v>
      </c>
      <c r="F297" s="2" t="s">
        <v>381</v>
      </c>
      <c r="G297" s="2" t="s">
        <v>382</v>
      </c>
      <c r="H297" s="2" t="s">
        <v>49</v>
      </c>
      <c r="I297" s="9">
        <v>32482</v>
      </c>
    </row>
    <row r="298" spans="1:9" x14ac:dyDescent="0.25">
      <c r="A298" s="2" t="s">
        <v>19</v>
      </c>
      <c r="B298" s="2">
        <v>700</v>
      </c>
      <c r="C298" s="2">
        <v>3</v>
      </c>
      <c r="D298" s="2" t="s">
        <v>39</v>
      </c>
      <c r="E298" s="3">
        <v>43935</v>
      </c>
      <c r="F298" s="2" t="s">
        <v>224</v>
      </c>
      <c r="G298" s="2" t="s">
        <v>324</v>
      </c>
      <c r="H298" s="2" t="s">
        <v>44</v>
      </c>
      <c r="I298" s="9">
        <v>34650</v>
      </c>
    </row>
    <row r="299" spans="1:9" x14ac:dyDescent="0.25">
      <c r="A299" s="2" t="s">
        <v>6</v>
      </c>
      <c r="B299" s="2">
        <v>1200</v>
      </c>
      <c r="C299" s="2">
        <v>4</v>
      </c>
      <c r="D299" s="2" t="s">
        <v>37</v>
      </c>
      <c r="E299" s="3">
        <v>44179</v>
      </c>
      <c r="F299" s="2" t="s">
        <v>233</v>
      </c>
      <c r="G299" s="2" t="s">
        <v>483</v>
      </c>
      <c r="H299" s="2" t="s">
        <v>49</v>
      </c>
      <c r="I299" s="9">
        <v>23101</v>
      </c>
    </row>
    <row r="300" spans="1:9" x14ac:dyDescent="0.25">
      <c r="A300" s="2" t="s">
        <v>8</v>
      </c>
      <c r="B300" s="2">
        <v>5500</v>
      </c>
      <c r="C300" s="2">
        <v>5</v>
      </c>
      <c r="D300" s="2" t="s">
        <v>37</v>
      </c>
      <c r="E300" s="3">
        <v>43845</v>
      </c>
      <c r="F300" s="2" t="s">
        <v>64</v>
      </c>
      <c r="G300" s="2" t="s">
        <v>622</v>
      </c>
      <c r="H300" s="2" t="s">
        <v>44</v>
      </c>
      <c r="I300" s="9">
        <v>20019</v>
      </c>
    </row>
    <row r="301" spans="1:9" x14ac:dyDescent="0.25">
      <c r="A301" s="2" t="s">
        <v>16</v>
      </c>
      <c r="B301" s="2">
        <v>1400</v>
      </c>
      <c r="C301" s="2">
        <v>2</v>
      </c>
      <c r="D301" s="2" t="s">
        <v>40</v>
      </c>
      <c r="E301" s="3">
        <v>44128</v>
      </c>
      <c r="F301" s="2" t="s">
        <v>438</v>
      </c>
      <c r="G301" s="2" t="s">
        <v>205</v>
      </c>
      <c r="H301" s="2" t="s">
        <v>49</v>
      </c>
      <c r="I301" s="9">
        <v>26729</v>
      </c>
    </row>
    <row r="302" spans="1:9" x14ac:dyDescent="0.25">
      <c r="A302" s="2" t="s">
        <v>16</v>
      </c>
      <c r="B302" s="2">
        <v>1400</v>
      </c>
      <c r="C302" s="2">
        <v>1</v>
      </c>
      <c r="D302" s="2" t="s">
        <v>33</v>
      </c>
      <c r="E302" s="3">
        <v>43970</v>
      </c>
      <c r="F302" s="2" t="s">
        <v>365</v>
      </c>
      <c r="G302" s="2" t="s">
        <v>366</v>
      </c>
      <c r="H302" s="2" t="s">
        <v>49</v>
      </c>
      <c r="I302" s="9">
        <v>29401</v>
      </c>
    </row>
    <row r="303" spans="1:9" x14ac:dyDescent="0.25">
      <c r="A303" s="2" t="s">
        <v>27</v>
      </c>
      <c r="B303" s="2">
        <v>1500</v>
      </c>
      <c r="C303" s="2">
        <v>5</v>
      </c>
      <c r="D303" s="2" t="s">
        <v>40</v>
      </c>
      <c r="E303" s="3">
        <v>44012</v>
      </c>
      <c r="F303" s="2" t="s">
        <v>293</v>
      </c>
      <c r="G303" s="2" t="s">
        <v>63</v>
      </c>
      <c r="H303" s="2" t="s">
        <v>49</v>
      </c>
      <c r="I303" s="9">
        <v>36322</v>
      </c>
    </row>
    <row r="304" spans="1:9" x14ac:dyDescent="0.25">
      <c r="A304" s="2" t="s">
        <v>16</v>
      </c>
      <c r="B304" s="2">
        <v>1400</v>
      </c>
      <c r="C304" s="2">
        <v>3</v>
      </c>
      <c r="D304" s="2" t="s">
        <v>32</v>
      </c>
      <c r="E304" s="3">
        <v>44106</v>
      </c>
      <c r="F304" s="2" t="s">
        <v>217</v>
      </c>
      <c r="G304" s="2" t="s">
        <v>218</v>
      </c>
      <c r="H304" s="2" t="s">
        <v>44</v>
      </c>
      <c r="I304" s="9">
        <v>22207</v>
      </c>
    </row>
    <row r="305" spans="1:9" x14ac:dyDescent="0.25">
      <c r="A305" s="2" t="s">
        <v>15</v>
      </c>
      <c r="B305" s="2">
        <v>1900</v>
      </c>
      <c r="C305" s="2">
        <v>3</v>
      </c>
      <c r="D305" s="2" t="s">
        <v>40</v>
      </c>
      <c r="E305" s="3">
        <v>44025</v>
      </c>
      <c r="F305" s="2" t="s">
        <v>124</v>
      </c>
      <c r="G305" s="2" t="s">
        <v>152</v>
      </c>
      <c r="H305" s="2" t="s">
        <v>44</v>
      </c>
      <c r="I305" s="9">
        <v>26019</v>
      </c>
    </row>
    <row r="306" spans="1:9" x14ac:dyDescent="0.25">
      <c r="A306" s="2" t="s">
        <v>26</v>
      </c>
      <c r="B306" s="2">
        <v>1100</v>
      </c>
      <c r="C306" s="2">
        <v>1</v>
      </c>
      <c r="D306" s="2" t="s">
        <v>36</v>
      </c>
      <c r="E306" s="3">
        <v>43839</v>
      </c>
      <c r="F306" s="2" t="s">
        <v>239</v>
      </c>
      <c r="G306" s="2" t="s">
        <v>152</v>
      </c>
      <c r="H306" s="2" t="s">
        <v>49</v>
      </c>
      <c r="I306" s="9">
        <v>32841</v>
      </c>
    </row>
    <row r="307" spans="1:9" x14ac:dyDescent="0.25">
      <c r="A307" s="2" t="s">
        <v>20</v>
      </c>
      <c r="B307" s="2">
        <v>2600</v>
      </c>
      <c r="C307" s="2">
        <v>3</v>
      </c>
      <c r="D307" s="2" t="s">
        <v>35</v>
      </c>
      <c r="E307" s="3">
        <v>44093</v>
      </c>
      <c r="F307" s="2" t="s">
        <v>239</v>
      </c>
      <c r="G307" s="2" t="s">
        <v>561</v>
      </c>
      <c r="H307" s="2" t="s">
        <v>49</v>
      </c>
      <c r="I307" s="9">
        <v>36390</v>
      </c>
    </row>
    <row r="308" spans="1:9" x14ac:dyDescent="0.25">
      <c r="A308" s="2" t="s">
        <v>13</v>
      </c>
      <c r="B308" s="2">
        <v>2300</v>
      </c>
      <c r="C308" s="2">
        <v>5</v>
      </c>
      <c r="D308" s="2" t="s">
        <v>31</v>
      </c>
      <c r="E308" s="3">
        <v>44127</v>
      </c>
      <c r="F308" s="2" t="s">
        <v>605</v>
      </c>
      <c r="G308" s="2" t="s">
        <v>380</v>
      </c>
      <c r="H308" s="2" t="s">
        <v>49</v>
      </c>
      <c r="I308" s="9">
        <v>33869</v>
      </c>
    </row>
    <row r="309" spans="1:9" x14ac:dyDescent="0.25">
      <c r="A309" s="2" t="s">
        <v>14</v>
      </c>
      <c r="B309" s="2">
        <v>2000</v>
      </c>
      <c r="C309" s="2">
        <v>5</v>
      </c>
      <c r="D309" s="2" t="s">
        <v>35</v>
      </c>
      <c r="E309" s="3">
        <v>44097</v>
      </c>
      <c r="F309" s="2" t="s">
        <v>630</v>
      </c>
      <c r="G309" s="2" t="s">
        <v>631</v>
      </c>
      <c r="H309" s="2" t="s">
        <v>49</v>
      </c>
      <c r="I309" s="9">
        <v>36082</v>
      </c>
    </row>
    <row r="310" spans="1:9" x14ac:dyDescent="0.25">
      <c r="A310" s="2" t="s">
        <v>12</v>
      </c>
      <c r="B310" s="2">
        <v>6500</v>
      </c>
      <c r="C310" s="2">
        <v>1</v>
      </c>
      <c r="D310" s="2" t="s">
        <v>38</v>
      </c>
      <c r="E310" s="3">
        <v>44044</v>
      </c>
      <c r="F310" s="2" t="s">
        <v>361</v>
      </c>
      <c r="G310" s="2" t="s">
        <v>203</v>
      </c>
      <c r="H310" s="2" t="s">
        <v>49</v>
      </c>
      <c r="I310" s="9">
        <v>36075</v>
      </c>
    </row>
    <row r="311" spans="1:9" x14ac:dyDescent="0.25">
      <c r="A311" s="2" t="s">
        <v>25</v>
      </c>
      <c r="B311" s="2">
        <v>2500</v>
      </c>
      <c r="C311" s="2">
        <v>5</v>
      </c>
      <c r="D311" s="2" t="s">
        <v>40</v>
      </c>
      <c r="E311" s="3">
        <v>43971</v>
      </c>
      <c r="F311" s="2" t="s">
        <v>80</v>
      </c>
      <c r="G311" s="2" t="s">
        <v>75</v>
      </c>
      <c r="H311" s="2" t="s">
        <v>44</v>
      </c>
      <c r="I311" s="9">
        <v>32180</v>
      </c>
    </row>
    <row r="312" spans="1:9" x14ac:dyDescent="0.25">
      <c r="A312" s="2" t="s">
        <v>6</v>
      </c>
      <c r="B312" s="2">
        <v>1200</v>
      </c>
      <c r="C312" s="2">
        <v>4</v>
      </c>
      <c r="D312" s="2" t="s">
        <v>39</v>
      </c>
      <c r="E312" s="3">
        <v>43923</v>
      </c>
      <c r="F312" s="2" t="s">
        <v>137</v>
      </c>
      <c r="G312" s="2" t="s">
        <v>360</v>
      </c>
      <c r="H312" s="2" t="s">
        <v>49</v>
      </c>
      <c r="I312" s="9">
        <v>34218</v>
      </c>
    </row>
    <row r="313" spans="1:9" x14ac:dyDescent="0.25">
      <c r="A313" s="2" t="s">
        <v>10</v>
      </c>
      <c r="B313" s="2">
        <v>1450</v>
      </c>
      <c r="C313" s="2">
        <v>5</v>
      </c>
      <c r="D313" s="2" t="s">
        <v>29</v>
      </c>
      <c r="E313" s="3">
        <v>44166</v>
      </c>
      <c r="F313" s="2" t="s">
        <v>589</v>
      </c>
      <c r="G313" s="2" t="s">
        <v>586</v>
      </c>
      <c r="H313" s="2" t="s">
        <v>44</v>
      </c>
      <c r="I313" s="9">
        <v>20204</v>
      </c>
    </row>
    <row r="314" spans="1:9" x14ac:dyDescent="0.25">
      <c r="A314" s="2" t="s">
        <v>7</v>
      </c>
      <c r="B314" s="2">
        <v>750</v>
      </c>
      <c r="C314" s="2">
        <v>5</v>
      </c>
      <c r="D314" s="2" t="s">
        <v>38</v>
      </c>
      <c r="E314" s="3">
        <v>43956</v>
      </c>
      <c r="F314" s="2" t="s">
        <v>216</v>
      </c>
      <c r="G314" s="2" t="s">
        <v>502</v>
      </c>
      <c r="H314" s="2" t="s">
        <v>44</v>
      </c>
      <c r="I314" s="9">
        <v>18757</v>
      </c>
    </row>
    <row r="315" spans="1:9" x14ac:dyDescent="0.25">
      <c r="A315" s="2" t="s">
        <v>5</v>
      </c>
      <c r="B315" s="2">
        <v>1750</v>
      </c>
      <c r="C315" s="2">
        <v>3</v>
      </c>
      <c r="D315" s="2" t="s">
        <v>36</v>
      </c>
      <c r="E315" s="3">
        <v>44054</v>
      </c>
      <c r="F315" s="2" t="s">
        <v>258</v>
      </c>
      <c r="G315" s="2" t="s">
        <v>174</v>
      </c>
      <c r="H315" s="2" t="s">
        <v>49</v>
      </c>
      <c r="I315" s="9">
        <v>33289</v>
      </c>
    </row>
    <row r="316" spans="1:9" x14ac:dyDescent="0.25">
      <c r="A316" s="2" t="s">
        <v>10</v>
      </c>
      <c r="B316" s="2">
        <v>1450</v>
      </c>
      <c r="C316" s="2">
        <v>3</v>
      </c>
      <c r="D316" s="2" t="s">
        <v>32</v>
      </c>
      <c r="E316" s="3">
        <v>43892</v>
      </c>
      <c r="F316" s="2" t="s">
        <v>247</v>
      </c>
      <c r="G316" s="2" t="s">
        <v>308</v>
      </c>
      <c r="H316" s="2" t="s">
        <v>44</v>
      </c>
      <c r="I316" s="9">
        <v>20824</v>
      </c>
    </row>
    <row r="317" spans="1:9" x14ac:dyDescent="0.25">
      <c r="A317" s="2" t="s">
        <v>28</v>
      </c>
      <c r="B317" s="2">
        <v>1400</v>
      </c>
      <c r="C317" s="2">
        <v>3</v>
      </c>
      <c r="D317" s="2" t="s">
        <v>40</v>
      </c>
      <c r="E317" s="3">
        <v>43840</v>
      </c>
      <c r="F317" s="2" t="s">
        <v>129</v>
      </c>
      <c r="G317" s="2" t="s">
        <v>273</v>
      </c>
      <c r="H317" s="2" t="s">
        <v>49</v>
      </c>
      <c r="I317" s="9">
        <v>25858</v>
      </c>
    </row>
    <row r="318" spans="1:9" x14ac:dyDescent="0.25">
      <c r="A318" s="2" t="s">
        <v>24</v>
      </c>
      <c r="B318" s="2">
        <v>2000</v>
      </c>
      <c r="C318" s="2">
        <v>4</v>
      </c>
      <c r="D318" s="2" t="s">
        <v>41</v>
      </c>
      <c r="E318" s="3">
        <v>43990</v>
      </c>
      <c r="F318" s="2" t="s">
        <v>190</v>
      </c>
      <c r="G318" s="2" t="s">
        <v>174</v>
      </c>
      <c r="H318" s="2" t="s">
        <v>44</v>
      </c>
      <c r="I318" s="9">
        <v>22769</v>
      </c>
    </row>
    <row r="319" spans="1:9" x14ac:dyDescent="0.25">
      <c r="A319" s="2" t="s">
        <v>17</v>
      </c>
      <c r="B319" s="2">
        <v>1550</v>
      </c>
      <c r="C319" s="2">
        <v>3</v>
      </c>
      <c r="D319" s="2" t="s">
        <v>29</v>
      </c>
      <c r="E319" s="3">
        <v>43998</v>
      </c>
      <c r="F319" s="2" t="s">
        <v>466</v>
      </c>
      <c r="G319" s="2" t="s">
        <v>380</v>
      </c>
      <c r="H319" s="2" t="s">
        <v>49</v>
      </c>
      <c r="I319" s="9">
        <v>36283</v>
      </c>
    </row>
    <row r="320" spans="1:9" x14ac:dyDescent="0.25">
      <c r="A320" s="2" t="s">
        <v>22</v>
      </c>
      <c r="B320" s="2">
        <v>5200</v>
      </c>
      <c r="C320" s="2">
        <v>3</v>
      </c>
      <c r="D320" s="2" t="s">
        <v>40</v>
      </c>
      <c r="E320" s="3">
        <v>44096</v>
      </c>
      <c r="F320" s="2" t="s">
        <v>438</v>
      </c>
      <c r="G320" s="2" t="s">
        <v>205</v>
      </c>
      <c r="H320" s="2" t="s">
        <v>49</v>
      </c>
      <c r="I320" s="9">
        <v>26729</v>
      </c>
    </row>
    <row r="321" spans="1:9" x14ac:dyDescent="0.25">
      <c r="A321" s="2" t="s">
        <v>6</v>
      </c>
      <c r="B321" s="2">
        <v>1200</v>
      </c>
      <c r="C321" s="2">
        <v>2</v>
      </c>
      <c r="D321" s="2" t="s">
        <v>38</v>
      </c>
      <c r="E321" s="3">
        <v>44025</v>
      </c>
      <c r="F321" s="2" t="s">
        <v>107</v>
      </c>
      <c r="G321" s="2" t="s">
        <v>67</v>
      </c>
      <c r="H321" s="2" t="s">
        <v>49</v>
      </c>
      <c r="I321" s="9">
        <v>31355</v>
      </c>
    </row>
    <row r="322" spans="1:9" x14ac:dyDescent="0.25">
      <c r="A322" s="2" t="s">
        <v>27</v>
      </c>
      <c r="B322" s="2">
        <v>1500</v>
      </c>
      <c r="C322" s="2">
        <v>1</v>
      </c>
      <c r="D322" s="2" t="s">
        <v>38</v>
      </c>
      <c r="E322" s="3">
        <v>44072</v>
      </c>
      <c r="F322" s="2" t="s">
        <v>233</v>
      </c>
      <c r="G322" s="2" t="s">
        <v>157</v>
      </c>
      <c r="H322" s="2" t="s">
        <v>49</v>
      </c>
      <c r="I322" s="9">
        <v>35651</v>
      </c>
    </row>
    <row r="323" spans="1:9" x14ac:dyDescent="0.25">
      <c r="A323" s="2" t="s">
        <v>8</v>
      </c>
      <c r="B323" s="2">
        <v>5500</v>
      </c>
      <c r="C323" s="2">
        <v>5</v>
      </c>
      <c r="D323" s="2" t="s">
        <v>29</v>
      </c>
      <c r="E323" s="3">
        <v>44088</v>
      </c>
      <c r="F323" s="2" t="s">
        <v>161</v>
      </c>
      <c r="G323" s="2" t="s">
        <v>538</v>
      </c>
      <c r="H323" s="2" t="s">
        <v>49</v>
      </c>
      <c r="I323" s="9">
        <v>18543</v>
      </c>
    </row>
    <row r="324" spans="1:9" x14ac:dyDescent="0.25">
      <c r="A324" s="2" t="s">
        <v>13</v>
      </c>
      <c r="B324" s="2">
        <v>2300</v>
      </c>
      <c r="C324" s="2">
        <v>5</v>
      </c>
      <c r="D324" s="2" t="s">
        <v>35</v>
      </c>
      <c r="E324" s="3">
        <v>43831</v>
      </c>
      <c r="F324" s="2" t="s">
        <v>87</v>
      </c>
      <c r="G324" s="2" t="s">
        <v>327</v>
      </c>
      <c r="H324" s="2" t="s">
        <v>44</v>
      </c>
      <c r="I324" s="9">
        <v>36724</v>
      </c>
    </row>
    <row r="325" spans="1:9" x14ac:dyDescent="0.25">
      <c r="A325" s="2" t="s">
        <v>26</v>
      </c>
      <c r="B325" s="2">
        <v>1100</v>
      </c>
      <c r="C325" s="2">
        <v>1</v>
      </c>
      <c r="D325" s="2" t="s">
        <v>32</v>
      </c>
      <c r="E325" s="3">
        <v>43889</v>
      </c>
      <c r="F325" s="2" t="s">
        <v>420</v>
      </c>
      <c r="G325" s="2" t="s">
        <v>421</v>
      </c>
      <c r="H325" s="2" t="s">
        <v>44</v>
      </c>
      <c r="I325" s="9">
        <v>36441</v>
      </c>
    </row>
    <row r="326" spans="1:9" x14ac:dyDescent="0.25">
      <c r="A326" s="2" t="s">
        <v>19</v>
      </c>
      <c r="B326" s="2">
        <v>700</v>
      </c>
      <c r="C326" s="2">
        <v>5</v>
      </c>
      <c r="D326" s="2" t="s">
        <v>33</v>
      </c>
      <c r="E326" s="3">
        <v>44050</v>
      </c>
      <c r="F326" s="2" t="s">
        <v>42</v>
      </c>
      <c r="G326" s="2" t="s">
        <v>459</v>
      </c>
      <c r="H326" s="2" t="s">
        <v>44</v>
      </c>
      <c r="I326" s="9">
        <v>30122</v>
      </c>
    </row>
    <row r="327" spans="1:9" x14ac:dyDescent="0.25">
      <c r="A327" s="2" t="s">
        <v>28</v>
      </c>
      <c r="B327" s="2">
        <v>1400</v>
      </c>
      <c r="C327" s="2">
        <v>1</v>
      </c>
      <c r="D327" s="2" t="s">
        <v>38</v>
      </c>
      <c r="E327" s="3">
        <v>44192</v>
      </c>
      <c r="F327" s="2" t="s">
        <v>259</v>
      </c>
      <c r="G327" s="2" t="s">
        <v>576</v>
      </c>
      <c r="H327" s="2" t="s">
        <v>49</v>
      </c>
      <c r="I327" s="9">
        <v>34081</v>
      </c>
    </row>
    <row r="328" spans="1:9" x14ac:dyDescent="0.25">
      <c r="A328" s="2" t="s">
        <v>26</v>
      </c>
      <c r="B328" s="2">
        <v>1100</v>
      </c>
      <c r="C328" s="2">
        <v>5</v>
      </c>
      <c r="D328" s="2" t="s">
        <v>33</v>
      </c>
      <c r="E328" s="3">
        <v>43885</v>
      </c>
      <c r="F328" s="2" t="s">
        <v>87</v>
      </c>
      <c r="G328" s="2" t="s">
        <v>358</v>
      </c>
      <c r="H328" s="2" t="s">
        <v>44</v>
      </c>
      <c r="I328" s="9">
        <v>28276</v>
      </c>
    </row>
    <row r="329" spans="1:9" x14ac:dyDescent="0.25">
      <c r="A329" s="2" t="s">
        <v>23</v>
      </c>
      <c r="B329" s="2">
        <v>1500</v>
      </c>
      <c r="C329" s="2">
        <v>2</v>
      </c>
      <c r="D329" s="2" t="s">
        <v>29</v>
      </c>
      <c r="E329" s="3">
        <v>44161</v>
      </c>
      <c r="F329" s="2" t="s">
        <v>328</v>
      </c>
      <c r="G329" s="2" t="s">
        <v>157</v>
      </c>
      <c r="H329" s="2" t="s">
        <v>49</v>
      </c>
      <c r="I329" s="9">
        <v>35120</v>
      </c>
    </row>
    <row r="330" spans="1:9" x14ac:dyDescent="0.25">
      <c r="A330" s="2" t="s">
        <v>8</v>
      </c>
      <c r="B330" s="2">
        <v>5500</v>
      </c>
      <c r="C330" s="2">
        <v>2</v>
      </c>
      <c r="D330" s="2" t="s">
        <v>34</v>
      </c>
      <c r="E330" s="3">
        <v>44077</v>
      </c>
      <c r="F330" s="2" t="s">
        <v>275</v>
      </c>
      <c r="G330" s="2" t="s">
        <v>276</v>
      </c>
      <c r="H330" s="2" t="s">
        <v>49</v>
      </c>
      <c r="I330" s="9">
        <v>21396</v>
      </c>
    </row>
    <row r="331" spans="1:9" x14ac:dyDescent="0.25">
      <c r="A331" s="2" t="s">
        <v>13</v>
      </c>
      <c r="B331" s="2">
        <v>2300</v>
      </c>
      <c r="C331" s="2">
        <v>4</v>
      </c>
      <c r="D331" s="2" t="s">
        <v>33</v>
      </c>
      <c r="E331" s="3">
        <v>43954</v>
      </c>
      <c r="F331" s="2" t="s">
        <v>527</v>
      </c>
      <c r="G331" s="2" t="s">
        <v>209</v>
      </c>
      <c r="H331" s="2" t="s">
        <v>49</v>
      </c>
      <c r="I331" s="9">
        <v>28647</v>
      </c>
    </row>
    <row r="332" spans="1:9" x14ac:dyDescent="0.25">
      <c r="A332" s="2" t="s">
        <v>12</v>
      </c>
      <c r="B332" s="2">
        <v>6500</v>
      </c>
      <c r="C332" s="2">
        <v>1</v>
      </c>
      <c r="D332" s="2" t="s">
        <v>41</v>
      </c>
      <c r="E332" s="3">
        <v>44158</v>
      </c>
      <c r="F332" s="2" t="s">
        <v>396</v>
      </c>
      <c r="G332" s="2" t="s">
        <v>397</v>
      </c>
      <c r="H332" s="2" t="s">
        <v>49</v>
      </c>
      <c r="I332" s="9">
        <v>18731</v>
      </c>
    </row>
    <row r="333" spans="1:9" x14ac:dyDescent="0.25">
      <c r="A333" s="2" t="s">
        <v>23</v>
      </c>
      <c r="B333" s="2">
        <v>1500</v>
      </c>
      <c r="C333" s="2">
        <v>1</v>
      </c>
      <c r="D333" s="2" t="s">
        <v>33</v>
      </c>
      <c r="E333" s="3">
        <v>44178</v>
      </c>
      <c r="F333" s="2" t="s">
        <v>98</v>
      </c>
      <c r="G333" s="2" t="s">
        <v>613</v>
      </c>
      <c r="H333" s="2" t="s">
        <v>44</v>
      </c>
      <c r="I333" s="9">
        <v>30574</v>
      </c>
    </row>
    <row r="334" spans="1:9" x14ac:dyDescent="0.25">
      <c r="A334" s="2" t="s">
        <v>10</v>
      </c>
      <c r="B334" s="2">
        <v>1450</v>
      </c>
      <c r="C334" s="2">
        <v>1</v>
      </c>
      <c r="D334" s="2" t="s">
        <v>29</v>
      </c>
      <c r="E334" s="3">
        <v>43863</v>
      </c>
      <c r="F334" s="2" t="s">
        <v>347</v>
      </c>
      <c r="G334" s="2" t="s">
        <v>550</v>
      </c>
      <c r="H334" s="2" t="s">
        <v>49</v>
      </c>
      <c r="I334" s="9">
        <v>35649</v>
      </c>
    </row>
    <row r="335" spans="1:9" x14ac:dyDescent="0.25">
      <c r="A335" s="2" t="s">
        <v>21</v>
      </c>
      <c r="B335" s="2">
        <v>2400</v>
      </c>
      <c r="C335" s="2">
        <v>2</v>
      </c>
      <c r="D335" s="2" t="s">
        <v>33</v>
      </c>
      <c r="E335" s="3">
        <v>44092</v>
      </c>
      <c r="F335" s="2" t="s">
        <v>116</v>
      </c>
      <c r="G335" s="2" t="s">
        <v>117</v>
      </c>
      <c r="H335" s="2" t="s">
        <v>44</v>
      </c>
      <c r="I335" s="9">
        <v>27681</v>
      </c>
    </row>
    <row r="336" spans="1:9" x14ac:dyDescent="0.25">
      <c r="A336" s="2" t="s">
        <v>28</v>
      </c>
      <c r="B336" s="2">
        <v>1400</v>
      </c>
      <c r="C336" s="2">
        <v>2</v>
      </c>
      <c r="D336" s="2" t="s">
        <v>37</v>
      </c>
      <c r="E336" s="3">
        <v>44135</v>
      </c>
      <c r="F336" s="2" t="s">
        <v>137</v>
      </c>
      <c r="G336" s="2" t="s">
        <v>200</v>
      </c>
      <c r="H336" s="2" t="s">
        <v>49</v>
      </c>
      <c r="I336" s="9">
        <v>21494</v>
      </c>
    </row>
    <row r="337" spans="1:9" x14ac:dyDescent="0.25">
      <c r="A337" s="2" t="s">
        <v>17</v>
      </c>
      <c r="B337" s="2">
        <v>1550</v>
      </c>
      <c r="C337" s="2">
        <v>1</v>
      </c>
      <c r="D337" s="2" t="s">
        <v>32</v>
      </c>
      <c r="E337" s="3">
        <v>43873</v>
      </c>
      <c r="F337" s="2" t="s">
        <v>190</v>
      </c>
      <c r="G337" s="2" t="s">
        <v>246</v>
      </c>
      <c r="H337" s="2" t="s">
        <v>44</v>
      </c>
      <c r="I337" s="9">
        <v>30077</v>
      </c>
    </row>
    <row r="338" spans="1:9" x14ac:dyDescent="0.25">
      <c r="A338" s="2" t="s">
        <v>7</v>
      </c>
      <c r="B338" s="2">
        <v>750</v>
      </c>
      <c r="C338" s="2">
        <v>4</v>
      </c>
      <c r="D338" s="2" t="s">
        <v>30</v>
      </c>
      <c r="E338" s="3">
        <v>44026</v>
      </c>
      <c r="F338" s="2" t="s">
        <v>260</v>
      </c>
      <c r="G338" s="2" t="s">
        <v>261</v>
      </c>
      <c r="H338" s="2" t="s">
        <v>49</v>
      </c>
      <c r="I338" s="9">
        <v>33035</v>
      </c>
    </row>
    <row r="339" spans="1:9" x14ac:dyDescent="0.25">
      <c r="A339" s="2" t="s">
        <v>15</v>
      </c>
      <c r="B339" s="2">
        <v>1900</v>
      </c>
      <c r="C339" s="2">
        <v>3</v>
      </c>
      <c r="D339" s="2" t="s">
        <v>39</v>
      </c>
      <c r="E339" s="3">
        <v>43892</v>
      </c>
      <c r="F339" s="2" t="s">
        <v>356</v>
      </c>
      <c r="G339" s="2" t="s">
        <v>463</v>
      </c>
      <c r="H339" s="2" t="s">
        <v>49</v>
      </c>
      <c r="I339" s="9">
        <v>35222</v>
      </c>
    </row>
    <row r="340" spans="1:9" x14ac:dyDescent="0.25">
      <c r="A340" s="2" t="s">
        <v>5</v>
      </c>
      <c r="B340" s="2">
        <v>1750</v>
      </c>
      <c r="C340" s="2">
        <v>3</v>
      </c>
      <c r="D340" s="2" t="s">
        <v>33</v>
      </c>
      <c r="E340" s="3">
        <v>43951</v>
      </c>
      <c r="F340" s="2" t="s">
        <v>98</v>
      </c>
      <c r="G340" s="2" t="s">
        <v>613</v>
      </c>
      <c r="H340" s="2" t="s">
        <v>44</v>
      </c>
      <c r="I340" s="9">
        <v>30574</v>
      </c>
    </row>
    <row r="341" spans="1:9" x14ac:dyDescent="0.25">
      <c r="A341" s="2" t="s">
        <v>17</v>
      </c>
      <c r="B341" s="2">
        <v>1550</v>
      </c>
      <c r="C341" s="2">
        <v>2</v>
      </c>
      <c r="D341" s="2" t="s">
        <v>37</v>
      </c>
      <c r="E341" s="3">
        <v>43861</v>
      </c>
      <c r="F341" s="2" t="s">
        <v>111</v>
      </c>
      <c r="G341" s="2" t="s">
        <v>113</v>
      </c>
      <c r="H341" s="2" t="s">
        <v>44</v>
      </c>
      <c r="I341" s="9">
        <v>31244</v>
      </c>
    </row>
    <row r="342" spans="1:9" x14ac:dyDescent="0.25">
      <c r="A342" s="2" t="s">
        <v>13</v>
      </c>
      <c r="B342" s="2">
        <v>2300</v>
      </c>
      <c r="C342" s="2">
        <v>4</v>
      </c>
      <c r="D342" s="2" t="s">
        <v>36</v>
      </c>
      <c r="E342" s="3">
        <v>43954</v>
      </c>
      <c r="F342" s="2" t="s">
        <v>514</v>
      </c>
      <c r="G342" s="2" t="s">
        <v>100</v>
      </c>
      <c r="H342" s="2" t="s">
        <v>44</v>
      </c>
      <c r="I342" s="9">
        <v>20777</v>
      </c>
    </row>
    <row r="343" spans="1:9" x14ac:dyDescent="0.25">
      <c r="A343" s="2" t="s">
        <v>18</v>
      </c>
      <c r="B343" s="2">
        <v>3000</v>
      </c>
      <c r="C343" s="2">
        <v>5</v>
      </c>
      <c r="D343" s="2" t="s">
        <v>39</v>
      </c>
      <c r="E343" s="3">
        <v>44092</v>
      </c>
      <c r="F343" s="2" t="s">
        <v>224</v>
      </c>
      <c r="G343" s="2" t="s">
        <v>324</v>
      </c>
      <c r="H343" s="2" t="s">
        <v>44</v>
      </c>
      <c r="I343" s="9">
        <v>34650</v>
      </c>
    </row>
    <row r="344" spans="1:9" x14ac:dyDescent="0.25">
      <c r="A344" s="2" t="s">
        <v>5</v>
      </c>
      <c r="B344" s="2">
        <v>1750</v>
      </c>
      <c r="C344" s="2">
        <v>5</v>
      </c>
      <c r="D344" s="2" t="s">
        <v>32</v>
      </c>
      <c r="E344" s="3">
        <v>43856</v>
      </c>
      <c r="F344" s="2" t="s">
        <v>109</v>
      </c>
      <c r="G344" s="2" t="s">
        <v>337</v>
      </c>
      <c r="H344" s="2" t="s">
        <v>44</v>
      </c>
      <c r="I344" s="9">
        <v>28472</v>
      </c>
    </row>
    <row r="345" spans="1:9" x14ac:dyDescent="0.25">
      <c r="A345" s="2" t="s">
        <v>10</v>
      </c>
      <c r="B345" s="2">
        <v>1450</v>
      </c>
      <c r="C345" s="2">
        <v>4</v>
      </c>
      <c r="D345" s="2" t="s">
        <v>33</v>
      </c>
      <c r="E345" s="3">
        <v>43993</v>
      </c>
      <c r="F345" s="2" t="s">
        <v>571</v>
      </c>
      <c r="G345" s="2" t="s">
        <v>474</v>
      </c>
      <c r="H345" s="2" t="s">
        <v>49</v>
      </c>
      <c r="I345" s="9">
        <v>21750</v>
      </c>
    </row>
    <row r="346" spans="1:9" x14ac:dyDescent="0.25">
      <c r="A346" s="2" t="s">
        <v>11</v>
      </c>
      <c r="B346" s="2">
        <v>4500</v>
      </c>
      <c r="C346" s="2">
        <v>1</v>
      </c>
      <c r="D346" s="2" t="s">
        <v>40</v>
      </c>
      <c r="E346" s="3">
        <v>44181</v>
      </c>
      <c r="F346" s="2" t="s">
        <v>104</v>
      </c>
      <c r="G346" s="2" t="s">
        <v>105</v>
      </c>
      <c r="H346" s="2" t="s">
        <v>44</v>
      </c>
      <c r="I346" s="9">
        <v>33789</v>
      </c>
    </row>
    <row r="347" spans="1:9" x14ac:dyDescent="0.25">
      <c r="A347" s="2" t="s">
        <v>19</v>
      </c>
      <c r="B347" s="2">
        <v>700</v>
      </c>
      <c r="C347" s="2">
        <v>4</v>
      </c>
      <c r="D347" s="2" t="s">
        <v>40</v>
      </c>
      <c r="E347" s="3">
        <v>44127</v>
      </c>
      <c r="F347" s="2" t="s">
        <v>551</v>
      </c>
      <c r="G347" s="2" t="s">
        <v>526</v>
      </c>
      <c r="H347" s="2" t="s">
        <v>44</v>
      </c>
      <c r="I347" s="9">
        <v>34549</v>
      </c>
    </row>
    <row r="348" spans="1:9" x14ac:dyDescent="0.25">
      <c r="A348" s="2" t="s">
        <v>20</v>
      </c>
      <c r="B348" s="2">
        <v>2600</v>
      </c>
      <c r="C348" s="2">
        <v>1</v>
      </c>
      <c r="D348" s="2" t="s">
        <v>36</v>
      </c>
      <c r="E348" s="3">
        <v>44156</v>
      </c>
      <c r="F348" s="2" t="s">
        <v>233</v>
      </c>
      <c r="G348" s="2" t="s">
        <v>93</v>
      </c>
      <c r="H348" s="2" t="s">
        <v>49</v>
      </c>
      <c r="I348" s="9">
        <v>18972</v>
      </c>
    </row>
    <row r="349" spans="1:9" x14ac:dyDescent="0.25">
      <c r="A349" s="2" t="s">
        <v>6</v>
      </c>
      <c r="B349" s="2">
        <v>1200</v>
      </c>
      <c r="C349" s="2">
        <v>2</v>
      </c>
      <c r="D349" s="2" t="s">
        <v>38</v>
      </c>
      <c r="E349" s="3">
        <v>43893</v>
      </c>
      <c r="F349" s="2" t="s">
        <v>190</v>
      </c>
      <c r="G349" s="2" t="s">
        <v>297</v>
      </c>
      <c r="H349" s="2" t="s">
        <v>44</v>
      </c>
      <c r="I349" s="9">
        <v>24883</v>
      </c>
    </row>
    <row r="350" spans="1:9" x14ac:dyDescent="0.25">
      <c r="A350" s="2" t="s">
        <v>18</v>
      </c>
      <c r="B350" s="2">
        <v>3000</v>
      </c>
      <c r="C350" s="2">
        <v>3</v>
      </c>
      <c r="D350" s="2" t="s">
        <v>30</v>
      </c>
      <c r="E350" s="3">
        <v>44150</v>
      </c>
      <c r="F350" s="2" t="s">
        <v>107</v>
      </c>
      <c r="G350" s="2" t="s">
        <v>63</v>
      </c>
      <c r="H350" s="2" t="s">
        <v>49</v>
      </c>
      <c r="I350" s="9">
        <v>29503</v>
      </c>
    </row>
    <row r="351" spans="1:9" x14ac:dyDescent="0.25">
      <c r="A351" s="2" t="s">
        <v>16</v>
      </c>
      <c r="B351" s="2">
        <v>1400</v>
      </c>
      <c r="C351" s="2">
        <v>4</v>
      </c>
      <c r="D351" s="2" t="s">
        <v>34</v>
      </c>
      <c r="E351" s="3">
        <v>44031</v>
      </c>
      <c r="F351" s="2" t="s">
        <v>88</v>
      </c>
      <c r="G351" s="2" t="s">
        <v>89</v>
      </c>
      <c r="H351" s="2" t="s">
        <v>44</v>
      </c>
      <c r="I351" s="9">
        <v>20008</v>
      </c>
    </row>
    <row r="352" spans="1:9" x14ac:dyDescent="0.25">
      <c r="A352" s="2" t="s">
        <v>24</v>
      </c>
      <c r="B352" s="2">
        <v>2000</v>
      </c>
      <c r="C352" s="2">
        <v>5</v>
      </c>
      <c r="D352" s="2" t="s">
        <v>37</v>
      </c>
      <c r="E352" s="3">
        <v>43860</v>
      </c>
      <c r="F352" s="2" t="s">
        <v>512</v>
      </c>
      <c r="G352" s="2" t="s">
        <v>198</v>
      </c>
      <c r="H352" s="2" t="s">
        <v>44</v>
      </c>
      <c r="I352" s="9">
        <v>32916</v>
      </c>
    </row>
    <row r="353" spans="1:9" x14ac:dyDescent="0.25">
      <c r="A353" s="2" t="s">
        <v>7</v>
      </c>
      <c r="B353" s="2">
        <v>750</v>
      </c>
      <c r="C353" s="2">
        <v>1</v>
      </c>
      <c r="D353" s="2" t="s">
        <v>40</v>
      </c>
      <c r="E353" s="3">
        <v>44025</v>
      </c>
      <c r="F353" s="2" t="s">
        <v>489</v>
      </c>
      <c r="G353" s="2" t="s">
        <v>490</v>
      </c>
      <c r="H353" s="2" t="s">
        <v>49</v>
      </c>
      <c r="I353" s="9">
        <v>31476</v>
      </c>
    </row>
    <row r="354" spans="1:9" x14ac:dyDescent="0.25">
      <c r="A354" s="2" t="s">
        <v>24</v>
      </c>
      <c r="B354" s="2">
        <v>2000</v>
      </c>
      <c r="C354" s="2">
        <v>2</v>
      </c>
      <c r="D354" s="2" t="s">
        <v>29</v>
      </c>
      <c r="E354" s="3">
        <v>44110</v>
      </c>
      <c r="F354" s="2" t="s">
        <v>131</v>
      </c>
      <c r="G354" s="2" t="s">
        <v>436</v>
      </c>
      <c r="H354" s="2" t="s">
        <v>44</v>
      </c>
      <c r="I354" s="9">
        <v>28563</v>
      </c>
    </row>
    <row r="355" spans="1:9" x14ac:dyDescent="0.25">
      <c r="A355" s="2" t="s">
        <v>8</v>
      </c>
      <c r="B355" s="2">
        <v>5500</v>
      </c>
      <c r="C355" s="2">
        <v>1</v>
      </c>
      <c r="D355" s="2" t="s">
        <v>29</v>
      </c>
      <c r="E355" s="3">
        <v>44188</v>
      </c>
      <c r="F355" s="2" t="s">
        <v>122</v>
      </c>
      <c r="G355" s="2" t="s">
        <v>123</v>
      </c>
      <c r="H355" s="2" t="s">
        <v>49</v>
      </c>
      <c r="I355" s="9">
        <v>24211</v>
      </c>
    </row>
    <row r="356" spans="1:9" x14ac:dyDescent="0.25">
      <c r="A356" s="2" t="s">
        <v>10</v>
      </c>
      <c r="B356" s="2">
        <v>1450</v>
      </c>
      <c r="C356" s="2">
        <v>3</v>
      </c>
      <c r="D356" s="2" t="s">
        <v>35</v>
      </c>
      <c r="E356" s="3">
        <v>44133</v>
      </c>
      <c r="F356" s="2" t="s">
        <v>127</v>
      </c>
      <c r="G356" s="2" t="s">
        <v>189</v>
      </c>
      <c r="H356" s="2" t="s">
        <v>44</v>
      </c>
      <c r="I356" s="9">
        <v>20410</v>
      </c>
    </row>
    <row r="357" spans="1:9" x14ac:dyDescent="0.25">
      <c r="A357" s="2" t="s">
        <v>22</v>
      </c>
      <c r="B357" s="2">
        <v>5200</v>
      </c>
      <c r="C357" s="2">
        <v>3</v>
      </c>
      <c r="D357" s="2" t="s">
        <v>39</v>
      </c>
      <c r="E357" s="3">
        <v>44128</v>
      </c>
      <c r="F357" s="2" t="s">
        <v>155</v>
      </c>
      <c r="G357" s="2" t="s">
        <v>220</v>
      </c>
      <c r="H357" s="2" t="s">
        <v>44</v>
      </c>
      <c r="I357" s="9">
        <v>23658</v>
      </c>
    </row>
    <row r="358" spans="1:9" x14ac:dyDescent="0.25">
      <c r="A358" s="2" t="s">
        <v>19</v>
      </c>
      <c r="B358" s="2">
        <v>700</v>
      </c>
      <c r="C358" s="2">
        <v>1</v>
      </c>
      <c r="D358" s="2" t="s">
        <v>30</v>
      </c>
      <c r="E358" s="3">
        <v>43987</v>
      </c>
      <c r="F358" s="2" t="s">
        <v>66</v>
      </c>
      <c r="G358" s="2" t="s">
        <v>230</v>
      </c>
      <c r="H358" s="2" t="s">
        <v>44</v>
      </c>
      <c r="I358" s="9">
        <v>21983</v>
      </c>
    </row>
    <row r="359" spans="1:9" x14ac:dyDescent="0.25">
      <c r="A359" s="2" t="s">
        <v>13</v>
      </c>
      <c r="B359" s="2">
        <v>2300</v>
      </c>
      <c r="C359" s="2">
        <v>4</v>
      </c>
      <c r="D359" s="2" t="s">
        <v>37</v>
      </c>
      <c r="E359" s="3">
        <v>44030</v>
      </c>
      <c r="F359" s="2" t="s">
        <v>272</v>
      </c>
      <c r="G359" s="2" t="s">
        <v>537</v>
      </c>
      <c r="H359" s="2" t="s">
        <v>49</v>
      </c>
      <c r="I359" s="9">
        <v>27931</v>
      </c>
    </row>
    <row r="360" spans="1:9" x14ac:dyDescent="0.25">
      <c r="A360" s="2" t="s">
        <v>18</v>
      </c>
      <c r="B360" s="2">
        <v>3000</v>
      </c>
      <c r="C360" s="2">
        <v>4</v>
      </c>
      <c r="D360" s="2" t="s">
        <v>32</v>
      </c>
      <c r="E360" s="3">
        <v>44018</v>
      </c>
      <c r="F360" s="2" t="s">
        <v>301</v>
      </c>
      <c r="G360" s="2" t="s">
        <v>523</v>
      </c>
      <c r="H360" s="2" t="s">
        <v>49</v>
      </c>
      <c r="I360" s="9">
        <v>34144</v>
      </c>
    </row>
    <row r="361" spans="1:9" x14ac:dyDescent="0.25">
      <c r="A361" s="2" t="s">
        <v>25</v>
      </c>
      <c r="B361" s="2">
        <v>2500</v>
      </c>
      <c r="C361" s="2">
        <v>2</v>
      </c>
      <c r="D361" s="2" t="s">
        <v>41</v>
      </c>
      <c r="E361" s="3">
        <v>43945</v>
      </c>
      <c r="F361" s="2" t="s">
        <v>98</v>
      </c>
      <c r="G361" s="2" t="s">
        <v>539</v>
      </c>
      <c r="H361" s="2" t="s">
        <v>44</v>
      </c>
      <c r="I361" s="9">
        <v>22497</v>
      </c>
    </row>
    <row r="362" spans="1:9" x14ac:dyDescent="0.25">
      <c r="A362" s="2" t="s">
        <v>15</v>
      </c>
      <c r="B362" s="2">
        <v>1900</v>
      </c>
      <c r="C362" s="2">
        <v>5</v>
      </c>
      <c r="D362" s="2" t="s">
        <v>41</v>
      </c>
      <c r="E362" s="3">
        <v>43932</v>
      </c>
      <c r="F362" s="2" t="s">
        <v>267</v>
      </c>
      <c r="G362" s="2" t="s">
        <v>308</v>
      </c>
      <c r="H362" s="2" t="s">
        <v>44</v>
      </c>
      <c r="I362" s="9">
        <v>30823</v>
      </c>
    </row>
    <row r="363" spans="1:9" x14ac:dyDescent="0.25">
      <c r="A363" s="2" t="s">
        <v>9</v>
      </c>
      <c r="B363" s="2">
        <v>1500</v>
      </c>
      <c r="C363" s="2">
        <v>5</v>
      </c>
      <c r="D363" s="2" t="s">
        <v>41</v>
      </c>
      <c r="E363" s="3">
        <v>43889</v>
      </c>
      <c r="F363" s="2" t="s">
        <v>627</v>
      </c>
      <c r="G363" s="2" t="s">
        <v>308</v>
      </c>
      <c r="H363" s="2" t="s">
        <v>44</v>
      </c>
      <c r="I363" s="9">
        <v>31189</v>
      </c>
    </row>
    <row r="364" spans="1:9" x14ac:dyDescent="0.25">
      <c r="A364" s="2" t="s">
        <v>21</v>
      </c>
      <c r="B364" s="2">
        <v>2400</v>
      </c>
      <c r="C364" s="2">
        <v>5</v>
      </c>
      <c r="D364" s="2" t="s">
        <v>37</v>
      </c>
      <c r="E364" s="3">
        <v>44180</v>
      </c>
      <c r="F364" s="2" t="s">
        <v>368</v>
      </c>
      <c r="G364" s="2" t="s">
        <v>617</v>
      </c>
      <c r="H364" s="2" t="s">
        <v>44</v>
      </c>
      <c r="I364" s="9">
        <v>30831</v>
      </c>
    </row>
    <row r="365" spans="1:9" x14ac:dyDescent="0.25">
      <c r="A365" s="2" t="s">
        <v>11</v>
      </c>
      <c r="B365" s="2">
        <v>4500</v>
      </c>
      <c r="C365" s="2">
        <v>2</v>
      </c>
      <c r="D365" s="2" t="s">
        <v>41</v>
      </c>
      <c r="E365" s="3">
        <v>43876</v>
      </c>
      <c r="F365" s="2" t="s">
        <v>355</v>
      </c>
      <c r="G365" s="2" t="s">
        <v>229</v>
      </c>
      <c r="H365" s="2" t="s">
        <v>44</v>
      </c>
      <c r="I365" s="9">
        <v>36707</v>
      </c>
    </row>
    <row r="366" spans="1:9" x14ac:dyDescent="0.25">
      <c r="A366" s="2" t="s">
        <v>26</v>
      </c>
      <c r="B366" s="2">
        <v>1100</v>
      </c>
      <c r="C366" s="2">
        <v>5</v>
      </c>
      <c r="D366" s="2" t="s">
        <v>33</v>
      </c>
      <c r="E366" s="3">
        <v>43965</v>
      </c>
      <c r="F366" s="2" t="s">
        <v>87</v>
      </c>
      <c r="G366" s="2" t="s">
        <v>89</v>
      </c>
      <c r="H366" s="2" t="s">
        <v>44</v>
      </c>
      <c r="I366" s="9">
        <v>28442</v>
      </c>
    </row>
    <row r="367" spans="1:9" x14ac:dyDescent="0.25">
      <c r="A367" s="2" t="s">
        <v>8</v>
      </c>
      <c r="B367" s="2">
        <v>5500</v>
      </c>
      <c r="C367" s="2">
        <v>4</v>
      </c>
      <c r="D367" s="2" t="s">
        <v>34</v>
      </c>
      <c r="E367" s="3">
        <v>43882</v>
      </c>
      <c r="F367" s="2" t="s">
        <v>80</v>
      </c>
      <c r="G367" s="2" t="s">
        <v>81</v>
      </c>
      <c r="H367" s="2" t="s">
        <v>44</v>
      </c>
      <c r="I367" s="9">
        <v>31321</v>
      </c>
    </row>
    <row r="368" spans="1:9" x14ac:dyDescent="0.25">
      <c r="A368" s="2" t="s">
        <v>17</v>
      </c>
      <c r="B368" s="2">
        <v>1550</v>
      </c>
      <c r="C368" s="2">
        <v>5</v>
      </c>
      <c r="D368" s="2" t="s">
        <v>35</v>
      </c>
      <c r="E368" s="3">
        <v>43877</v>
      </c>
      <c r="F368" s="2" t="s">
        <v>60</v>
      </c>
      <c r="G368" s="2" t="s">
        <v>61</v>
      </c>
      <c r="H368" s="2" t="s">
        <v>49</v>
      </c>
      <c r="I368" s="9">
        <v>31683</v>
      </c>
    </row>
    <row r="369" spans="1:9" x14ac:dyDescent="0.25">
      <c r="A369" s="2" t="s">
        <v>20</v>
      </c>
      <c r="B369" s="2">
        <v>2600</v>
      </c>
      <c r="C369" s="2">
        <v>3</v>
      </c>
      <c r="D369" s="2" t="s">
        <v>40</v>
      </c>
      <c r="E369" s="3">
        <v>44016</v>
      </c>
      <c r="F369" s="2" t="s">
        <v>392</v>
      </c>
      <c r="G369" s="2" t="s">
        <v>393</v>
      </c>
      <c r="H369" s="2" t="s">
        <v>49</v>
      </c>
      <c r="I369" s="9">
        <v>31041</v>
      </c>
    </row>
    <row r="370" spans="1:9" x14ac:dyDescent="0.25">
      <c r="A370" s="2" t="s">
        <v>16</v>
      </c>
      <c r="B370" s="2">
        <v>1400</v>
      </c>
      <c r="C370" s="2">
        <v>1</v>
      </c>
      <c r="D370" s="2" t="s">
        <v>31</v>
      </c>
      <c r="E370" s="3">
        <v>44073</v>
      </c>
      <c r="F370" s="2" t="s">
        <v>257</v>
      </c>
      <c r="G370" s="2" t="s">
        <v>345</v>
      </c>
      <c r="H370" s="2" t="s">
        <v>44</v>
      </c>
      <c r="I370" s="9">
        <v>36422</v>
      </c>
    </row>
    <row r="371" spans="1:9" x14ac:dyDescent="0.25">
      <c r="A371" s="2" t="s">
        <v>15</v>
      </c>
      <c r="B371" s="2">
        <v>1900</v>
      </c>
      <c r="C371" s="2">
        <v>3</v>
      </c>
      <c r="D371" s="2" t="s">
        <v>29</v>
      </c>
      <c r="E371" s="3">
        <v>43925</v>
      </c>
      <c r="F371" s="2" t="s">
        <v>136</v>
      </c>
      <c r="G371" s="2" t="s">
        <v>75</v>
      </c>
      <c r="H371" s="2" t="s">
        <v>49</v>
      </c>
      <c r="I371" s="9">
        <v>19190</v>
      </c>
    </row>
    <row r="372" spans="1:9" x14ac:dyDescent="0.25">
      <c r="A372" s="2" t="s">
        <v>8</v>
      </c>
      <c r="B372" s="2">
        <v>5500</v>
      </c>
      <c r="C372" s="2">
        <v>1</v>
      </c>
      <c r="D372" s="2" t="s">
        <v>32</v>
      </c>
      <c r="E372" s="3">
        <v>44175</v>
      </c>
      <c r="F372" s="2" t="s">
        <v>341</v>
      </c>
      <c r="G372" s="2" t="s">
        <v>342</v>
      </c>
      <c r="H372" s="2" t="s">
        <v>49</v>
      </c>
      <c r="I372" s="9">
        <v>25751</v>
      </c>
    </row>
    <row r="373" spans="1:9" x14ac:dyDescent="0.25">
      <c r="A373" s="2" t="s">
        <v>12</v>
      </c>
      <c r="B373" s="2">
        <v>6500</v>
      </c>
      <c r="C373" s="2">
        <v>5</v>
      </c>
      <c r="D373" s="2" t="s">
        <v>29</v>
      </c>
      <c r="E373" s="3">
        <v>43988</v>
      </c>
      <c r="F373" s="2" t="s">
        <v>118</v>
      </c>
      <c r="G373" s="2" t="s">
        <v>391</v>
      </c>
      <c r="H373" s="2" t="s">
        <v>49</v>
      </c>
      <c r="I373" s="9">
        <v>35366</v>
      </c>
    </row>
    <row r="374" spans="1:9" x14ac:dyDescent="0.25">
      <c r="A374" s="2" t="s">
        <v>9</v>
      </c>
      <c r="B374" s="2">
        <v>1500</v>
      </c>
      <c r="C374" s="2">
        <v>3</v>
      </c>
      <c r="D374" s="2" t="s">
        <v>31</v>
      </c>
      <c r="E374" s="3">
        <v>44081</v>
      </c>
      <c r="F374" s="2" t="s">
        <v>259</v>
      </c>
      <c r="G374" s="2" t="s">
        <v>276</v>
      </c>
      <c r="H374" s="2" t="s">
        <v>49</v>
      </c>
      <c r="I374" s="9">
        <v>25235</v>
      </c>
    </row>
    <row r="375" spans="1:9" x14ac:dyDescent="0.25">
      <c r="A375" s="2" t="s">
        <v>7</v>
      </c>
      <c r="B375" s="2">
        <v>750</v>
      </c>
      <c r="C375" s="2">
        <v>2</v>
      </c>
      <c r="D375" s="2" t="s">
        <v>39</v>
      </c>
      <c r="E375" s="3">
        <v>44003</v>
      </c>
      <c r="F375" s="2" t="s">
        <v>42</v>
      </c>
      <c r="G375" s="2" t="s">
        <v>63</v>
      </c>
      <c r="H375" s="2" t="s">
        <v>44</v>
      </c>
      <c r="I375" s="9">
        <v>22924</v>
      </c>
    </row>
    <row r="376" spans="1:9" x14ac:dyDescent="0.25">
      <c r="A376" s="2" t="s">
        <v>13</v>
      </c>
      <c r="B376" s="2">
        <v>2300</v>
      </c>
      <c r="C376" s="2">
        <v>5</v>
      </c>
      <c r="D376" s="2" t="s">
        <v>35</v>
      </c>
      <c r="E376" s="3">
        <v>44109</v>
      </c>
      <c r="F376" s="2" t="s">
        <v>74</v>
      </c>
      <c r="G376" s="2" t="s">
        <v>621</v>
      </c>
      <c r="H376" s="2" t="s">
        <v>44</v>
      </c>
      <c r="I376" s="9">
        <v>34072</v>
      </c>
    </row>
    <row r="377" spans="1:9" x14ac:dyDescent="0.25">
      <c r="A377" s="2" t="s">
        <v>16</v>
      </c>
      <c r="B377" s="2">
        <v>1400</v>
      </c>
      <c r="C377" s="2">
        <v>4</v>
      </c>
      <c r="D377" s="2" t="s">
        <v>32</v>
      </c>
      <c r="E377" s="3">
        <v>44175</v>
      </c>
      <c r="F377" s="2" t="s">
        <v>70</v>
      </c>
      <c r="G377" s="2" t="s">
        <v>360</v>
      </c>
      <c r="H377" s="2" t="s">
        <v>44</v>
      </c>
      <c r="I377" s="9">
        <v>32167</v>
      </c>
    </row>
    <row r="378" spans="1:9" x14ac:dyDescent="0.25">
      <c r="A378" s="2" t="s">
        <v>14</v>
      </c>
      <c r="B378" s="2">
        <v>2000</v>
      </c>
      <c r="C378" s="2">
        <v>5</v>
      </c>
      <c r="D378" s="2" t="s">
        <v>38</v>
      </c>
      <c r="E378" s="3">
        <v>43962</v>
      </c>
      <c r="F378" s="2" t="s">
        <v>361</v>
      </c>
      <c r="G378" s="2" t="s">
        <v>203</v>
      </c>
      <c r="H378" s="2" t="s">
        <v>49</v>
      </c>
      <c r="I378" s="9">
        <v>36075</v>
      </c>
    </row>
    <row r="379" spans="1:9" x14ac:dyDescent="0.25">
      <c r="A379" s="2" t="s">
        <v>8</v>
      </c>
      <c r="B379" s="2">
        <v>5500</v>
      </c>
      <c r="C379" s="2">
        <v>2</v>
      </c>
      <c r="D379" s="2" t="s">
        <v>29</v>
      </c>
      <c r="E379" s="3">
        <v>43927</v>
      </c>
      <c r="F379" s="2" t="s">
        <v>122</v>
      </c>
      <c r="G379" s="2" t="s">
        <v>123</v>
      </c>
      <c r="H379" s="2" t="s">
        <v>49</v>
      </c>
      <c r="I379" s="9">
        <v>24211</v>
      </c>
    </row>
    <row r="380" spans="1:9" x14ac:dyDescent="0.25">
      <c r="A380" s="2" t="s">
        <v>16</v>
      </c>
      <c r="B380" s="2">
        <v>1400</v>
      </c>
      <c r="C380" s="2">
        <v>2</v>
      </c>
      <c r="D380" s="2" t="s">
        <v>39</v>
      </c>
      <c r="E380" s="3">
        <v>44009</v>
      </c>
      <c r="F380" s="2" t="s">
        <v>87</v>
      </c>
      <c r="G380" s="2" t="s">
        <v>81</v>
      </c>
      <c r="H380" s="2" t="s">
        <v>44</v>
      </c>
      <c r="I380" s="9">
        <v>31569</v>
      </c>
    </row>
    <row r="381" spans="1:9" x14ac:dyDescent="0.25">
      <c r="A381" s="2" t="s">
        <v>11</v>
      </c>
      <c r="B381" s="2">
        <v>4500</v>
      </c>
      <c r="C381" s="2">
        <v>5</v>
      </c>
      <c r="D381" s="2" t="s">
        <v>33</v>
      </c>
      <c r="E381" s="3">
        <v>44188</v>
      </c>
      <c r="F381" s="2" t="s">
        <v>265</v>
      </c>
      <c r="G381" s="2" t="s">
        <v>266</v>
      </c>
      <c r="H381" s="2" t="s">
        <v>49</v>
      </c>
      <c r="I381" s="9">
        <v>31076</v>
      </c>
    </row>
    <row r="382" spans="1:9" x14ac:dyDescent="0.25">
      <c r="A382" s="2" t="s">
        <v>15</v>
      </c>
      <c r="B382" s="2">
        <v>1900</v>
      </c>
      <c r="C382" s="2">
        <v>3</v>
      </c>
      <c r="D382" s="2" t="s">
        <v>33</v>
      </c>
      <c r="E382" s="3">
        <v>44079</v>
      </c>
      <c r="F382" s="2" t="s">
        <v>399</v>
      </c>
      <c r="G382" s="2" t="s">
        <v>451</v>
      </c>
      <c r="H382" s="2" t="s">
        <v>44</v>
      </c>
      <c r="I382" s="9">
        <v>28614</v>
      </c>
    </row>
    <row r="383" spans="1:9" x14ac:dyDescent="0.25">
      <c r="A383" s="2" t="s">
        <v>26</v>
      </c>
      <c r="B383" s="2">
        <v>1100</v>
      </c>
      <c r="C383" s="2">
        <v>1</v>
      </c>
      <c r="D383" s="2" t="s">
        <v>29</v>
      </c>
      <c r="E383" s="3">
        <v>43924</v>
      </c>
      <c r="F383" s="2" t="s">
        <v>70</v>
      </c>
      <c r="G383" s="2" t="s">
        <v>410</v>
      </c>
      <c r="H383" s="2" t="s">
        <v>44</v>
      </c>
      <c r="I383" s="9">
        <v>31006</v>
      </c>
    </row>
    <row r="384" spans="1:9" x14ac:dyDescent="0.25">
      <c r="A384" s="2" t="s">
        <v>27</v>
      </c>
      <c r="B384" s="2">
        <v>1500</v>
      </c>
      <c r="C384" s="2">
        <v>1</v>
      </c>
      <c r="D384" s="2" t="s">
        <v>33</v>
      </c>
      <c r="E384" s="3">
        <v>44096</v>
      </c>
      <c r="F384" s="2" t="s">
        <v>179</v>
      </c>
      <c r="G384" s="2" t="s">
        <v>180</v>
      </c>
      <c r="H384" s="2" t="s">
        <v>44</v>
      </c>
      <c r="I384" s="9">
        <v>28082</v>
      </c>
    </row>
    <row r="385" spans="1:9" x14ac:dyDescent="0.25">
      <c r="A385" s="2" t="s">
        <v>10</v>
      </c>
      <c r="B385" s="2">
        <v>1450</v>
      </c>
      <c r="C385" s="2">
        <v>5</v>
      </c>
      <c r="D385" s="2" t="s">
        <v>29</v>
      </c>
      <c r="E385" s="3">
        <v>44189</v>
      </c>
      <c r="F385" s="2" t="s">
        <v>137</v>
      </c>
      <c r="G385" s="2" t="s">
        <v>273</v>
      </c>
      <c r="H385" s="2" t="s">
        <v>49</v>
      </c>
      <c r="I385" s="9">
        <v>23843</v>
      </c>
    </row>
    <row r="386" spans="1:9" x14ac:dyDescent="0.25">
      <c r="A386" s="2" t="s">
        <v>17</v>
      </c>
      <c r="B386" s="2">
        <v>1550</v>
      </c>
      <c r="C386" s="2">
        <v>5</v>
      </c>
      <c r="D386" s="2" t="s">
        <v>37</v>
      </c>
      <c r="E386" s="3">
        <v>44065</v>
      </c>
      <c r="F386" s="2" t="s">
        <v>441</v>
      </c>
      <c r="G386" s="2" t="s">
        <v>400</v>
      </c>
      <c r="H386" s="2" t="s">
        <v>44</v>
      </c>
      <c r="I386" s="9">
        <v>35440</v>
      </c>
    </row>
    <row r="387" spans="1:9" x14ac:dyDescent="0.25">
      <c r="A387" s="2" t="s">
        <v>7</v>
      </c>
      <c r="B387" s="2">
        <v>750</v>
      </c>
      <c r="C387" s="2">
        <v>4</v>
      </c>
      <c r="D387" s="2" t="s">
        <v>40</v>
      </c>
      <c r="E387" s="3">
        <v>44087</v>
      </c>
      <c r="F387" s="2" t="s">
        <v>124</v>
      </c>
      <c r="G387" s="2" t="s">
        <v>520</v>
      </c>
      <c r="H387" s="2" t="s">
        <v>44</v>
      </c>
      <c r="I387" s="9">
        <v>36819</v>
      </c>
    </row>
    <row r="388" spans="1:9" x14ac:dyDescent="0.25">
      <c r="A388" s="2" t="s">
        <v>28</v>
      </c>
      <c r="B388" s="2">
        <v>1400</v>
      </c>
      <c r="C388" s="2">
        <v>2</v>
      </c>
      <c r="D388" s="2" t="s">
        <v>30</v>
      </c>
      <c r="E388" s="3">
        <v>43888</v>
      </c>
      <c r="F388" s="2" t="s">
        <v>102</v>
      </c>
      <c r="G388" s="2" t="s">
        <v>103</v>
      </c>
      <c r="H388" s="2" t="s">
        <v>44</v>
      </c>
      <c r="I388" s="9">
        <v>26153</v>
      </c>
    </row>
    <row r="389" spans="1:9" x14ac:dyDescent="0.25">
      <c r="A389" s="2" t="s">
        <v>16</v>
      </c>
      <c r="B389" s="2">
        <v>1400</v>
      </c>
      <c r="C389" s="2">
        <v>1</v>
      </c>
      <c r="D389" s="2" t="s">
        <v>34</v>
      </c>
      <c r="E389" s="3">
        <v>43885</v>
      </c>
      <c r="F389" s="2" t="s">
        <v>399</v>
      </c>
      <c r="G389" s="2" t="s">
        <v>400</v>
      </c>
      <c r="H389" s="2" t="s">
        <v>44</v>
      </c>
      <c r="I389" s="9">
        <v>29514</v>
      </c>
    </row>
    <row r="390" spans="1:9" x14ac:dyDescent="0.25">
      <c r="A390" s="2" t="s">
        <v>11</v>
      </c>
      <c r="B390" s="2">
        <v>4500</v>
      </c>
      <c r="C390" s="2">
        <v>4</v>
      </c>
      <c r="D390" s="2" t="s">
        <v>29</v>
      </c>
      <c r="E390" s="3">
        <v>43917</v>
      </c>
      <c r="F390" s="2" t="s">
        <v>173</v>
      </c>
      <c r="G390" s="2" t="s">
        <v>181</v>
      </c>
      <c r="H390" s="2" t="s">
        <v>44</v>
      </c>
      <c r="I390" s="9">
        <v>32179</v>
      </c>
    </row>
    <row r="391" spans="1:9" x14ac:dyDescent="0.25">
      <c r="A391" s="2" t="s">
        <v>25</v>
      </c>
      <c r="B391" s="2">
        <v>2500</v>
      </c>
      <c r="C391" s="2">
        <v>1</v>
      </c>
      <c r="D391" s="2" t="s">
        <v>41</v>
      </c>
      <c r="E391" s="3">
        <v>44140</v>
      </c>
      <c r="F391" s="2" t="s">
        <v>94</v>
      </c>
      <c r="G391" s="2" t="s">
        <v>449</v>
      </c>
      <c r="H391" s="2" t="s">
        <v>49</v>
      </c>
      <c r="I391" s="9">
        <v>26511</v>
      </c>
    </row>
    <row r="392" spans="1:9" x14ac:dyDescent="0.25">
      <c r="A392" s="2" t="s">
        <v>20</v>
      </c>
      <c r="B392" s="2">
        <v>2600</v>
      </c>
      <c r="C392" s="2">
        <v>1</v>
      </c>
      <c r="D392" s="2" t="s">
        <v>36</v>
      </c>
      <c r="E392" s="3">
        <v>44091</v>
      </c>
      <c r="F392" s="2" t="s">
        <v>259</v>
      </c>
      <c r="G392" s="2" t="s">
        <v>584</v>
      </c>
      <c r="H392" s="2" t="s">
        <v>49</v>
      </c>
      <c r="I392" s="9">
        <v>22500</v>
      </c>
    </row>
    <row r="393" spans="1:9" x14ac:dyDescent="0.25">
      <c r="A393" s="2" t="s">
        <v>26</v>
      </c>
      <c r="B393" s="2">
        <v>1100</v>
      </c>
      <c r="C393" s="2">
        <v>2</v>
      </c>
      <c r="D393" s="2" t="s">
        <v>37</v>
      </c>
      <c r="E393" s="3">
        <v>43988</v>
      </c>
      <c r="F393" s="2" t="s">
        <v>316</v>
      </c>
      <c r="G393" s="2" t="s">
        <v>317</v>
      </c>
      <c r="H393" s="2" t="s">
        <v>44</v>
      </c>
      <c r="I393" s="9">
        <v>18732</v>
      </c>
    </row>
    <row r="394" spans="1:9" x14ac:dyDescent="0.25">
      <c r="A394" s="2" t="s">
        <v>17</v>
      </c>
      <c r="B394" s="2">
        <v>1550</v>
      </c>
      <c r="C394" s="2">
        <v>5</v>
      </c>
      <c r="D394" s="2" t="s">
        <v>39</v>
      </c>
      <c r="E394" s="3">
        <v>44176</v>
      </c>
      <c r="F394" s="2" t="s">
        <v>464</v>
      </c>
      <c r="G394" s="2" t="s">
        <v>465</v>
      </c>
      <c r="H394" s="2" t="s">
        <v>49</v>
      </c>
      <c r="I394" s="9">
        <v>35859</v>
      </c>
    </row>
    <row r="395" spans="1:9" x14ac:dyDescent="0.25">
      <c r="A395" s="2" t="s">
        <v>28</v>
      </c>
      <c r="B395" s="2">
        <v>1400</v>
      </c>
      <c r="C395" s="2">
        <v>4</v>
      </c>
      <c r="D395" s="2" t="s">
        <v>38</v>
      </c>
      <c r="E395" s="3">
        <v>44103</v>
      </c>
      <c r="F395" s="2" t="s">
        <v>217</v>
      </c>
      <c r="G395" s="2" t="s">
        <v>326</v>
      </c>
      <c r="H395" s="2" t="s">
        <v>44</v>
      </c>
      <c r="I395" s="9">
        <v>19151</v>
      </c>
    </row>
    <row r="396" spans="1:9" x14ac:dyDescent="0.25">
      <c r="A396" s="2" t="s">
        <v>22</v>
      </c>
      <c r="B396" s="2">
        <v>5200</v>
      </c>
      <c r="C396" s="2">
        <v>3</v>
      </c>
      <c r="D396" s="2" t="s">
        <v>29</v>
      </c>
      <c r="E396" s="3">
        <v>44048</v>
      </c>
      <c r="F396" s="2" t="s">
        <v>419</v>
      </c>
      <c r="G396" s="2" t="s">
        <v>186</v>
      </c>
      <c r="H396" s="2" t="s">
        <v>44</v>
      </c>
      <c r="I396" s="9">
        <v>35250</v>
      </c>
    </row>
    <row r="397" spans="1:9" x14ac:dyDescent="0.25">
      <c r="A397" s="2" t="s">
        <v>14</v>
      </c>
      <c r="B397" s="2">
        <v>2000</v>
      </c>
      <c r="C397" s="2">
        <v>3</v>
      </c>
      <c r="D397" s="2" t="s">
        <v>33</v>
      </c>
      <c r="E397" s="3">
        <v>43991</v>
      </c>
      <c r="F397" s="2" t="s">
        <v>140</v>
      </c>
      <c r="G397" s="2" t="s">
        <v>141</v>
      </c>
      <c r="H397" s="2" t="s">
        <v>49</v>
      </c>
      <c r="I397" s="9">
        <v>31366</v>
      </c>
    </row>
    <row r="398" spans="1:9" x14ac:dyDescent="0.25">
      <c r="A398" s="2" t="s">
        <v>5</v>
      </c>
      <c r="B398" s="2">
        <v>1750</v>
      </c>
      <c r="C398" s="2">
        <v>4</v>
      </c>
      <c r="D398" s="2" t="s">
        <v>30</v>
      </c>
      <c r="E398" s="3">
        <v>43880</v>
      </c>
      <c r="F398" s="2" t="s">
        <v>134</v>
      </c>
      <c r="G398" s="2" t="s">
        <v>310</v>
      </c>
      <c r="H398" s="2" t="s">
        <v>49</v>
      </c>
      <c r="I398" s="9">
        <v>20738</v>
      </c>
    </row>
    <row r="399" spans="1:9" x14ac:dyDescent="0.25">
      <c r="A399" s="2" t="s">
        <v>7</v>
      </c>
      <c r="B399" s="2">
        <v>750</v>
      </c>
      <c r="C399" s="2">
        <v>3</v>
      </c>
      <c r="D399" s="2" t="s">
        <v>34</v>
      </c>
      <c r="E399" s="3">
        <v>43985</v>
      </c>
      <c r="F399" s="2" t="s">
        <v>173</v>
      </c>
      <c r="G399" s="2" t="s">
        <v>174</v>
      </c>
      <c r="H399" s="2" t="s">
        <v>44</v>
      </c>
      <c r="I399" s="9">
        <v>20273</v>
      </c>
    </row>
    <row r="400" spans="1:9" x14ac:dyDescent="0.25">
      <c r="A400" s="2" t="s">
        <v>19</v>
      </c>
      <c r="B400" s="2">
        <v>700</v>
      </c>
      <c r="C400" s="2">
        <v>5</v>
      </c>
      <c r="D400" s="2" t="s">
        <v>30</v>
      </c>
      <c r="E400" s="3">
        <v>44159</v>
      </c>
      <c r="F400" s="2" t="s">
        <v>94</v>
      </c>
      <c r="G400" s="2" t="s">
        <v>285</v>
      </c>
      <c r="H400" s="2" t="s">
        <v>49</v>
      </c>
      <c r="I400" s="9">
        <v>23451</v>
      </c>
    </row>
    <row r="401" spans="1:9" x14ac:dyDescent="0.25">
      <c r="A401" s="2" t="s">
        <v>18</v>
      </c>
      <c r="B401" s="2">
        <v>3000</v>
      </c>
      <c r="C401" s="2">
        <v>2</v>
      </c>
      <c r="D401" s="2" t="s">
        <v>32</v>
      </c>
      <c r="E401" s="3">
        <v>44140</v>
      </c>
      <c r="F401" s="2" t="s">
        <v>92</v>
      </c>
      <c r="G401" s="2" t="s">
        <v>113</v>
      </c>
      <c r="H401" s="2" t="s">
        <v>44</v>
      </c>
      <c r="I401" s="9">
        <v>33586</v>
      </c>
    </row>
    <row r="402" spans="1:9" x14ac:dyDescent="0.25">
      <c r="A402" s="2" t="s">
        <v>11</v>
      </c>
      <c r="B402" s="2">
        <v>4500</v>
      </c>
      <c r="C402" s="2">
        <v>4</v>
      </c>
      <c r="D402" s="2" t="s">
        <v>32</v>
      </c>
      <c r="E402" s="3">
        <v>43839</v>
      </c>
      <c r="F402" s="2" t="s">
        <v>70</v>
      </c>
      <c r="G402" s="2" t="s">
        <v>319</v>
      </c>
      <c r="H402" s="2" t="s">
        <v>44</v>
      </c>
      <c r="I402" s="9">
        <v>32945</v>
      </c>
    </row>
    <row r="403" spans="1:9" x14ac:dyDescent="0.25">
      <c r="A403" s="2" t="s">
        <v>22</v>
      </c>
      <c r="B403" s="2">
        <v>5200</v>
      </c>
      <c r="C403" s="2">
        <v>4</v>
      </c>
      <c r="D403" s="2" t="s">
        <v>31</v>
      </c>
      <c r="E403" s="3">
        <v>43878</v>
      </c>
      <c r="F403" s="2" t="s">
        <v>288</v>
      </c>
      <c r="G403" s="2" t="s">
        <v>362</v>
      </c>
      <c r="H403" s="2" t="s">
        <v>49</v>
      </c>
      <c r="I403" s="9">
        <v>24425</v>
      </c>
    </row>
    <row r="404" spans="1:9" x14ac:dyDescent="0.25">
      <c r="A404" s="2" t="s">
        <v>20</v>
      </c>
      <c r="B404" s="2">
        <v>2600</v>
      </c>
      <c r="C404" s="2">
        <v>1</v>
      </c>
      <c r="D404" s="2" t="s">
        <v>41</v>
      </c>
      <c r="E404" s="3">
        <v>44136</v>
      </c>
      <c r="F404" s="2" t="s">
        <v>379</v>
      </c>
      <c r="G404" s="2" t="s">
        <v>205</v>
      </c>
      <c r="H404" s="2" t="s">
        <v>44</v>
      </c>
      <c r="I404" s="9">
        <v>31424</v>
      </c>
    </row>
    <row r="405" spans="1:9" x14ac:dyDescent="0.25">
      <c r="A405" s="2" t="s">
        <v>11</v>
      </c>
      <c r="B405" s="2">
        <v>4500</v>
      </c>
      <c r="C405" s="2">
        <v>3</v>
      </c>
      <c r="D405" s="2" t="s">
        <v>30</v>
      </c>
      <c r="E405" s="3">
        <v>44182</v>
      </c>
      <c r="F405" s="2" t="s">
        <v>120</v>
      </c>
      <c r="G405" s="2" t="s">
        <v>459</v>
      </c>
      <c r="H405" s="2" t="s">
        <v>44</v>
      </c>
      <c r="I405" s="9">
        <v>32868</v>
      </c>
    </row>
    <row r="406" spans="1:9" x14ac:dyDescent="0.25">
      <c r="A406" s="2" t="s">
        <v>23</v>
      </c>
      <c r="B406" s="2">
        <v>1500</v>
      </c>
      <c r="C406" s="2">
        <v>3</v>
      </c>
      <c r="D406" s="2" t="s">
        <v>29</v>
      </c>
      <c r="E406" s="3">
        <v>44193</v>
      </c>
      <c r="F406" s="2" t="s">
        <v>228</v>
      </c>
      <c r="G406" s="2" t="s">
        <v>207</v>
      </c>
      <c r="H406" s="2" t="s">
        <v>44</v>
      </c>
      <c r="I406" s="9">
        <v>18957</v>
      </c>
    </row>
    <row r="407" spans="1:9" x14ac:dyDescent="0.25">
      <c r="A407" s="2" t="s">
        <v>17</v>
      </c>
      <c r="B407" s="2">
        <v>1550</v>
      </c>
      <c r="C407" s="2">
        <v>1</v>
      </c>
      <c r="D407" s="2" t="s">
        <v>33</v>
      </c>
      <c r="E407" s="3">
        <v>44123</v>
      </c>
      <c r="F407" s="2" t="s">
        <v>161</v>
      </c>
      <c r="G407" s="2" t="s">
        <v>149</v>
      </c>
      <c r="H407" s="2" t="s">
        <v>49</v>
      </c>
      <c r="I407" s="9">
        <v>33864</v>
      </c>
    </row>
    <row r="408" spans="1:9" x14ac:dyDescent="0.25">
      <c r="A408" s="2" t="s">
        <v>28</v>
      </c>
      <c r="B408" s="2">
        <v>1400</v>
      </c>
      <c r="C408" s="2">
        <v>5</v>
      </c>
      <c r="D408" s="2" t="s">
        <v>29</v>
      </c>
      <c r="E408" s="3">
        <v>44039</v>
      </c>
      <c r="F408" s="2" t="s">
        <v>107</v>
      </c>
      <c r="G408" s="2" t="s">
        <v>384</v>
      </c>
      <c r="H408" s="2" t="s">
        <v>49</v>
      </c>
      <c r="I408" s="9">
        <v>27776</v>
      </c>
    </row>
    <row r="409" spans="1:9" x14ac:dyDescent="0.25">
      <c r="A409" s="2" t="s">
        <v>11</v>
      </c>
      <c r="B409" s="2">
        <v>4500</v>
      </c>
      <c r="C409" s="2">
        <v>4</v>
      </c>
      <c r="D409" s="2" t="s">
        <v>37</v>
      </c>
      <c r="E409" s="3">
        <v>43926</v>
      </c>
      <c r="F409" s="2" t="s">
        <v>106</v>
      </c>
      <c r="G409" s="2" t="s">
        <v>71</v>
      </c>
      <c r="H409" s="2" t="s">
        <v>44</v>
      </c>
      <c r="I409" s="9">
        <v>21963</v>
      </c>
    </row>
    <row r="410" spans="1:9" x14ac:dyDescent="0.25">
      <c r="A410" s="2" t="s">
        <v>20</v>
      </c>
      <c r="B410" s="2">
        <v>2600</v>
      </c>
      <c r="C410" s="2">
        <v>5</v>
      </c>
      <c r="D410" s="2" t="s">
        <v>34</v>
      </c>
      <c r="E410" s="3">
        <v>43875</v>
      </c>
      <c r="F410" s="2" t="s">
        <v>542</v>
      </c>
      <c r="G410" s="2" t="s">
        <v>117</v>
      </c>
      <c r="H410" s="2" t="s">
        <v>44</v>
      </c>
      <c r="I410" s="9">
        <v>27387</v>
      </c>
    </row>
    <row r="411" spans="1:9" x14ac:dyDescent="0.25">
      <c r="A411" s="2" t="s">
        <v>8</v>
      </c>
      <c r="B411" s="2">
        <v>5500</v>
      </c>
      <c r="C411" s="2">
        <v>4</v>
      </c>
      <c r="D411" s="2" t="s">
        <v>31</v>
      </c>
      <c r="E411" s="3">
        <v>44156</v>
      </c>
      <c r="F411" s="2" t="s">
        <v>343</v>
      </c>
      <c r="G411" s="2" t="s">
        <v>519</v>
      </c>
      <c r="H411" s="2" t="s">
        <v>49</v>
      </c>
      <c r="I411" s="9">
        <v>35727</v>
      </c>
    </row>
    <row r="412" spans="1:9" x14ac:dyDescent="0.25">
      <c r="A412" s="2" t="s">
        <v>7</v>
      </c>
      <c r="B412" s="2">
        <v>750</v>
      </c>
      <c r="C412" s="2">
        <v>2</v>
      </c>
      <c r="D412" s="2" t="s">
        <v>30</v>
      </c>
      <c r="E412" s="3">
        <v>44125</v>
      </c>
      <c r="F412" s="2" t="s">
        <v>318</v>
      </c>
      <c r="G412" s="2" t="s">
        <v>345</v>
      </c>
      <c r="H412" s="2" t="s">
        <v>44</v>
      </c>
      <c r="I412" s="9">
        <v>18782</v>
      </c>
    </row>
    <row r="413" spans="1:9" x14ac:dyDescent="0.25">
      <c r="A413" s="2" t="s">
        <v>15</v>
      </c>
      <c r="B413" s="2">
        <v>1900</v>
      </c>
      <c r="C413" s="2">
        <v>5</v>
      </c>
      <c r="D413" s="2" t="s">
        <v>30</v>
      </c>
      <c r="E413" s="3">
        <v>44044</v>
      </c>
      <c r="F413" s="2" t="s">
        <v>109</v>
      </c>
      <c r="G413" s="2" t="s">
        <v>593</v>
      </c>
      <c r="H413" s="2" t="s">
        <v>44</v>
      </c>
      <c r="I413" s="9">
        <v>20652</v>
      </c>
    </row>
    <row r="414" spans="1:9" x14ac:dyDescent="0.25">
      <c r="A414" s="2" t="s">
        <v>18</v>
      </c>
      <c r="B414" s="2">
        <v>3000</v>
      </c>
      <c r="C414" s="2">
        <v>3</v>
      </c>
      <c r="D414" s="2" t="s">
        <v>36</v>
      </c>
      <c r="E414" s="3">
        <v>44122</v>
      </c>
      <c r="F414" s="2" t="s">
        <v>239</v>
      </c>
      <c r="G414" s="2" t="s">
        <v>157</v>
      </c>
      <c r="H414" s="2" t="s">
        <v>49</v>
      </c>
      <c r="I414" s="9">
        <v>28094</v>
      </c>
    </row>
    <row r="415" spans="1:9" x14ac:dyDescent="0.25">
      <c r="A415" s="2" t="s">
        <v>22</v>
      </c>
      <c r="B415" s="2">
        <v>5200</v>
      </c>
      <c r="C415" s="2">
        <v>5</v>
      </c>
      <c r="D415" s="2" t="s">
        <v>30</v>
      </c>
      <c r="E415" s="3">
        <v>43992</v>
      </c>
      <c r="F415" s="2" t="s">
        <v>260</v>
      </c>
      <c r="G415" s="2" t="s">
        <v>261</v>
      </c>
      <c r="H415" s="2" t="s">
        <v>49</v>
      </c>
      <c r="I415" s="9">
        <v>33035</v>
      </c>
    </row>
    <row r="416" spans="1:9" x14ac:dyDescent="0.25">
      <c r="A416" s="2" t="s">
        <v>23</v>
      </c>
      <c r="B416" s="2">
        <v>1500</v>
      </c>
      <c r="C416" s="2">
        <v>1</v>
      </c>
      <c r="D416" s="2" t="s">
        <v>37</v>
      </c>
      <c r="E416" s="3">
        <v>43928</v>
      </c>
      <c r="F416" s="2" t="s">
        <v>120</v>
      </c>
      <c r="G416" s="2" t="s">
        <v>171</v>
      </c>
      <c r="H416" s="2" t="s">
        <v>44</v>
      </c>
      <c r="I416" s="9">
        <v>26468</v>
      </c>
    </row>
    <row r="417" spans="1:9" x14ac:dyDescent="0.25">
      <c r="A417" s="2" t="s">
        <v>17</v>
      </c>
      <c r="B417" s="2">
        <v>1550</v>
      </c>
      <c r="C417" s="2">
        <v>3</v>
      </c>
      <c r="D417" s="2" t="s">
        <v>38</v>
      </c>
      <c r="E417" s="3">
        <v>43881</v>
      </c>
      <c r="F417" s="2" t="s">
        <v>42</v>
      </c>
      <c r="G417" s="2" t="s">
        <v>198</v>
      </c>
      <c r="H417" s="2" t="s">
        <v>44</v>
      </c>
      <c r="I417" s="9">
        <v>21984</v>
      </c>
    </row>
    <row r="418" spans="1:9" x14ac:dyDescent="0.25">
      <c r="A418" s="2" t="s">
        <v>27</v>
      </c>
      <c r="B418" s="2">
        <v>1500</v>
      </c>
      <c r="C418" s="2">
        <v>1</v>
      </c>
      <c r="D418" s="2" t="s">
        <v>35</v>
      </c>
      <c r="E418" s="3">
        <v>44140</v>
      </c>
      <c r="F418" s="2" t="s">
        <v>214</v>
      </c>
      <c r="G418" s="2" t="s">
        <v>215</v>
      </c>
      <c r="H418" s="2" t="s">
        <v>49</v>
      </c>
      <c r="I418" s="9">
        <v>34667</v>
      </c>
    </row>
    <row r="419" spans="1:9" x14ac:dyDescent="0.25">
      <c r="A419" s="2" t="s">
        <v>9</v>
      </c>
      <c r="B419" s="2">
        <v>1500</v>
      </c>
      <c r="C419" s="2">
        <v>1</v>
      </c>
      <c r="D419" s="2" t="s">
        <v>29</v>
      </c>
      <c r="E419" s="3">
        <v>44057</v>
      </c>
      <c r="F419" s="2" t="s">
        <v>78</v>
      </c>
      <c r="G419" s="2" t="s">
        <v>612</v>
      </c>
      <c r="H419" s="2" t="s">
        <v>49</v>
      </c>
      <c r="I419" s="9">
        <v>31800</v>
      </c>
    </row>
    <row r="420" spans="1:9" x14ac:dyDescent="0.25">
      <c r="A420" s="2" t="s">
        <v>24</v>
      </c>
      <c r="B420" s="2">
        <v>2000</v>
      </c>
      <c r="C420" s="2">
        <v>2</v>
      </c>
      <c r="D420" s="2" t="s">
        <v>40</v>
      </c>
      <c r="E420" s="3">
        <v>43976</v>
      </c>
      <c r="F420" s="2" t="s">
        <v>78</v>
      </c>
      <c r="G420" s="2" t="s">
        <v>63</v>
      </c>
      <c r="H420" s="2" t="s">
        <v>49</v>
      </c>
      <c r="I420" s="9">
        <v>31080</v>
      </c>
    </row>
    <row r="421" spans="1:9" x14ac:dyDescent="0.25">
      <c r="A421" s="2" t="s">
        <v>9</v>
      </c>
      <c r="B421" s="2">
        <v>1500</v>
      </c>
      <c r="C421" s="2">
        <v>4</v>
      </c>
      <c r="D421" s="2" t="s">
        <v>40</v>
      </c>
      <c r="E421" s="3">
        <v>43913</v>
      </c>
      <c r="F421" s="2" t="s">
        <v>124</v>
      </c>
      <c r="G421" s="2" t="s">
        <v>152</v>
      </c>
      <c r="H421" s="2" t="s">
        <v>44</v>
      </c>
      <c r="I421" s="9">
        <v>26019</v>
      </c>
    </row>
    <row r="422" spans="1:9" x14ac:dyDescent="0.25">
      <c r="A422" s="2" t="s">
        <v>13</v>
      </c>
      <c r="B422" s="2">
        <v>2300</v>
      </c>
      <c r="C422" s="2">
        <v>1</v>
      </c>
      <c r="D422" s="2" t="s">
        <v>37</v>
      </c>
      <c r="E422" s="3">
        <v>43879</v>
      </c>
      <c r="F422" s="2" t="s">
        <v>206</v>
      </c>
      <c r="G422" s="2" t="s">
        <v>207</v>
      </c>
      <c r="H422" s="2" t="s">
        <v>44</v>
      </c>
      <c r="I422" s="9">
        <v>24354</v>
      </c>
    </row>
    <row r="423" spans="1:9" x14ac:dyDescent="0.25">
      <c r="A423" s="2" t="s">
        <v>7</v>
      </c>
      <c r="B423" s="2">
        <v>750</v>
      </c>
      <c r="C423" s="2">
        <v>4</v>
      </c>
      <c r="D423" s="2" t="s">
        <v>32</v>
      </c>
      <c r="E423" s="3">
        <v>44100</v>
      </c>
      <c r="F423" s="2" t="s">
        <v>92</v>
      </c>
      <c r="G423" s="2" t="s">
        <v>113</v>
      </c>
      <c r="H423" s="2" t="s">
        <v>44</v>
      </c>
      <c r="I423" s="9">
        <v>33586</v>
      </c>
    </row>
    <row r="424" spans="1:9" x14ac:dyDescent="0.25">
      <c r="A424" s="2" t="s">
        <v>6</v>
      </c>
      <c r="B424" s="2">
        <v>1200</v>
      </c>
      <c r="C424" s="2">
        <v>5</v>
      </c>
      <c r="D424" s="2" t="s">
        <v>29</v>
      </c>
      <c r="E424" s="3">
        <v>44175</v>
      </c>
      <c r="F424" s="2" t="s">
        <v>497</v>
      </c>
      <c r="G424" s="2" t="s">
        <v>498</v>
      </c>
      <c r="H424" s="2" t="s">
        <v>44</v>
      </c>
      <c r="I424" s="9">
        <v>25758</v>
      </c>
    </row>
    <row r="425" spans="1:9" x14ac:dyDescent="0.25">
      <c r="A425" s="2" t="s">
        <v>19</v>
      </c>
      <c r="B425" s="2">
        <v>700</v>
      </c>
      <c r="C425" s="2">
        <v>2</v>
      </c>
      <c r="D425" s="2" t="s">
        <v>41</v>
      </c>
      <c r="E425" s="3">
        <v>43867</v>
      </c>
      <c r="F425" s="2" t="s">
        <v>137</v>
      </c>
      <c r="G425" s="2" t="s">
        <v>362</v>
      </c>
      <c r="H425" s="2" t="s">
        <v>49</v>
      </c>
      <c r="I425" s="9">
        <v>28214</v>
      </c>
    </row>
    <row r="426" spans="1:9" x14ac:dyDescent="0.25">
      <c r="A426" s="2" t="s">
        <v>24</v>
      </c>
      <c r="B426" s="2">
        <v>2000</v>
      </c>
      <c r="C426" s="2">
        <v>1</v>
      </c>
      <c r="D426" s="2" t="s">
        <v>39</v>
      </c>
      <c r="E426" s="3">
        <v>43957</v>
      </c>
      <c r="F426" s="2" t="s">
        <v>109</v>
      </c>
      <c r="G426" s="2" t="s">
        <v>172</v>
      </c>
      <c r="H426" s="2" t="s">
        <v>44</v>
      </c>
      <c r="I426" s="9">
        <v>30436</v>
      </c>
    </row>
    <row r="427" spans="1:9" x14ac:dyDescent="0.25">
      <c r="A427" s="2" t="s">
        <v>17</v>
      </c>
      <c r="B427" s="2">
        <v>1550</v>
      </c>
      <c r="C427" s="2">
        <v>5</v>
      </c>
      <c r="D427" s="2" t="s">
        <v>34</v>
      </c>
      <c r="E427" s="3">
        <v>44120</v>
      </c>
      <c r="F427" s="2" t="s">
        <v>56</v>
      </c>
      <c r="G427" s="2" t="s">
        <v>57</v>
      </c>
      <c r="H427" s="2" t="s">
        <v>44</v>
      </c>
      <c r="I427" s="9">
        <v>23445</v>
      </c>
    </row>
    <row r="428" spans="1:9" x14ac:dyDescent="0.25">
      <c r="A428" s="2" t="s">
        <v>10</v>
      </c>
      <c r="B428" s="2">
        <v>1450</v>
      </c>
      <c r="C428" s="2">
        <v>5</v>
      </c>
      <c r="D428" s="2" t="s">
        <v>40</v>
      </c>
      <c r="E428" s="3">
        <v>43999</v>
      </c>
      <c r="F428" s="2" t="s">
        <v>129</v>
      </c>
      <c r="G428" s="2" t="s">
        <v>273</v>
      </c>
      <c r="H428" s="2" t="s">
        <v>49</v>
      </c>
      <c r="I428" s="9">
        <v>25858</v>
      </c>
    </row>
    <row r="429" spans="1:9" x14ac:dyDescent="0.25">
      <c r="A429" s="2" t="s">
        <v>18</v>
      </c>
      <c r="B429" s="2">
        <v>3000</v>
      </c>
      <c r="C429" s="2">
        <v>3</v>
      </c>
      <c r="D429" s="2" t="s">
        <v>31</v>
      </c>
      <c r="E429" s="3">
        <v>43854</v>
      </c>
      <c r="F429" s="2" t="s">
        <v>101</v>
      </c>
      <c r="G429" s="2" t="s">
        <v>83</v>
      </c>
      <c r="H429" s="2" t="s">
        <v>49</v>
      </c>
      <c r="I429" s="9">
        <v>20172</v>
      </c>
    </row>
    <row r="430" spans="1:9" x14ac:dyDescent="0.25">
      <c r="A430" s="2" t="s">
        <v>22</v>
      </c>
      <c r="B430" s="2">
        <v>5200</v>
      </c>
      <c r="C430" s="2">
        <v>4</v>
      </c>
      <c r="D430" s="2" t="s">
        <v>33</v>
      </c>
      <c r="E430" s="3">
        <v>43874</v>
      </c>
      <c r="F430" s="2" t="s">
        <v>52</v>
      </c>
      <c r="G430" s="2" t="s">
        <v>75</v>
      </c>
      <c r="H430" s="2" t="s">
        <v>44</v>
      </c>
      <c r="I430" s="9">
        <v>29332</v>
      </c>
    </row>
    <row r="431" spans="1:9" x14ac:dyDescent="0.25">
      <c r="A431" s="2" t="s">
        <v>13</v>
      </c>
      <c r="B431" s="2">
        <v>2300</v>
      </c>
      <c r="C431" s="2">
        <v>4</v>
      </c>
      <c r="D431" s="2" t="s">
        <v>41</v>
      </c>
      <c r="E431" s="3">
        <v>43956</v>
      </c>
      <c r="F431" s="2" t="s">
        <v>259</v>
      </c>
      <c r="G431" s="2" t="s">
        <v>198</v>
      </c>
      <c r="H431" s="2" t="s">
        <v>49</v>
      </c>
      <c r="I431" s="9">
        <v>28063</v>
      </c>
    </row>
    <row r="432" spans="1:9" x14ac:dyDescent="0.25">
      <c r="A432" s="2" t="s">
        <v>24</v>
      </c>
      <c r="B432" s="2">
        <v>2000</v>
      </c>
      <c r="C432" s="2">
        <v>1</v>
      </c>
      <c r="D432" s="2" t="s">
        <v>29</v>
      </c>
      <c r="E432" s="3">
        <v>44118</v>
      </c>
      <c r="F432" s="2" t="s">
        <v>78</v>
      </c>
      <c r="G432" s="2" t="s">
        <v>612</v>
      </c>
      <c r="H432" s="2" t="s">
        <v>49</v>
      </c>
      <c r="I432" s="9">
        <v>31800</v>
      </c>
    </row>
    <row r="433" spans="1:9" x14ac:dyDescent="0.25">
      <c r="A433" s="2" t="s">
        <v>24</v>
      </c>
      <c r="B433" s="2">
        <v>2000</v>
      </c>
      <c r="C433" s="2">
        <v>5</v>
      </c>
      <c r="D433" s="2" t="s">
        <v>36</v>
      </c>
      <c r="E433" s="3">
        <v>44059</v>
      </c>
      <c r="F433" s="2" t="s">
        <v>173</v>
      </c>
      <c r="G433" s="2" t="s">
        <v>359</v>
      </c>
      <c r="H433" s="2" t="s">
        <v>44</v>
      </c>
      <c r="I433" s="9">
        <v>33395</v>
      </c>
    </row>
    <row r="434" spans="1:9" x14ac:dyDescent="0.25">
      <c r="A434" s="2" t="s">
        <v>12</v>
      </c>
      <c r="B434" s="2">
        <v>6500</v>
      </c>
      <c r="C434" s="2">
        <v>1</v>
      </c>
      <c r="D434" s="2" t="s">
        <v>41</v>
      </c>
      <c r="E434" s="3">
        <v>43994</v>
      </c>
      <c r="F434" s="2" t="s">
        <v>267</v>
      </c>
      <c r="G434" s="2" t="s">
        <v>67</v>
      </c>
      <c r="H434" s="2" t="s">
        <v>44</v>
      </c>
      <c r="I434" s="9">
        <v>25000</v>
      </c>
    </row>
    <row r="435" spans="1:9" x14ac:dyDescent="0.25">
      <c r="A435" s="2" t="s">
        <v>8</v>
      </c>
      <c r="B435" s="2">
        <v>5500</v>
      </c>
      <c r="C435" s="2">
        <v>3</v>
      </c>
      <c r="D435" s="2" t="s">
        <v>32</v>
      </c>
      <c r="E435" s="3">
        <v>44073</v>
      </c>
      <c r="F435" s="2" t="s">
        <v>377</v>
      </c>
      <c r="G435" s="2" t="s">
        <v>89</v>
      </c>
      <c r="H435" s="2" t="s">
        <v>49</v>
      </c>
      <c r="I435" s="9">
        <v>30121</v>
      </c>
    </row>
    <row r="436" spans="1:9" x14ac:dyDescent="0.25">
      <c r="A436" s="2" t="s">
        <v>19</v>
      </c>
      <c r="B436" s="2">
        <v>700</v>
      </c>
      <c r="C436" s="2">
        <v>2</v>
      </c>
      <c r="D436" s="2" t="s">
        <v>29</v>
      </c>
      <c r="E436" s="3">
        <v>43963</v>
      </c>
      <c r="F436" s="2" t="s">
        <v>221</v>
      </c>
      <c r="G436" s="2" t="s">
        <v>467</v>
      </c>
      <c r="H436" s="2" t="s">
        <v>44</v>
      </c>
      <c r="I436" s="9">
        <v>35281</v>
      </c>
    </row>
    <row r="437" spans="1:9" x14ac:dyDescent="0.25">
      <c r="A437" s="2" t="s">
        <v>9</v>
      </c>
      <c r="B437" s="2">
        <v>1500</v>
      </c>
      <c r="C437" s="2">
        <v>4</v>
      </c>
      <c r="D437" s="2" t="s">
        <v>37</v>
      </c>
      <c r="E437" s="3">
        <v>44086</v>
      </c>
      <c r="F437" s="2" t="s">
        <v>401</v>
      </c>
      <c r="G437" s="2" t="s">
        <v>310</v>
      </c>
      <c r="H437" s="2" t="s">
        <v>49</v>
      </c>
      <c r="I437" s="9">
        <v>33535</v>
      </c>
    </row>
    <row r="438" spans="1:9" x14ac:dyDescent="0.25">
      <c r="A438" s="2" t="s">
        <v>23</v>
      </c>
      <c r="B438" s="2">
        <v>1500</v>
      </c>
      <c r="C438" s="2">
        <v>2</v>
      </c>
      <c r="D438" s="2" t="s">
        <v>37</v>
      </c>
      <c r="E438" s="3">
        <v>44095</v>
      </c>
      <c r="F438" s="2" t="s">
        <v>298</v>
      </c>
      <c r="G438" s="2" t="s">
        <v>434</v>
      </c>
      <c r="H438" s="2" t="s">
        <v>44</v>
      </c>
      <c r="I438" s="9">
        <v>25626</v>
      </c>
    </row>
    <row r="439" spans="1:9" x14ac:dyDescent="0.25">
      <c r="A439" s="2" t="s">
        <v>22</v>
      </c>
      <c r="B439" s="2">
        <v>5200</v>
      </c>
      <c r="C439" s="2">
        <v>5</v>
      </c>
      <c r="D439" s="2" t="s">
        <v>41</v>
      </c>
      <c r="E439" s="3">
        <v>43951</v>
      </c>
      <c r="F439" s="2" t="s">
        <v>225</v>
      </c>
      <c r="G439" s="2" t="s">
        <v>292</v>
      </c>
      <c r="H439" s="2" t="s">
        <v>44</v>
      </c>
      <c r="I439" s="9">
        <v>32316</v>
      </c>
    </row>
    <row r="440" spans="1:9" x14ac:dyDescent="0.25">
      <c r="A440" s="2" t="s">
        <v>12</v>
      </c>
      <c r="B440" s="2">
        <v>6500</v>
      </c>
      <c r="C440" s="2">
        <v>4</v>
      </c>
      <c r="D440" s="2" t="s">
        <v>29</v>
      </c>
      <c r="E440" s="3">
        <v>44175</v>
      </c>
      <c r="F440" s="2" t="s">
        <v>109</v>
      </c>
      <c r="G440" s="2" t="s">
        <v>291</v>
      </c>
      <c r="H440" s="2" t="s">
        <v>44</v>
      </c>
      <c r="I440" s="9">
        <v>29680</v>
      </c>
    </row>
    <row r="441" spans="1:9" x14ac:dyDescent="0.25">
      <c r="A441" s="2" t="s">
        <v>28</v>
      </c>
      <c r="B441" s="2">
        <v>1400</v>
      </c>
      <c r="C441" s="2">
        <v>2</v>
      </c>
      <c r="D441" s="2" t="s">
        <v>29</v>
      </c>
      <c r="E441" s="3">
        <v>43898</v>
      </c>
      <c r="F441" s="2" t="s">
        <v>256</v>
      </c>
      <c r="G441" s="2" t="s">
        <v>205</v>
      </c>
      <c r="H441" s="2" t="s">
        <v>44</v>
      </c>
      <c r="I441" s="9">
        <v>34901</v>
      </c>
    </row>
    <row r="442" spans="1:9" x14ac:dyDescent="0.25">
      <c r="A442" s="2" t="s">
        <v>28</v>
      </c>
      <c r="B442" s="2">
        <v>1400</v>
      </c>
      <c r="C442" s="2">
        <v>4</v>
      </c>
      <c r="D442" s="2" t="s">
        <v>41</v>
      </c>
      <c r="E442" s="3">
        <v>43970</v>
      </c>
      <c r="F442" s="2" t="s">
        <v>521</v>
      </c>
      <c r="G442" s="2" t="s">
        <v>231</v>
      </c>
      <c r="H442" s="2" t="s">
        <v>49</v>
      </c>
      <c r="I442" s="9">
        <v>30181</v>
      </c>
    </row>
    <row r="443" spans="1:9" x14ac:dyDescent="0.25">
      <c r="A443" s="2" t="s">
        <v>20</v>
      </c>
      <c r="B443" s="2">
        <v>2600</v>
      </c>
      <c r="C443" s="2">
        <v>5</v>
      </c>
      <c r="D443" s="2" t="s">
        <v>32</v>
      </c>
      <c r="E443" s="3">
        <v>44184</v>
      </c>
      <c r="F443" s="2" t="s">
        <v>414</v>
      </c>
      <c r="G443" s="2" t="s">
        <v>308</v>
      </c>
      <c r="H443" s="2" t="s">
        <v>44</v>
      </c>
      <c r="I443" s="9">
        <v>36278</v>
      </c>
    </row>
    <row r="444" spans="1:9" x14ac:dyDescent="0.25">
      <c r="A444" s="2" t="s">
        <v>17</v>
      </c>
      <c r="B444" s="2">
        <v>1550</v>
      </c>
      <c r="C444" s="2">
        <v>1</v>
      </c>
      <c r="D444" s="2" t="s">
        <v>38</v>
      </c>
      <c r="E444" s="3">
        <v>43997</v>
      </c>
      <c r="F444" s="2" t="s">
        <v>379</v>
      </c>
      <c r="G444" s="2" t="s">
        <v>380</v>
      </c>
      <c r="H444" s="2" t="s">
        <v>44</v>
      </c>
      <c r="I444" s="9">
        <v>20654</v>
      </c>
    </row>
    <row r="445" spans="1:9" x14ac:dyDescent="0.25">
      <c r="A445" s="2" t="s">
        <v>26</v>
      </c>
      <c r="B445" s="2">
        <v>1100</v>
      </c>
      <c r="C445" s="2">
        <v>3</v>
      </c>
      <c r="D445" s="2" t="s">
        <v>36</v>
      </c>
      <c r="E445" s="3">
        <v>44094</v>
      </c>
      <c r="F445" s="2" t="s">
        <v>42</v>
      </c>
      <c r="G445" s="2" t="s">
        <v>495</v>
      </c>
      <c r="H445" s="2" t="s">
        <v>44</v>
      </c>
      <c r="I445" s="9">
        <v>18461</v>
      </c>
    </row>
    <row r="446" spans="1:9" x14ac:dyDescent="0.25">
      <c r="A446" s="2" t="s">
        <v>8</v>
      </c>
      <c r="B446" s="2">
        <v>5500</v>
      </c>
      <c r="C446" s="2">
        <v>4</v>
      </c>
      <c r="D446" s="2" t="s">
        <v>32</v>
      </c>
      <c r="E446" s="3">
        <v>43839</v>
      </c>
      <c r="F446" s="2" t="s">
        <v>556</v>
      </c>
      <c r="G446" s="2" t="s">
        <v>622</v>
      </c>
      <c r="H446" s="2" t="s">
        <v>44</v>
      </c>
      <c r="I446" s="9">
        <v>27930</v>
      </c>
    </row>
    <row r="447" spans="1:9" x14ac:dyDescent="0.25">
      <c r="A447" s="2" t="s">
        <v>10</v>
      </c>
      <c r="B447" s="2">
        <v>1450</v>
      </c>
      <c r="C447" s="2">
        <v>5</v>
      </c>
      <c r="D447" s="2" t="s">
        <v>34</v>
      </c>
      <c r="E447" s="3">
        <v>44144</v>
      </c>
      <c r="F447" s="2" t="s">
        <v>452</v>
      </c>
      <c r="G447" s="2" t="s">
        <v>453</v>
      </c>
      <c r="H447" s="2" t="s">
        <v>44</v>
      </c>
      <c r="I447" s="9">
        <v>29510</v>
      </c>
    </row>
    <row r="448" spans="1:9" x14ac:dyDescent="0.25">
      <c r="A448" s="2" t="s">
        <v>6</v>
      </c>
      <c r="B448" s="2">
        <v>1200</v>
      </c>
      <c r="C448" s="2">
        <v>4</v>
      </c>
      <c r="D448" s="2" t="s">
        <v>29</v>
      </c>
      <c r="E448" s="3">
        <v>43859</v>
      </c>
      <c r="F448" s="2" t="s">
        <v>155</v>
      </c>
      <c r="G448" s="2" t="s">
        <v>230</v>
      </c>
      <c r="H448" s="2" t="s">
        <v>44</v>
      </c>
      <c r="I448" s="9">
        <v>22868</v>
      </c>
    </row>
    <row r="449" spans="1:9" x14ac:dyDescent="0.25">
      <c r="A449" s="2" t="s">
        <v>11</v>
      </c>
      <c r="B449" s="2">
        <v>4500</v>
      </c>
      <c r="C449" s="2">
        <v>3</v>
      </c>
      <c r="D449" s="2" t="s">
        <v>37</v>
      </c>
      <c r="E449" s="3">
        <v>43906</v>
      </c>
      <c r="F449" s="2" t="s">
        <v>551</v>
      </c>
      <c r="G449" s="2" t="s">
        <v>198</v>
      </c>
      <c r="H449" s="2" t="s">
        <v>44</v>
      </c>
      <c r="I449" s="9">
        <v>25456</v>
      </c>
    </row>
    <row r="450" spans="1:9" x14ac:dyDescent="0.25">
      <c r="A450" s="2" t="s">
        <v>12</v>
      </c>
      <c r="B450" s="2">
        <v>6500</v>
      </c>
      <c r="C450" s="2">
        <v>1</v>
      </c>
      <c r="D450" s="2" t="s">
        <v>30</v>
      </c>
      <c r="E450" s="3">
        <v>43837</v>
      </c>
      <c r="F450" s="2" t="s">
        <v>78</v>
      </c>
      <c r="G450" s="2" t="s">
        <v>443</v>
      </c>
      <c r="H450" s="2" t="s">
        <v>49</v>
      </c>
      <c r="I450" s="9">
        <v>35369</v>
      </c>
    </row>
    <row r="451" spans="1:9" x14ac:dyDescent="0.25">
      <c r="A451" s="2" t="s">
        <v>10</v>
      </c>
      <c r="B451" s="2">
        <v>1450</v>
      </c>
      <c r="C451" s="2">
        <v>4</v>
      </c>
      <c r="D451" s="2" t="s">
        <v>31</v>
      </c>
      <c r="E451" s="3">
        <v>44159</v>
      </c>
      <c r="F451" s="2" t="s">
        <v>371</v>
      </c>
      <c r="G451" s="2" t="s">
        <v>372</v>
      </c>
      <c r="H451" s="2" t="s">
        <v>44</v>
      </c>
      <c r="I451" s="9">
        <v>21789</v>
      </c>
    </row>
    <row r="452" spans="1:9" x14ac:dyDescent="0.25">
      <c r="A452" s="2" t="s">
        <v>9</v>
      </c>
      <c r="B452" s="2">
        <v>1500</v>
      </c>
      <c r="C452" s="2">
        <v>1</v>
      </c>
      <c r="D452" s="2" t="s">
        <v>41</v>
      </c>
      <c r="E452" s="3">
        <v>44023</v>
      </c>
      <c r="F452" s="2" t="s">
        <v>66</v>
      </c>
      <c r="G452" s="2" t="s">
        <v>69</v>
      </c>
      <c r="H452" s="2" t="s">
        <v>44</v>
      </c>
      <c r="I452" s="9">
        <v>35823</v>
      </c>
    </row>
    <row r="453" spans="1:9" x14ac:dyDescent="0.25">
      <c r="A453" s="2" t="s">
        <v>16</v>
      </c>
      <c r="B453" s="2">
        <v>1400</v>
      </c>
      <c r="C453" s="2">
        <v>1</v>
      </c>
      <c r="D453" s="2" t="s">
        <v>39</v>
      </c>
      <c r="E453" s="3">
        <v>44163</v>
      </c>
      <c r="F453" s="2" t="s">
        <v>155</v>
      </c>
      <c r="G453" s="2" t="s">
        <v>220</v>
      </c>
      <c r="H453" s="2" t="s">
        <v>44</v>
      </c>
      <c r="I453" s="9">
        <v>23658</v>
      </c>
    </row>
    <row r="454" spans="1:9" x14ac:dyDescent="0.25">
      <c r="A454" s="2" t="s">
        <v>26</v>
      </c>
      <c r="B454" s="2">
        <v>1100</v>
      </c>
      <c r="C454" s="2">
        <v>2</v>
      </c>
      <c r="D454" s="2" t="s">
        <v>37</v>
      </c>
      <c r="E454" s="3">
        <v>44124</v>
      </c>
      <c r="F454" s="2" t="s">
        <v>398</v>
      </c>
      <c r="G454" s="2" t="s">
        <v>232</v>
      </c>
      <c r="H454" s="2" t="s">
        <v>44</v>
      </c>
      <c r="I454" s="9">
        <v>22605</v>
      </c>
    </row>
    <row r="455" spans="1:9" x14ac:dyDescent="0.25">
      <c r="A455" s="2" t="s">
        <v>20</v>
      </c>
      <c r="B455" s="2">
        <v>2600</v>
      </c>
      <c r="C455" s="2">
        <v>1</v>
      </c>
      <c r="D455" s="2" t="s">
        <v>41</v>
      </c>
      <c r="E455" s="3">
        <v>43939</v>
      </c>
      <c r="F455" s="2" t="s">
        <v>355</v>
      </c>
      <c r="G455" s="2" t="s">
        <v>229</v>
      </c>
      <c r="H455" s="2" t="s">
        <v>44</v>
      </c>
      <c r="I455" s="9">
        <v>36707</v>
      </c>
    </row>
    <row r="456" spans="1:9" x14ac:dyDescent="0.25">
      <c r="A456" s="2" t="s">
        <v>12</v>
      </c>
      <c r="B456" s="2">
        <v>6500</v>
      </c>
      <c r="C456" s="2">
        <v>1</v>
      </c>
      <c r="D456" s="2" t="s">
        <v>33</v>
      </c>
      <c r="E456" s="3">
        <v>44127</v>
      </c>
      <c r="F456" s="2" t="s">
        <v>78</v>
      </c>
      <c r="G456" s="2" t="s">
        <v>83</v>
      </c>
      <c r="H456" s="2" t="s">
        <v>49</v>
      </c>
      <c r="I456" s="9">
        <v>19821</v>
      </c>
    </row>
    <row r="457" spans="1:9" x14ac:dyDescent="0.25">
      <c r="A457" s="2" t="s">
        <v>25</v>
      </c>
      <c r="B457" s="2">
        <v>2500</v>
      </c>
      <c r="C457" s="2">
        <v>5</v>
      </c>
      <c r="D457" s="2" t="s">
        <v>32</v>
      </c>
      <c r="E457" s="3">
        <v>43884</v>
      </c>
      <c r="F457" s="2" t="s">
        <v>312</v>
      </c>
      <c r="G457" s="2" t="s">
        <v>63</v>
      </c>
      <c r="H457" s="2" t="s">
        <v>49</v>
      </c>
      <c r="I457" s="9">
        <v>20954</v>
      </c>
    </row>
    <row r="458" spans="1:9" x14ac:dyDescent="0.25">
      <c r="A458" s="2" t="s">
        <v>23</v>
      </c>
      <c r="B458" s="2">
        <v>1500</v>
      </c>
      <c r="C458" s="2">
        <v>4</v>
      </c>
      <c r="D458" s="2" t="s">
        <v>36</v>
      </c>
      <c r="E458" s="3">
        <v>44194</v>
      </c>
      <c r="F458" s="2" t="s">
        <v>388</v>
      </c>
      <c r="G458" s="2" t="s">
        <v>287</v>
      </c>
      <c r="H458" s="2" t="s">
        <v>44</v>
      </c>
      <c r="I458" s="9">
        <v>25429</v>
      </c>
    </row>
    <row r="459" spans="1:9" x14ac:dyDescent="0.25">
      <c r="A459" s="2" t="s">
        <v>28</v>
      </c>
      <c r="B459" s="2">
        <v>1400</v>
      </c>
      <c r="C459" s="2">
        <v>3</v>
      </c>
      <c r="D459" s="2" t="s">
        <v>37</v>
      </c>
      <c r="E459" s="3">
        <v>43897</v>
      </c>
      <c r="F459" s="2" t="s">
        <v>398</v>
      </c>
      <c r="G459" s="2" t="s">
        <v>232</v>
      </c>
      <c r="H459" s="2" t="s">
        <v>44</v>
      </c>
      <c r="I459" s="9">
        <v>22605</v>
      </c>
    </row>
    <row r="460" spans="1:9" x14ac:dyDescent="0.25">
      <c r="A460" s="2" t="s">
        <v>9</v>
      </c>
      <c r="B460" s="2">
        <v>1500</v>
      </c>
      <c r="C460" s="2">
        <v>5</v>
      </c>
      <c r="D460" s="2" t="s">
        <v>29</v>
      </c>
      <c r="E460" s="3">
        <v>44017</v>
      </c>
      <c r="F460" s="2" t="s">
        <v>170</v>
      </c>
      <c r="G460" s="2" t="s">
        <v>463</v>
      </c>
      <c r="H460" s="2" t="s">
        <v>44</v>
      </c>
      <c r="I460" s="9">
        <v>30086</v>
      </c>
    </row>
    <row r="461" spans="1:9" x14ac:dyDescent="0.25">
      <c r="A461" s="2" t="s">
        <v>11</v>
      </c>
      <c r="B461" s="2">
        <v>4500</v>
      </c>
      <c r="C461" s="2">
        <v>1</v>
      </c>
      <c r="D461" s="2" t="s">
        <v>41</v>
      </c>
      <c r="E461" s="3">
        <v>44024</v>
      </c>
      <c r="F461" s="2" t="s">
        <v>259</v>
      </c>
      <c r="G461" s="2" t="s">
        <v>346</v>
      </c>
      <c r="H461" s="2" t="s">
        <v>49</v>
      </c>
      <c r="I461" s="9">
        <v>20478</v>
      </c>
    </row>
    <row r="462" spans="1:9" x14ac:dyDescent="0.25">
      <c r="A462" s="2" t="s">
        <v>14</v>
      </c>
      <c r="B462" s="2">
        <v>2000</v>
      </c>
      <c r="C462" s="2">
        <v>2</v>
      </c>
      <c r="D462" s="2" t="s">
        <v>41</v>
      </c>
      <c r="E462" s="3">
        <v>43916</v>
      </c>
      <c r="F462" s="2" t="s">
        <v>521</v>
      </c>
      <c r="G462" s="2" t="s">
        <v>231</v>
      </c>
      <c r="H462" s="2" t="s">
        <v>49</v>
      </c>
      <c r="I462" s="9">
        <v>30181</v>
      </c>
    </row>
    <row r="463" spans="1:9" x14ac:dyDescent="0.25">
      <c r="A463" s="2" t="s">
        <v>26</v>
      </c>
      <c r="B463" s="2">
        <v>1100</v>
      </c>
      <c r="C463" s="2">
        <v>1</v>
      </c>
      <c r="D463" s="2" t="s">
        <v>41</v>
      </c>
      <c r="E463" s="3">
        <v>44160</v>
      </c>
      <c r="F463" s="2" t="s">
        <v>355</v>
      </c>
      <c r="G463" s="2" t="s">
        <v>229</v>
      </c>
      <c r="H463" s="2" t="s">
        <v>44</v>
      </c>
      <c r="I463" s="9">
        <v>36707</v>
      </c>
    </row>
    <row r="464" spans="1:9" x14ac:dyDescent="0.25">
      <c r="A464" s="2" t="s">
        <v>24</v>
      </c>
      <c r="B464" s="2">
        <v>2000</v>
      </c>
      <c r="C464" s="2">
        <v>5</v>
      </c>
      <c r="D464" s="2" t="s">
        <v>40</v>
      </c>
      <c r="E464" s="3">
        <v>44087</v>
      </c>
      <c r="F464" s="2" t="s">
        <v>173</v>
      </c>
      <c r="G464" s="2" t="s">
        <v>480</v>
      </c>
      <c r="H464" s="2" t="s">
        <v>44</v>
      </c>
      <c r="I464" s="9">
        <v>28612</v>
      </c>
    </row>
    <row r="465" spans="1:9" x14ac:dyDescent="0.25">
      <c r="A465" s="2" t="s">
        <v>13</v>
      </c>
      <c r="B465" s="2">
        <v>2300</v>
      </c>
      <c r="C465" s="2">
        <v>1</v>
      </c>
      <c r="D465" s="2" t="s">
        <v>29</v>
      </c>
      <c r="E465" s="3">
        <v>43892</v>
      </c>
      <c r="F465" s="2" t="s">
        <v>144</v>
      </c>
      <c r="G465" s="2" t="s">
        <v>145</v>
      </c>
      <c r="H465" s="2" t="s">
        <v>49</v>
      </c>
      <c r="I465" s="9">
        <v>27944</v>
      </c>
    </row>
    <row r="466" spans="1:9" x14ac:dyDescent="0.25">
      <c r="A466" s="2" t="s">
        <v>13</v>
      </c>
      <c r="B466" s="2">
        <v>2300</v>
      </c>
      <c r="C466" s="2">
        <v>3</v>
      </c>
      <c r="D466" s="2" t="s">
        <v>40</v>
      </c>
      <c r="E466" s="3">
        <v>43903</v>
      </c>
      <c r="F466" s="2" t="s">
        <v>457</v>
      </c>
      <c r="G466" s="2" t="s">
        <v>458</v>
      </c>
      <c r="H466" s="2" t="s">
        <v>49</v>
      </c>
      <c r="I466" s="9">
        <v>30745</v>
      </c>
    </row>
    <row r="467" spans="1:9" x14ac:dyDescent="0.25">
      <c r="A467" s="2" t="s">
        <v>11</v>
      </c>
      <c r="B467" s="2">
        <v>4500</v>
      </c>
      <c r="C467" s="2">
        <v>5</v>
      </c>
      <c r="D467" s="2" t="s">
        <v>29</v>
      </c>
      <c r="E467" s="3">
        <v>43881</v>
      </c>
      <c r="F467" s="2" t="s">
        <v>256</v>
      </c>
      <c r="G467" s="2" t="s">
        <v>205</v>
      </c>
      <c r="H467" s="2" t="s">
        <v>44</v>
      </c>
      <c r="I467" s="9">
        <v>34901</v>
      </c>
    </row>
    <row r="468" spans="1:9" x14ac:dyDescent="0.25">
      <c r="A468" s="2" t="s">
        <v>19</v>
      </c>
      <c r="B468" s="2">
        <v>700</v>
      </c>
      <c r="C468" s="2">
        <v>5</v>
      </c>
      <c r="D468" s="2" t="s">
        <v>41</v>
      </c>
      <c r="E468" s="3">
        <v>44168</v>
      </c>
      <c r="F468" s="2" t="s">
        <v>267</v>
      </c>
      <c r="G468" s="2" t="s">
        <v>308</v>
      </c>
      <c r="H468" s="2" t="s">
        <v>44</v>
      </c>
      <c r="I468" s="9">
        <v>30823</v>
      </c>
    </row>
    <row r="469" spans="1:9" x14ac:dyDescent="0.25">
      <c r="A469" s="2" t="s">
        <v>23</v>
      </c>
      <c r="B469" s="2">
        <v>1500</v>
      </c>
      <c r="C469" s="2">
        <v>5</v>
      </c>
      <c r="D469" s="2" t="s">
        <v>32</v>
      </c>
      <c r="E469" s="3">
        <v>44032</v>
      </c>
      <c r="F469" s="2" t="s">
        <v>312</v>
      </c>
      <c r="G469" s="2" t="s">
        <v>63</v>
      </c>
      <c r="H469" s="2" t="s">
        <v>49</v>
      </c>
      <c r="I469" s="9">
        <v>20954</v>
      </c>
    </row>
    <row r="470" spans="1:9" x14ac:dyDescent="0.25">
      <c r="A470" s="2" t="s">
        <v>23</v>
      </c>
      <c r="B470" s="2">
        <v>1500</v>
      </c>
      <c r="C470" s="2">
        <v>5</v>
      </c>
      <c r="D470" s="2" t="s">
        <v>39</v>
      </c>
      <c r="E470" s="3">
        <v>44068</v>
      </c>
      <c r="F470" s="2" t="s">
        <v>354</v>
      </c>
      <c r="G470" s="2" t="s">
        <v>310</v>
      </c>
      <c r="H470" s="2" t="s">
        <v>49</v>
      </c>
      <c r="I470" s="9">
        <v>30770</v>
      </c>
    </row>
    <row r="471" spans="1:9" x14ac:dyDescent="0.25">
      <c r="A471" s="2" t="s">
        <v>9</v>
      </c>
      <c r="B471" s="2">
        <v>1500</v>
      </c>
      <c r="C471" s="2">
        <v>4</v>
      </c>
      <c r="D471" s="2" t="s">
        <v>39</v>
      </c>
      <c r="E471" s="3">
        <v>43871</v>
      </c>
      <c r="F471" s="2" t="s">
        <v>185</v>
      </c>
      <c r="G471" s="2" t="s">
        <v>311</v>
      </c>
      <c r="H471" s="2" t="s">
        <v>44</v>
      </c>
      <c r="I471" s="9">
        <v>26928</v>
      </c>
    </row>
    <row r="472" spans="1:9" x14ac:dyDescent="0.25">
      <c r="A472" s="2" t="s">
        <v>19</v>
      </c>
      <c r="B472" s="2">
        <v>700</v>
      </c>
      <c r="C472" s="2">
        <v>5</v>
      </c>
      <c r="D472" s="2" t="s">
        <v>29</v>
      </c>
      <c r="E472" s="3">
        <v>43983</v>
      </c>
      <c r="F472" s="2" t="s">
        <v>74</v>
      </c>
      <c r="G472" s="2" t="s">
        <v>63</v>
      </c>
      <c r="H472" s="2" t="s">
        <v>44</v>
      </c>
      <c r="I472" s="9">
        <v>26891</v>
      </c>
    </row>
    <row r="473" spans="1:9" x14ac:dyDescent="0.25">
      <c r="A473" s="2" t="s">
        <v>13</v>
      </c>
      <c r="B473" s="2">
        <v>2300</v>
      </c>
      <c r="C473" s="2">
        <v>5</v>
      </c>
      <c r="D473" s="2" t="s">
        <v>32</v>
      </c>
      <c r="E473" s="3">
        <v>43995</v>
      </c>
      <c r="F473" s="2" t="s">
        <v>585</v>
      </c>
      <c r="G473" s="2" t="s">
        <v>276</v>
      </c>
      <c r="H473" s="2" t="s">
        <v>44</v>
      </c>
      <c r="I473" s="9">
        <v>19843</v>
      </c>
    </row>
    <row r="474" spans="1:9" x14ac:dyDescent="0.25">
      <c r="A474" s="2" t="s">
        <v>8</v>
      </c>
      <c r="B474" s="2">
        <v>5500</v>
      </c>
      <c r="C474" s="2">
        <v>5</v>
      </c>
      <c r="D474" s="2" t="s">
        <v>29</v>
      </c>
      <c r="E474" s="3">
        <v>44050</v>
      </c>
      <c r="F474" s="2" t="s">
        <v>277</v>
      </c>
      <c r="G474" s="2" t="s">
        <v>164</v>
      </c>
      <c r="H474" s="2" t="s">
        <v>49</v>
      </c>
      <c r="I474" s="9">
        <v>22472</v>
      </c>
    </row>
    <row r="475" spans="1:9" x14ac:dyDescent="0.25">
      <c r="A475" s="2" t="s">
        <v>6</v>
      </c>
      <c r="B475" s="2">
        <v>1200</v>
      </c>
      <c r="C475" s="2">
        <v>1</v>
      </c>
      <c r="D475" s="2" t="s">
        <v>33</v>
      </c>
      <c r="E475" s="3">
        <v>43859</v>
      </c>
      <c r="F475" s="2" t="s">
        <v>42</v>
      </c>
      <c r="G475" s="2" t="s">
        <v>459</v>
      </c>
      <c r="H475" s="2" t="s">
        <v>44</v>
      </c>
      <c r="I475" s="9">
        <v>30122</v>
      </c>
    </row>
    <row r="476" spans="1:9" x14ac:dyDescent="0.25">
      <c r="A476" s="2" t="s">
        <v>9</v>
      </c>
      <c r="B476" s="2">
        <v>1500</v>
      </c>
      <c r="C476" s="2">
        <v>3</v>
      </c>
      <c r="D476" s="2" t="s">
        <v>38</v>
      </c>
      <c r="E476" s="3">
        <v>44159</v>
      </c>
      <c r="F476" s="2" t="s">
        <v>140</v>
      </c>
      <c r="G476" s="2" t="s">
        <v>244</v>
      </c>
      <c r="H476" s="2" t="s">
        <v>49</v>
      </c>
      <c r="I476" s="9">
        <v>18491</v>
      </c>
    </row>
    <row r="477" spans="1:9" x14ac:dyDescent="0.25">
      <c r="A477" s="2" t="s">
        <v>22</v>
      </c>
      <c r="B477" s="2">
        <v>5200</v>
      </c>
      <c r="C477" s="2">
        <v>1</v>
      </c>
      <c r="D477" s="2" t="s">
        <v>29</v>
      </c>
      <c r="E477" s="3">
        <v>43956</v>
      </c>
      <c r="F477" s="2" t="s">
        <v>339</v>
      </c>
      <c r="G477" s="2" t="s">
        <v>63</v>
      </c>
      <c r="H477" s="2" t="s">
        <v>44</v>
      </c>
      <c r="I477" s="9">
        <v>25183</v>
      </c>
    </row>
    <row r="478" spans="1:9" x14ac:dyDescent="0.25">
      <c r="A478" s="2" t="s">
        <v>9</v>
      </c>
      <c r="B478" s="2">
        <v>1500</v>
      </c>
      <c r="C478" s="2">
        <v>3</v>
      </c>
      <c r="D478" s="2" t="s">
        <v>34</v>
      </c>
      <c r="E478" s="3">
        <v>43929</v>
      </c>
      <c r="F478" s="2" t="s">
        <v>437</v>
      </c>
      <c r="G478" s="2" t="s">
        <v>203</v>
      </c>
      <c r="H478" s="2" t="s">
        <v>44</v>
      </c>
      <c r="I478" s="9">
        <v>36608</v>
      </c>
    </row>
    <row r="479" spans="1:9" x14ac:dyDescent="0.25">
      <c r="A479" s="2" t="s">
        <v>8</v>
      </c>
      <c r="B479" s="2">
        <v>5500</v>
      </c>
      <c r="C479" s="2">
        <v>1</v>
      </c>
      <c r="D479" s="2" t="s">
        <v>29</v>
      </c>
      <c r="E479" s="3">
        <v>44126</v>
      </c>
      <c r="F479" s="2" t="s">
        <v>333</v>
      </c>
      <c r="G479" s="2" t="s">
        <v>334</v>
      </c>
      <c r="H479" s="2" t="s">
        <v>44</v>
      </c>
      <c r="I479" s="9">
        <v>26869</v>
      </c>
    </row>
    <row r="480" spans="1:9" x14ac:dyDescent="0.25">
      <c r="A480" s="2" t="s">
        <v>9</v>
      </c>
      <c r="B480" s="2">
        <v>1500</v>
      </c>
      <c r="C480" s="2">
        <v>4</v>
      </c>
      <c r="D480" s="2" t="s">
        <v>41</v>
      </c>
      <c r="E480" s="3">
        <v>43831</v>
      </c>
      <c r="F480" s="2" t="s">
        <v>221</v>
      </c>
      <c r="G480" s="2" t="s">
        <v>222</v>
      </c>
      <c r="H480" s="2" t="s">
        <v>44</v>
      </c>
      <c r="I480" s="9">
        <v>35083</v>
      </c>
    </row>
    <row r="481" spans="1:9" x14ac:dyDescent="0.25">
      <c r="A481" s="2" t="s">
        <v>24</v>
      </c>
      <c r="B481" s="2">
        <v>2000</v>
      </c>
      <c r="C481" s="2">
        <v>3</v>
      </c>
      <c r="D481" s="2" t="s">
        <v>37</v>
      </c>
      <c r="E481" s="3">
        <v>43889</v>
      </c>
      <c r="F481" s="2" t="s">
        <v>146</v>
      </c>
      <c r="G481" s="2" t="s">
        <v>147</v>
      </c>
      <c r="H481" s="2" t="s">
        <v>44</v>
      </c>
      <c r="I481" s="9">
        <v>31992</v>
      </c>
    </row>
    <row r="482" spans="1:9" x14ac:dyDescent="0.25">
      <c r="A482" s="2" t="s">
        <v>7</v>
      </c>
      <c r="B482" s="2">
        <v>750</v>
      </c>
      <c r="C482" s="2">
        <v>2</v>
      </c>
      <c r="D482" s="2" t="s">
        <v>36</v>
      </c>
      <c r="E482" s="3">
        <v>44020</v>
      </c>
      <c r="F482" s="2" t="s">
        <v>85</v>
      </c>
      <c r="G482" s="2" t="s">
        <v>86</v>
      </c>
      <c r="H482" s="2" t="s">
        <v>49</v>
      </c>
      <c r="I482" s="9">
        <v>22416</v>
      </c>
    </row>
    <row r="483" spans="1:9" x14ac:dyDescent="0.25">
      <c r="A483" s="2" t="s">
        <v>27</v>
      </c>
      <c r="B483" s="2">
        <v>1500</v>
      </c>
      <c r="C483" s="2">
        <v>3</v>
      </c>
      <c r="D483" s="2" t="s">
        <v>35</v>
      </c>
      <c r="E483" s="3">
        <v>44140</v>
      </c>
      <c r="F483" s="2" t="s">
        <v>214</v>
      </c>
      <c r="G483" s="2" t="s">
        <v>215</v>
      </c>
      <c r="H483" s="2" t="s">
        <v>49</v>
      </c>
      <c r="I483" s="9">
        <v>34667</v>
      </c>
    </row>
    <row r="484" spans="1:9" x14ac:dyDescent="0.25">
      <c r="A484" s="2" t="s">
        <v>13</v>
      </c>
      <c r="B484" s="2">
        <v>2300</v>
      </c>
      <c r="C484" s="2">
        <v>4</v>
      </c>
      <c r="D484" s="2" t="s">
        <v>31</v>
      </c>
      <c r="E484" s="3">
        <v>44037</v>
      </c>
      <c r="F484" s="2" t="s">
        <v>66</v>
      </c>
      <c r="G484" s="2" t="s">
        <v>238</v>
      </c>
      <c r="H484" s="2" t="s">
        <v>44</v>
      </c>
      <c r="I484" s="9">
        <v>31319</v>
      </c>
    </row>
    <row r="485" spans="1:9" x14ac:dyDescent="0.25">
      <c r="A485" s="2" t="s">
        <v>13</v>
      </c>
      <c r="B485" s="2">
        <v>2300</v>
      </c>
      <c r="C485" s="2">
        <v>3</v>
      </c>
      <c r="D485" s="2" t="s">
        <v>41</v>
      </c>
      <c r="E485" s="3">
        <v>43836</v>
      </c>
      <c r="F485" s="2" t="s">
        <v>564</v>
      </c>
      <c r="G485" s="2" t="s">
        <v>421</v>
      </c>
      <c r="H485" s="2" t="s">
        <v>49</v>
      </c>
      <c r="I485" s="9">
        <v>29065</v>
      </c>
    </row>
    <row r="486" spans="1:9" x14ac:dyDescent="0.25">
      <c r="A486" s="2" t="s">
        <v>5</v>
      </c>
      <c r="B486" s="2">
        <v>1750</v>
      </c>
      <c r="C486" s="2">
        <v>1</v>
      </c>
      <c r="D486" s="2" t="s">
        <v>40</v>
      </c>
      <c r="E486" s="3">
        <v>43881</v>
      </c>
      <c r="F486" s="2" t="s">
        <v>109</v>
      </c>
      <c r="G486" s="2" t="s">
        <v>168</v>
      </c>
      <c r="H486" s="2" t="s">
        <v>44</v>
      </c>
      <c r="I486" s="9">
        <v>18540</v>
      </c>
    </row>
    <row r="487" spans="1:9" x14ac:dyDescent="0.25">
      <c r="A487" s="2" t="s">
        <v>23</v>
      </c>
      <c r="B487" s="2">
        <v>1500</v>
      </c>
      <c r="C487" s="2">
        <v>1</v>
      </c>
      <c r="D487" s="2" t="s">
        <v>34</v>
      </c>
      <c r="E487" s="3">
        <v>44098</v>
      </c>
      <c r="F487" s="2" t="s">
        <v>56</v>
      </c>
      <c r="G487" s="2" t="s">
        <v>57</v>
      </c>
      <c r="H487" s="2" t="s">
        <v>44</v>
      </c>
      <c r="I487" s="9">
        <v>23445</v>
      </c>
    </row>
    <row r="488" spans="1:9" x14ac:dyDescent="0.25">
      <c r="A488" s="2" t="s">
        <v>24</v>
      </c>
      <c r="B488" s="2">
        <v>2000</v>
      </c>
      <c r="C488" s="2">
        <v>5</v>
      </c>
      <c r="D488" s="2" t="s">
        <v>36</v>
      </c>
      <c r="E488" s="3">
        <v>43954</v>
      </c>
      <c r="F488" s="2" t="s">
        <v>374</v>
      </c>
      <c r="G488" s="2" t="s">
        <v>81</v>
      </c>
      <c r="H488" s="2" t="s">
        <v>49</v>
      </c>
      <c r="I488" s="9">
        <v>21262</v>
      </c>
    </row>
    <row r="489" spans="1:9" x14ac:dyDescent="0.25">
      <c r="A489" s="2" t="s">
        <v>19</v>
      </c>
      <c r="B489" s="2">
        <v>700</v>
      </c>
      <c r="C489" s="2">
        <v>3</v>
      </c>
      <c r="D489" s="2" t="s">
        <v>41</v>
      </c>
      <c r="E489" s="3">
        <v>43931</v>
      </c>
      <c r="F489" s="2" t="s">
        <v>74</v>
      </c>
      <c r="G489" s="2" t="s">
        <v>606</v>
      </c>
      <c r="H489" s="2" t="s">
        <v>44</v>
      </c>
      <c r="I489" s="9">
        <v>21824</v>
      </c>
    </row>
    <row r="490" spans="1:9" x14ac:dyDescent="0.25">
      <c r="A490" s="2" t="s">
        <v>13</v>
      </c>
      <c r="B490" s="2">
        <v>2300</v>
      </c>
      <c r="C490" s="2">
        <v>5</v>
      </c>
      <c r="D490" s="2" t="s">
        <v>37</v>
      </c>
      <c r="E490" s="3">
        <v>44025</v>
      </c>
      <c r="F490" s="2" t="s">
        <v>170</v>
      </c>
      <c r="G490" s="2" t="s">
        <v>362</v>
      </c>
      <c r="H490" s="2" t="s">
        <v>44</v>
      </c>
      <c r="I490" s="9">
        <v>28727</v>
      </c>
    </row>
    <row r="491" spans="1:9" x14ac:dyDescent="0.25">
      <c r="A491" s="2" t="s">
        <v>14</v>
      </c>
      <c r="B491" s="2">
        <v>2000</v>
      </c>
      <c r="C491" s="2">
        <v>5</v>
      </c>
      <c r="D491" s="2" t="s">
        <v>37</v>
      </c>
      <c r="E491" s="3">
        <v>43900</v>
      </c>
      <c r="F491" s="2" t="s">
        <v>316</v>
      </c>
      <c r="G491" s="2" t="s">
        <v>317</v>
      </c>
      <c r="H491" s="2" t="s">
        <v>44</v>
      </c>
      <c r="I491" s="9">
        <v>18732</v>
      </c>
    </row>
    <row r="492" spans="1:9" x14ac:dyDescent="0.25">
      <c r="A492" s="2" t="s">
        <v>13</v>
      </c>
      <c r="B492" s="2">
        <v>2300</v>
      </c>
      <c r="C492" s="2">
        <v>5</v>
      </c>
      <c r="D492" s="2" t="s">
        <v>33</v>
      </c>
      <c r="E492" s="3">
        <v>43855</v>
      </c>
      <c r="F492" s="2" t="s">
        <v>140</v>
      </c>
      <c r="G492" s="2" t="s">
        <v>384</v>
      </c>
      <c r="H492" s="2" t="s">
        <v>49</v>
      </c>
      <c r="I492" s="9">
        <v>34409</v>
      </c>
    </row>
    <row r="493" spans="1:9" x14ac:dyDescent="0.25">
      <c r="A493" s="2" t="s">
        <v>16</v>
      </c>
      <c r="B493" s="2">
        <v>1400</v>
      </c>
      <c r="C493" s="2">
        <v>1</v>
      </c>
      <c r="D493" s="2" t="s">
        <v>30</v>
      </c>
      <c r="E493" s="3">
        <v>44018</v>
      </c>
      <c r="F493" s="2" t="s">
        <v>318</v>
      </c>
      <c r="G493" s="2" t="s">
        <v>345</v>
      </c>
      <c r="H493" s="2" t="s">
        <v>44</v>
      </c>
      <c r="I493" s="9">
        <v>18782</v>
      </c>
    </row>
    <row r="494" spans="1:9" x14ac:dyDescent="0.25">
      <c r="A494" s="2" t="s">
        <v>15</v>
      </c>
      <c r="B494" s="2">
        <v>1900</v>
      </c>
      <c r="C494" s="2">
        <v>2</v>
      </c>
      <c r="D494" s="2" t="s">
        <v>41</v>
      </c>
      <c r="E494" s="3">
        <v>44157</v>
      </c>
      <c r="F494" s="2" t="s">
        <v>118</v>
      </c>
      <c r="G494" s="2" t="s">
        <v>319</v>
      </c>
      <c r="H494" s="2" t="s">
        <v>49</v>
      </c>
      <c r="I494" s="9">
        <v>25135</v>
      </c>
    </row>
    <row r="495" spans="1:9" x14ac:dyDescent="0.25">
      <c r="A495" s="2" t="s">
        <v>22</v>
      </c>
      <c r="B495" s="2">
        <v>5200</v>
      </c>
      <c r="C495" s="2">
        <v>1</v>
      </c>
      <c r="D495" s="2" t="s">
        <v>29</v>
      </c>
      <c r="E495" s="3">
        <v>43972</v>
      </c>
      <c r="F495" s="2" t="s">
        <v>122</v>
      </c>
      <c r="G495" s="2" t="s">
        <v>123</v>
      </c>
      <c r="H495" s="2" t="s">
        <v>49</v>
      </c>
      <c r="I495" s="9">
        <v>24211</v>
      </c>
    </row>
    <row r="496" spans="1:9" x14ac:dyDescent="0.25">
      <c r="A496" s="2" t="s">
        <v>6</v>
      </c>
      <c r="B496" s="2">
        <v>1200</v>
      </c>
      <c r="C496" s="2">
        <v>3</v>
      </c>
      <c r="D496" s="2" t="s">
        <v>37</v>
      </c>
      <c r="E496" s="3">
        <v>43863</v>
      </c>
      <c r="F496" s="2" t="s">
        <v>626</v>
      </c>
      <c r="G496" s="2" t="s">
        <v>63</v>
      </c>
      <c r="H496" s="2" t="s">
        <v>44</v>
      </c>
      <c r="I496" s="9">
        <v>29377</v>
      </c>
    </row>
    <row r="497" spans="1:9" x14ac:dyDescent="0.25">
      <c r="A497" s="2" t="s">
        <v>7</v>
      </c>
      <c r="B497" s="2">
        <v>750</v>
      </c>
      <c r="C497" s="2">
        <v>2</v>
      </c>
      <c r="D497" s="2" t="s">
        <v>41</v>
      </c>
      <c r="E497" s="3">
        <v>43966</v>
      </c>
      <c r="F497" s="2" t="s">
        <v>396</v>
      </c>
      <c r="G497" s="2" t="s">
        <v>397</v>
      </c>
      <c r="H497" s="2" t="s">
        <v>49</v>
      </c>
      <c r="I497" s="9">
        <v>18731</v>
      </c>
    </row>
    <row r="498" spans="1:9" x14ac:dyDescent="0.25">
      <c r="A498" s="2" t="s">
        <v>16</v>
      </c>
      <c r="B498" s="2">
        <v>1400</v>
      </c>
      <c r="C498" s="2">
        <v>1</v>
      </c>
      <c r="D498" s="2" t="s">
        <v>37</v>
      </c>
      <c r="E498" s="3">
        <v>43925</v>
      </c>
      <c r="F498" s="2" t="s">
        <v>259</v>
      </c>
      <c r="G498" s="2" t="s">
        <v>359</v>
      </c>
      <c r="H498" s="2" t="s">
        <v>49</v>
      </c>
      <c r="I498" s="9">
        <v>29659</v>
      </c>
    </row>
    <row r="499" spans="1:9" x14ac:dyDescent="0.25">
      <c r="A499" s="2" t="s">
        <v>27</v>
      </c>
      <c r="B499" s="2">
        <v>1500</v>
      </c>
      <c r="C499" s="2">
        <v>1</v>
      </c>
      <c r="D499" s="2" t="s">
        <v>30</v>
      </c>
      <c r="E499" s="3">
        <v>44050</v>
      </c>
      <c r="F499" s="2" t="s">
        <v>98</v>
      </c>
      <c r="G499" s="2" t="s">
        <v>530</v>
      </c>
      <c r="H499" s="2" t="s">
        <v>44</v>
      </c>
      <c r="I499" s="9">
        <v>27687</v>
      </c>
    </row>
    <row r="500" spans="1:9" x14ac:dyDescent="0.25">
      <c r="A500" s="2" t="s">
        <v>11</v>
      </c>
      <c r="B500" s="2">
        <v>4500</v>
      </c>
      <c r="C500" s="2">
        <v>5</v>
      </c>
      <c r="D500" s="2" t="s">
        <v>37</v>
      </c>
      <c r="E500" s="3">
        <v>43994</v>
      </c>
      <c r="F500" s="2" t="s">
        <v>401</v>
      </c>
      <c r="G500" s="2" t="s">
        <v>310</v>
      </c>
      <c r="H500" s="2" t="s">
        <v>49</v>
      </c>
      <c r="I500" s="9">
        <v>33535</v>
      </c>
    </row>
    <row r="501" spans="1:9" x14ac:dyDescent="0.25">
      <c r="A501" s="2" t="s">
        <v>18</v>
      </c>
      <c r="B501" s="2">
        <v>3000</v>
      </c>
      <c r="C501" s="2">
        <v>5</v>
      </c>
      <c r="D501" s="2" t="s">
        <v>37</v>
      </c>
      <c r="E501" s="3">
        <v>44160</v>
      </c>
      <c r="F501" s="2" t="s">
        <v>610</v>
      </c>
      <c r="G501" s="2" t="s">
        <v>220</v>
      </c>
      <c r="H501" s="2" t="s">
        <v>44</v>
      </c>
      <c r="I501" s="9">
        <v>28170</v>
      </c>
    </row>
    <row r="502" spans="1:9" x14ac:dyDescent="0.25">
      <c r="A502" s="2" t="s">
        <v>7</v>
      </c>
      <c r="B502" s="2">
        <v>750</v>
      </c>
      <c r="C502" s="2">
        <v>5</v>
      </c>
      <c r="D502" s="2" t="s">
        <v>41</v>
      </c>
      <c r="E502" s="3">
        <v>44068</v>
      </c>
      <c r="F502" s="2" t="s">
        <v>155</v>
      </c>
      <c r="G502" s="2" t="s">
        <v>213</v>
      </c>
      <c r="H502" s="2" t="s">
        <v>44</v>
      </c>
      <c r="I502" s="9">
        <v>21088</v>
      </c>
    </row>
    <row r="503" spans="1:9" x14ac:dyDescent="0.25">
      <c r="A503" s="2" t="s">
        <v>26</v>
      </c>
      <c r="B503" s="2">
        <v>1100</v>
      </c>
      <c r="C503" s="2">
        <v>5</v>
      </c>
      <c r="D503" s="2" t="s">
        <v>36</v>
      </c>
      <c r="E503" s="3">
        <v>44002</v>
      </c>
      <c r="F503" s="2" t="s">
        <v>96</v>
      </c>
      <c r="G503" s="2" t="s">
        <v>97</v>
      </c>
      <c r="H503" s="2" t="s">
        <v>44</v>
      </c>
      <c r="I503" s="9">
        <v>28285</v>
      </c>
    </row>
    <row r="504" spans="1:9" x14ac:dyDescent="0.25">
      <c r="A504" s="2" t="s">
        <v>22</v>
      </c>
      <c r="B504" s="2">
        <v>5200</v>
      </c>
      <c r="C504" s="2">
        <v>2</v>
      </c>
      <c r="D504" s="2" t="s">
        <v>34</v>
      </c>
      <c r="E504" s="3">
        <v>43958</v>
      </c>
      <c r="F504" s="2" t="s">
        <v>84</v>
      </c>
      <c r="G504" s="2" t="s">
        <v>586</v>
      </c>
      <c r="H504" s="2" t="s">
        <v>44</v>
      </c>
      <c r="I504" s="9">
        <v>21624</v>
      </c>
    </row>
    <row r="505" spans="1:9" x14ac:dyDescent="0.25">
      <c r="A505" s="2" t="s">
        <v>28</v>
      </c>
      <c r="B505" s="2">
        <v>1400</v>
      </c>
      <c r="C505" s="2">
        <v>1</v>
      </c>
      <c r="D505" s="2" t="s">
        <v>41</v>
      </c>
      <c r="E505" s="3">
        <v>43849</v>
      </c>
      <c r="F505" s="2" t="s">
        <v>385</v>
      </c>
      <c r="G505" s="2" t="s">
        <v>386</v>
      </c>
      <c r="H505" s="2" t="s">
        <v>44</v>
      </c>
      <c r="I505" s="9">
        <v>32940</v>
      </c>
    </row>
    <row r="506" spans="1:9" x14ac:dyDescent="0.25">
      <c r="A506" s="2" t="s">
        <v>9</v>
      </c>
      <c r="B506" s="2">
        <v>1500</v>
      </c>
      <c r="C506" s="2">
        <v>5</v>
      </c>
      <c r="D506" s="2" t="s">
        <v>38</v>
      </c>
      <c r="E506" s="3">
        <v>43957</v>
      </c>
      <c r="F506" s="2" t="s">
        <v>112</v>
      </c>
      <c r="G506" s="2" t="s">
        <v>77</v>
      </c>
      <c r="H506" s="2" t="s">
        <v>44</v>
      </c>
      <c r="I506" s="9">
        <v>35781</v>
      </c>
    </row>
    <row r="507" spans="1:9" x14ac:dyDescent="0.25">
      <c r="A507" s="2" t="s">
        <v>20</v>
      </c>
      <c r="B507" s="2">
        <v>2600</v>
      </c>
      <c r="C507" s="2">
        <v>2</v>
      </c>
      <c r="D507" s="2" t="s">
        <v>33</v>
      </c>
      <c r="E507" s="3">
        <v>44084</v>
      </c>
      <c r="F507" s="2" t="s">
        <v>385</v>
      </c>
      <c r="G507" s="2" t="s">
        <v>565</v>
      </c>
      <c r="H507" s="2" t="s">
        <v>44</v>
      </c>
      <c r="I507" s="9">
        <v>35467</v>
      </c>
    </row>
    <row r="508" spans="1:9" x14ac:dyDescent="0.25">
      <c r="A508" s="2" t="s">
        <v>23</v>
      </c>
      <c r="B508" s="2">
        <v>1500</v>
      </c>
      <c r="C508" s="2">
        <v>1</v>
      </c>
      <c r="D508" s="2" t="s">
        <v>41</v>
      </c>
      <c r="E508" s="3">
        <v>44181</v>
      </c>
      <c r="F508" s="2" t="s">
        <v>381</v>
      </c>
      <c r="G508" s="2" t="s">
        <v>174</v>
      </c>
      <c r="H508" s="2" t="s">
        <v>49</v>
      </c>
      <c r="I508" s="9">
        <v>20117</v>
      </c>
    </row>
    <row r="509" spans="1:9" x14ac:dyDescent="0.25">
      <c r="A509" s="2" t="s">
        <v>11</v>
      </c>
      <c r="B509" s="2">
        <v>4500</v>
      </c>
      <c r="C509" s="2">
        <v>4</v>
      </c>
      <c r="D509" s="2" t="s">
        <v>37</v>
      </c>
      <c r="E509" s="3">
        <v>43978</v>
      </c>
      <c r="F509" s="2" t="s">
        <v>462</v>
      </c>
      <c r="G509" s="2" t="s">
        <v>75</v>
      </c>
      <c r="H509" s="2" t="s">
        <v>49</v>
      </c>
      <c r="I509" s="9">
        <v>22979</v>
      </c>
    </row>
    <row r="510" spans="1:9" x14ac:dyDescent="0.25">
      <c r="A510" s="2" t="s">
        <v>16</v>
      </c>
      <c r="B510" s="2">
        <v>1400</v>
      </c>
      <c r="C510" s="2">
        <v>1</v>
      </c>
      <c r="D510" s="2" t="s">
        <v>39</v>
      </c>
      <c r="E510" s="3">
        <v>43896</v>
      </c>
      <c r="F510" s="2" t="s">
        <v>267</v>
      </c>
      <c r="G510" s="2" t="s">
        <v>230</v>
      </c>
      <c r="H510" s="2" t="s">
        <v>44</v>
      </c>
      <c r="I510" s="9">
        <v>35610</v>
      </c>
    </row>
    <row r="511" spans="1:9" x14ac:dyDescent="0.25">
      <c r="A511" s="2" t="s">
        <v>18</v>
      </c>
      <c r="B511" s="2">
        <v>3000</v>
      </c>
      <c r="C511" s="2">
        <v>4</v>
      </c>
      <c r="D511" s="2" t="s">
        <v>39</v>
      </c>
      <c r="E511" s="3">
        <v>44073</v>
      </c>
      <c r="F511" s="2" t="s">
        <v>158</v>
      </c>
      <c r="G511" s="2" t="s">
        <v>487</v>
      </c>
      <c r="H511" s="2" t="s">
        <v>49</v>
      </c>
      <c r="I511" s="9">
        <v>18331</v>
      </c>
    </row>
    <row r="512" spans="1:9" x14ac:dyDescent="0.25">
      <c r="A512" s="2" t="s">
        <v>10</v>
      </c>
      <c r="B512" s="2">
        <v>1450</v>
      </c>
      <c r="C512" s="2">
        <v>1</v>
      </c>
      <c r="D512" s="2" t="s">
        <v>31</v>
      </c>
      <c r="E512" s="3">
        <v>43922</v>
      </c>
      <c r="F512" s="2" t="s">
        <v>405</v>
      </c>
      <c r="G512" s="2" t="s">
        <v>451</v>
      </c>
      <c r="H512" s="2" t="s">
        <v>44</v>
      </c>
      <c r="I512" s="9">
        <v>22469</v>
      </c>
    </row>
    <row r="513" spans="1:9" x14ac:dyDescent="0.25">
      <c r="A513" s="2" t="s">
        <v>9</v>
      </c>
      <c r="B513" s="2">
        <v>1500</v>
      </c>
      <c r="C513" s="2">
        <v>3</v>
      </c>
      <c r="D513" s="2" t="s">
        <v>30</v>
      </c>
      <c r="E513" s="3">
        <v>43930</v>
      </c>
      <c r="F513" s="2" t="s">
        <v>120</v>
      </c>
      <c r="G513" s="2" t="s">
        <v>459</v>
      </c>
      <c r="H513" s="2" t="s">
        <v>44</v>
      </c>
      <c r="I513" s="9">
        <v>32868</v>
      </c>
    </row>
    <row r="514" spans="1:9" x14ac:dyDescent="0.25">
      <c r="A514" s="2" t="s">
        <v>18</v>
      </c>
      <c r="B514" s="2">
        <v>3000</v>
      </c>
      <c r="C514" s="2">
        <v>2</v>
      </c>
      <c r="D514" s="2" t="s">
        <v>35</v>
      </c>
      <c r="E514" s="3">
        <v>44064</v>
      </c>
      <c r="F514" s="2" t="s">
        <v>217</v>
      </c>
      <c r="G514" s="2" t="s">
        <v>169</v>
      </c>
      <c r="H514" s="2" t="s">
        <v>44</v>
      </c>
      <c r="I514" s="9">
        <v>26324</v>
      </c>
    </row>
    <row r="515" spans="1:9" x14ac:dyDescent="0.25">
      <c r="A515" s="2" t="s">
        <v>6</v>
      </c>
      <c r="B515" s="2">
        <v>1200</v>
      </c>
      <c r="C515" s="2">
        <v>1</v>
      </c>
      <c r="D515" s="2" t="s">
        <v>38</v>
      </c>
      <c r="E515" s="3">
        <v>43947</v>
      </c>
      <c r="F515" s="2" t="s">
        <v>217</v>
      </c>
      <c r="G515" s="2" t="s">
        <v>326</v>
      </c>
      <c r="H515" s="2" t="s">
        <v>44</v>
      </c>
      <c r="I515" s="9">
        <v>19151</v>
      </c>
    </row>
    <row r="516" spans="1:9" x14ac:dyDescent="0.25">
      <c r="A516" s="2" t="s">
        <v>16</v>
      </c>
      <c r="B516" s="2">
        <v>1400</v>
      </c>
      <c r="C516" s="2">
        <v>3</v>
      </c>
      <c r="D516" s="2" t="s">
        <v>31</v>
      </c>
      <c r="E516" s="3">
        <v>44125</v>
      </c>
      <c r="F516" s="2" t="s">
        <v>140</v>
      </c>
      <c r="G516" s="2" t="s">
        <v>590</v>
      </c>
      <c r="H516" s="2" t="s">
        <v>49</v>
      </c>
      <c r="I516" s="9">
        <v>27822</v>
      </c>
    </row>
    <row r="517" spans="1:9" x14ac:dyDescent="0.25">
      <c r="A517" s="2" t="s">
        <v>27</v>
      </c>
      <c r="B517" s="2">
        <v>1500</v>
      </c>
      <c r="C517" s="2">
        <v>3</v>
      </c>
      <c r="D517" s="2" t="s">
        <v>36</v>
      </c>
      <c r="E517" s="3">
        <v>44109</v>
      </c>
      <c r="F517" s="2" t="s">
        <v>257</v>
      </c>
      <c r="G517" s="2" t="s">
        <v>273</v>
      </c>
      <c r="H517" s="2" t="s">
        <v>44</v>
      </c>
      <c r="I517" s="9">
        <v>24203</v>
      </c>
    </row>
    <row r="518" spans="1:9" x14ac:dyDescent="0.25">
      <c r="A518" s="2" t="s">
        <v>6</v>
      </c>
      <c r="B518" s="2">
        <v>1200</v>
      </c>
      <c r="C518" s="2">
        <v>4</v>
      </c>
      <c r="D518" s="2" t="s">
        <v>41</v>
      </c>
      <c r="E518" s="3">
        <v>44143</v>
      </c>
      <c r="F518" s="2" t="s">
        <v>225</v>
      </c>
      <c r="G518" s="2" t="s">
        <v>292</v>
      </c>
      <c r="H518" s="2" t="s">
        <v>44</v>
      </c>
      <c r="I518" s="9">
        <v>32316</v>
      </c>
    </row>
    <row r="519" spans="1:9" x14ac:dyDescent="0.25">
      <c r="A519" s="2" t="s">
        <v>17</v>
      </c>
      <c r="B519" s="2">
        <v>1550</v>
      </c>
      <c r="C519" s="2">
        <v>2</v>
      </c>
      <c r="D519" s="2" t="s">
        <v>38</v>
      </c>
      <c r="E519" s="3">
        <v>43942</v>
      </c>
      <c r="F519" s="2" t="s">
        <v>87</v>
      </c>
      <c r="G519" s="2" t="s">
        <v>586</v>
      </c>
      <c r="H519" s="2" t="s">
        <v>44</v>
      </c>
      <c r="I519" s="9">
        <v>34625</v>
      </c>
    </row>
    <row r="520" spans="1:9" x14ac:dyDescent="0.25">
      <c r="A520" s="2" t="s">
        <v>23</v>
      </c>
      <c r="B520" s="2">
        <v>1500</v>
      </c>
      <c r="C520" s="2">
        <v>3</v>
      </c>
      <c r="D520" s="2" t="s">
        <v>37</v>
      </c>
      <c r="E520" s="3">
        <v>44174</v>
      </c>
      <c r="F520" s="2" t="s">
        <v>388</v>
      </c>
      <c r="G520" s="2" t="s">
        <v>389</v>
      </c>
      <c r="H520" s="2" t="s">
        <v>44</v>
      </c>
      <c r="I520" s="9">
        <v>19856</v>
      </c>
    </row>
    <row r="521" spans="1:9" x14ac:dyDescent="0.25">
      <c r="A521" s="2" t="s">
        <v>9</v>
      </c>
      <c r="B521" s="2">
        <v>1500</v>
      </c>
      <c r="C521" s="2">
        <v>5</v>
      </c>
      <c r="D521" s="2" t="s">
        <v>34</v>
      </c>
      <c r="E521" s="3">
        <v>43851</v>
      </c>
      <c r="F521" s="2" t="s">
        <v>399</v>
      </c>
      <c r="G521" s="2" t="s">
        <v>400</v>
      </c>
      <c r="H521" s="2" t="s">
        <v>44</v>
      </c>
      <c r="I521" s="9">
        <v>29514</v>
      </c>
    </row>
    <row r="522" spans="1:9" x14ac:dyDescent="0.25">
      <c r="A522" s="2" t="s">
        <v>6</v>
      </c>
      <c r="B522" s="2">
        <v>1200</v>
      </c>
      <c r="C522" s="2">
        <v>3</v>
      </c>
      <c r="D522" s="2" t="s">
        <v>29</v>
      </c>
      <c r="E522" s="3">
        <v>44114</v>
      </c>
      <c r="F522" s="2" t="s">
        <v>190</v>
      </c>
      <c r="G522" s="2" t="s">
        <v>475</v>
      </c>
      <c r="H522" s="2" t="s">
        <v>44</v>
      </c>
      <c r="I522" s="9">
        <v>28227</v>
      </c>
    </row>
    <row r="523" spans="1:9" x14ac:dyDescent="0.25">
      <c r="A523" s="2" t="s">
        <v>5</v>
      </c>
      <c r="B523" s="2">
        <v>1750</v>
      </c>
      <c r="C523" s="2">
        <v>3</v>
      </c>
      <c r="D523" s="2" t="s">
        <v>29</v>
      </c>
      <c r="E523" s="3">
        <v>44023</v>
      </c>
      <c r="F523" s="2" t="s">
        <v>247</v>
      </c>
      <c r="G523" s="2" t="s">
        <v>130</v>
      </c>
      <c r="H523" s="2" t="s">
        <v>44</v>
      </c>
      <c r="I523" s="9">
        <v>33342</v>
      </c>
    </row>
    <row r="524" spans="1:9" x14ac:dyDescent="0.25">
      <c r="A524" s="2" t="s">
        <v>14</v>
      </c>
      <c r="B524" s="2">
        <v>2000</v>
      </c>
      <c r="C524" s="2">
        <v>2</v>
      </c>
      <c r="D524" s="2" t="s">
        <v>29</v>
      </c>
      <c r="E524" s="3">
        <v>44177</v>
      </c>
      <c r="F524" s="2" t="s">
        <v>107</v>
      </c>
      <c r="G524" s="2" t="s">
        <v>81</v>
      </c>
      <c r="H524" s="2" t="s">
        <v>49</v>
      </c>
      <c r="I524" s="9">
        <v>29856</v>
      </c>
    </row>
    <row r="525" spans="1:9" x14ac:dyDescent="0.25">
      <c r="A525" s="2" t="s">
        <v>20</v>
      </c>
      <c r="B525" s="2">
        <v>2600</v>
      </c>
      <c r="C525" s="2">
        <v>2</v>
      </c>
      <c r="D525" s="2" t="s">
        <v>36</v>
      </c>
      <c r="E525" s="3">
        <v>43886</v>
      </c>
      <c r="F525" s="2" t="s">
        <v>302</v>
      </c>
      <c r="G525" s="2" t="s">
        <v>566</v>
      </c>
      <c r="H525" s="2" t="s">
        <v>49</v>
      </c>
      <c r="I525" s="9">
        <v>27853</v>
      </c>
    </row>
    <row r="526" spans="1:9" x14ac:dyDescent="0.25">
      <c r="A526" s="2" t="s">
        <v>8</v>
      </c>
      <c r="B526" s="2">
        <v>5500</v>
      </c>
      <c r="C526" s="2">
        <v>3</v>
      </c>
      <c r="D526" s="2" t="s">
        <v>29</v>
      </c>
      <c r="E526" s="3">
        <v>44140</v>
      </c>
      <c r="F526" s="2" t="s">
        <v>216</v>
      </c>
      <c r="G526" s="2" t="s">
        <v>174</v>
      </c>
      <c r="H526" s="2" t="s">
        <v>44</v>
      </c>
      <c r="I526" s="9">
        <v>32465</v>
      </c>
    </row>
    <row r="527" spans="1:9" x14ac:dyDescent="0.25">
      <c r="A527" s="2" t="s">
        <v>15</v>
      </c>
      <c r="B527" s="2">
        <v>1900</v>
      </c>
      <c r="C527" s="2">
        <v>3</v>
      </c>
      <c r="D527" s="2" t="s">
        <v>35</v>
      </c>
      <c r="E527" s="3">
        <v>43858</v>
      </c>
      <c r="F527" s="2" t="s">
        <v>630</v>
      </c>
      <c r="G527" s="2" t="s">
        <v>631</v>
      </c>
      <c r="H527" s="2" t="s">
        <v>49</v>
      </c>
      <c r="I527" s="9">
        <v>36082</v>
      </c>
    </row>
    <row r="528" spans="1:9" x14ac:dyDescent="0.25">
      <c r="A528" s="2" t="s">
        <v>6</v>
      </c>
      <c r="B528" s="2">
        <v>1200</v>
      </c>
      <c r="C528" s="2">
        <v>5</v>
      </c>
      <c r="D528" s="2" t="s">
        <v>40</v>
      </c>
      <c r="E528" s="3">
        <v>43963</v>
      </c>
      <c r="F528" s="2" t="s">
        <v>142</v>
      </c>
      <c r="G528" s="2" t="s">
        <v>143</v>
      </c>
      <c r="H528" s="2" t="s">
        <v>49</v>
      </c>
      <c r="I528" s="9">
        <v>26686</v>
      </c>
    </row>
    <row r="529" spans="1:9" x14ac:dyDescent="0.25">
      <c r="A529" s="2" t="s">
        <v>16</v>
      </c>
      <c r="B529" s="2">
        <v>1400</v>
      </c>
      <c r="C529" s="2">
        <v>1</v>
      </c>
      <c r="D529" s="2" t="s">
        <v>32</v>
      </c>
      <c r="E529" s="3">
        <v>43942</v>
      </c>
      <c r="F529" s="2" t="s">
        <v>446</v>
      </c>
      <c r="G529" s="2" t="s">
        <v>174</v>
      </c>
      <c r="H529" s="2" t="s">
        <v>44</v>
      </c>
      <c r="I529" s="9">
        <v>25704</v>
      </c>
    </row>
    <row r="530" spans="1:9" x14ac:dyDescent="0.25">
      <c r="A530" s="2" t="s">
        <v>18</v>
      </c>
      <c r="B530" s="2">
        <v>3000</v>
      </c>
      <c r="C530" s="2">
        <v>4</v>
      </c>
      <c r="D530" s="2" t="s">
        <v>38</v>
      </c>
      <c r="E530" s="3">
        <v>43970</v>
      </c>
      <c r="F530" s="2" t="s">
        <v>552</v>
      </c>
      <c r="G530" s="2" t="s">
        <v>553</v>
      </c>
      <c r="H530" s="2" t="s">
        <v>49</v>
      </c>
      <c r="I530" s="9">
        <v>23179</v>
      </c>
    </row>
    <row r="531" spans="1:9" x14ac:dyDescent="0.25">
      <c r="A531" s="2" t="s">
        <v>26</v>
      </c>
      <c r="B531" s="2">
        <v>1100</v>
      </c>
      <c r="C531" s="2">
        <v>3</v>
      </c>
      <c r="D531" s="2" t="s">
        <v>33</v>
      </c>
      <c r="E531" s="3">
        <v>44094</v>
      </c>
      <c r="F531" s="2" t="s">
        <v>399</v>
      </c>
      <c r="G531" s="2" t="s">
        <v>451</v>
      </c>
      <c r="H531" s="2" t="s">
        <v>44</v>
      </c>
      <c r="I531" s="9">
        <v>28614</v>
      </c>
    </row>
    <row r="532" spans="1:9" x14ac:dyDescent="0.25">
      <c r="A532" s="2" t="s">
        <v>11</v>
      </c>
      <c r="B532" s="2">
        <v>4500</v>
      </c>
      <c r="C532" s="2">
        <v>2</v>
      </c>
      <c r="D532" s="2" t="s">
        <v>35</v>
      </c>
      <c r="E532" s="3">
        <v>44152</v>
      </c>
      <c r="F532" s="2" t="s">
        <v>134</v>
      </c>
      <c r="G532" s="2" t="s">
        <v>63</v>
      </c>
      <c r="H532" s="2" t="s">
        <v>49</v>
      </c>
      <c r="I532" s="9">
        <v>31125</v>
      </c>
    </row>
    <row r="533" spans="1:9" x14ac:dyDescent="0.25">
      <c r="A533" s="2" t="s">
        <v>12</v>
      </c>
      <c r="B533" s="2">
        <v>6500</v>
      </c>
      <c r="C533" s="2">
        <v>4</v>
      </c>
      <c r="D533" s="2" t="s">
        <v>33</v>
      </c>
      <c r="E533" s="3">
        <v>44030</v>
      </c>
      <c r="F533" s="2" t="s">
        <v>219</v>
      </c>
      <c r="G533" s="2" t="s">
        <v>220</v>
      </c>
      <c r="H533" s="2" t="s">
        <v>49</v>
      </c>
      <c r="I533" s="9">
        <v>22589</v>
      </c>
    </row>
    <row r="534" spans="1:9" x14ac:dyDescent="0.25">
      <c r="A534" s="2" t="s">
        <v>20</v>
      </c>
      <c r="B534" s="2">
        <v>2600</v>
      </c>
      <c r="C534" s="2">
        <v>2</v>
      </c>
      <c r="D534" s="2" t="s">
        <v>34</v>
      </c>
      <c r="E534" s="3">
        <v>43898</v>
      </c>
      <c r="F534" s="2" t="s">
        <v>134</v>
      </c>
      <c r="G534" s="2" t="s">
        <v>604</v>
      </c>
      <c r="H534" s="2" t="s">
        <v>49</v>
      </c>
      <c r="I534" s="9">
        <v>24937</v>
      </c>
    </row>
    <row r="535" spans="1:9" x14ac:dyDescent="0.25">
      <c r="A535" s="2" t="s">
        <v>11</v>
      </c>
      <c r="B535" s="2">
        <v>4500</v>
      </c>
      <c r="C535" s="2">
        <v>1</v>
      </c>
      <c r="D535" s="2" t="s">
        <v>34</v>
      </c>
      <c r="E535" s="3">
        <v>43961</v>
      </c>
      <c r="F535" s="2" t="s">
        <v>173</v>
      </c>
      <c r="G535" s="2" t="s">
        <v>174</v>
      </c>
      <c r="H535" s="2" t="s">
        <v>44</v>
      </c>
      <c r="I535" s="9">
        <v>20273</v>
      </c>
    </row>
    <row r="536" spans="1:9" x14ac:dyDescent="0.25">
      <c r="A536" s="2" t="s">
        <v>5</v>
      </c>
      <c r="B536" s="2">
        <v>1750</v>
      </c>
      <c r="C536" s="2">
        <v>4</v>
      </c>
      <c r="D536" s="2" t="s">
        <v>41</v>
      </c>
      <c r="E536" s="3">
        <v>44136</v>
      </c>
      <c r="F536" s="2" t="s">
        <v>494</v>
      </c>
      <c r="G536" s="2" t="s">
        <v>86</v>
      </c>
      <c r="H536" s="2" t="s">
        <v>49</v>
      </c>
      <c r="I536" s="9">
        <v>25699</v>
      </c>
    </row>
    <row r="537" spans="1:9" x14ac:dyDescent="0.25">
      <c r="A537" s="2" t="s">
        <v>8</v>
      </c>
      <c r="B537" s="2">
        <v>5500</v>
      </c>
      <c r="C537" s="2">
        <v>2</v>
      </c>
      <c r="D537" s="2" t="s">
        <v>41</v>
      </c>
      <c r="E537" s="3">
        <v>44112</v>
      </c>
      <c r="F537" s="2" t="s">
        <v>111</v>
      </c>
      <c r="G537" s="2" t="s">
        <v>623</v>
      </c>
      <c r="H537" s="2" t="s">
        <v>44</v>
      </c>
      <c r="I537" s="9">
        <v>25704</v>
      </c>
    </row>
    <row r="538" spans="1:9" x14ac:dyDescent="0.25">
      <c r="A538" s="2" t="s">
        <v>27</v>
      </c>
      <c r="B538" s="2">
        <v>1500</v>
      </c>
      <c r="C538" s="2">
        <v>3</v>
      </c>
      <c r="D538" s="2" t="s">
        <v>40</v>
      </c>
      <c r="E538" s="3">
        <v>43891</v>
      </c>
      <c r="F538" s="2" t="s">
        <v>392</v>
      </c>
      <c r="G538" s="2" t="s">
        <v>393</v>
      </c>
      <c r="H538" s="2" t="s">
        <v>49</v>
      </c>
      <c r="I538" s="9">
        <v>31041</v>
      </c>
    </row>
    <row r="539" spans="1:9" x14ac:dyDescent="0.25">
      <c r="A539" s="2" t="s">
        <v>27</v>
      </c>
      <c r="B539" s="2">
        <v>1500</v>
      </c>
      <c r="C539" s="2">
        <v>3</v>
      </c>
      <c r="D539" s="2" t="s">
        <v>37</v>
      </c>
      <c r="E539" s="3">
        <v>44036</v>
      </c>
      <c r="F539" s="2" t="s">
        <v>256</v>
      </c>
      <c r="G539" s="2" t="s">
        <v>287</v>
      </c>
      <c r="H539" s="2" t="s">
        <v>44</v>
      </c>
      <c r="I539" s="9">
        <v>23671</v>
      </c>
    </row>
    <row r="540" spans="1:9" x14ac:dyDescent="0.25">
      <c r="A540" s="2" t="s">
        <v>6</v>
      </c>
      <c r="B540" s="2">
        <v>1200</v>
      </c>
      <c r="C540" s="2">
        <v>1</v>
      </c>
      <c r="D540" s="2" t="s">
        <v>40</v>
      </c>
      <c r="E540" s="3">
        <v>43952</v>
      </c>
      <c r="F540" s="2" t="s">
        <v>87</v>
      </c>
      <c r="G540" s="2" t="s">
        <v>468</v>
      </c>
      <c r="H540" s="2" t="s">
        <v>44</v>
      </c>
      <c r="I540" s="9">
        <v>32676</v>
      </c>
    </row>
    <row r="541" spans="1:9" x14ac:dyDescent="0.25">
      <c r="A541" s="2" t="s">
        <v>17</v>
      </c>
      <c r="B541" s="2">
        <v>1550</v>
      </c>
      <c r="C541" s="2">
        <v>5</v>
      </c>
      <c r="D541" s="2" t="s">
        <v>34</v>
      </c>
      <c r="E541" s="3">
        <v>44003</v>
      </c>
      <c r="F541" s="2" t="s">
        <v>170</v>
      </c>
      <c r="G541" s="2" t="s">
        <v>325</v>
      </c>
      <c r="H541" s="2" t="s">
        <v>44</v>
      </c>
      <c r="I541" s="9">
        <v>31764</v>
      </c>
    </row>
    <row r="542" spans="1:9" x14ac:dyDescent="0.25">
      <c r="A542" s="2" t="s">
        <v>10</v>
      </c>
      <c r="B542" s="2">
        <v>1450</v>
      </c>
      <c r="C542" s="2">
        <v>2</v>
      </c>
      <c r="D542" s="2" t="s">
        <v>33</v>
      </c>
      <c r="E542" s="3">
        <v>43904</v>
      </c>
      <c r="F542" s="2" t="s">
        <v>74</v>
      </c>
      <c r="G542" s="2" t="s">
        <v>75</v>
      </c>
      <c r="H542" s="2" t="s">
        <v>44</v>
      </c>
      <c r="I542" s="9">
        <v>31046</v>
      </c>
    </row>
    <row r="543" spans="1:9" x14ac:dyDescent="0.25">
      <c r="A543" s="2" t="s">
        <v>12</v>
      </c>
      <c r="B543" s="2">
        <v>6500</v>
      </c>
      <c r="C543" s="2">
        <v>4</v>
      </c>
      <c r="D543" s="2" t="s">
        <v>38</v>
      </c>
      <c r="E543" s="3">
        <v>44089</v>
      </c>
      <c r="F543" s="2" t="s">
        <v>84</v>
      </c>
      <c r="G543" s="2" t="s">
        <v>63</v>
      </c>
      <c r="H543" s="2" t="s">
        <v>44</v>
      </c>
      <c r="I543" s="9">
        <v>23490</v>
      </c>
    </row>
    <row r="544" spans="1:9" x14ac:dyDescent="0.25">
      <c r="A544" s="2" t="s">
        <v>7</v>
      </c>
      <c r="B544" s="2">
        <v>750</v>
      </c>
      <c r="C544" s="2">
        <v>2</v>
      </c>
      <c r="D544" s="2" t="s">
        <v>39</v>
      </c>
      <c r="E544" s="3">
        <v>44068</v>
      </c>
      <c r="F544" s="2" t="s">
        <v>42</v>
      </c>
      <c r="G544" s="2" t="s">
        <v>63</v>
      </c>
      <c r="H544" s="2" t="s">
        <v>44</v>
      </c>
      <c r="I544" s="9">
        <v>22924</v>
      </c>
    </row>
    <row r="545" spans="1:9" x14ac:dyDescent="0.25">
      <c r="A545" s="2" t="s">
        <v>17</v>
      </c>
      <c r="B545" s="2">
        <v>1550</v>
      </c>
      <c r="C545" s="2">
        <v>5</v>
      </c>
      <c r="D545" s="2" t="s">
        <v>32</v>
      </c>
      <c r="E545" s="3">
        <v>44140</v>
      </c>
      <c r="F545" s="2" t="s">
        <v>80</v>
      </c>
      <c r="G545" s="2" t="s">
        <v>156</v>
      </c>
      <c r="H545" s="2" t="s">
        <v>44</v>
      </c>
      <c r="I545" s="9">
        <v>36180</v>
      </c>
    </row>
    <row r="546" spans="1:9" x14ac:dyDescent="0.25">
      <c r="A546" s="2" t="s">
        <v>12</v>
      </c>
      <c r="B546" s="2">
        <v>6500</v>
      </c>
      <c r="C546" s="2">
        <v>2</v>
      </c>
      <c r="D546" s="2" t="s">
        <v>37</v>
      </c>
      <c r="E546" s="3">
        <v>43922</v>
      </c>
      <c r="F546" s="2" t="s">
        <v>64</v>
      </c>
      <c r="G546" s="2" t="s">
        <v>622</v>
      </c>
      <c r="H546" s="2" t="s">
        <v>44</v>
      </c>
      <c r="I546" s="9">
        <v>20019</v>
      </c>
    </row>
    <row r="547" spans="1:9" x14ac:dyDescent="0.25">
      <c r="A547" s="2" t="s">
        <v>22</v>
      </c>
      <c r="B547" s="2">
        <v>5200</v>
      </c>
      <c r="C547" s="2">
        <v>4</v>
      </c>
      <c r="D547" s="2" t="s">
        <v>32</v>
      </c>
      <c r="E547" s="3">
        <v>43894</v>
      </c>
      <c r="F547" s="2" t="s">
        <v>247</v>
      </c>
      <c r="G547" s="2" t="s">
        <v>308</v>
      </c>
      <c r="H547" s="2" t="s">
        <v>44</v>
      </c>
      <c r="I547" s="9">
        <v>20824</v>
      </c>
    </row>
    <row r="548" spans="1:9" x14ac:dyDescent="0.25">
      <c r="A548" s="2" t="s">
        <v>19</v>
      </c>
      <c r="B548" s="2">
        <v>700</v>
      </c>
      <c r="C548" s="2">
        <v>5</v>
      </c>
      <c r="D548" s="2" t="s">
        <v>29</v>
      </c>
      <c r="E548" s="3">
        <v>44009</v>
      </c>
      <c r="F548" s="2" t="s">
        <v>173</v>
      </c>
      <c r="G548" s="2" t="s">
        <v>181</v>
      </c>
      <c r="H548" s="2" t="s">
        <v>44</v>
      </c>
      <c r="I548" s="9">
        <v>32179</v>
      </c>
    </row>
    <row r="549" spans="1:9" x14ac:dyDescent="0.25">
      <c r="A549" s="2" t="s">
        <v>14</v>
      </c>
      <c r="B549" s="2">
        <v>2000</v>
      </c>
      <c r="C549" s="2">
        <v>3</v>
      </c>
      <c r="D549" s="2" t="s">
        <v>32</v>
      </c>
      <c r="E549" s="3">
        <v>43974</v>
      </c>
      <c r="F549" s="2" t="s">
        <v>72</v>
      </c>
      <c r="G549" s="2" t="s">
        <v>73</v>
      </c>
      <c r="H549" s="2" t="s">
        <v>49</v>
      </c>
      <c r="I549" s="9">
        <v>30167</v>
      </c>
    </row>
    <row r="550" spans="1:9" x14ac:dyDescent="0.25">
      <c r="A550" s="2" t="s">
        <v>9</v>
      </c>
      <c r="B550" s="2">
        <v>1500</v>
      </c>
      <c r="C550" s="2">
        <v>4</v>
      </c>
      <c r="D550" s="2" t="s">
        <v>39</v>
      </c>
      <c r="E550" s="3">
        <v>44135</v>
      </c>
      <c r="F550" s="2" t="s">
        <v>510</v>
      </c>
      <c r="G550" s="2" t="s">
        <v>482</v>
      </c>
      <c r="H550" s="2" t="s">
        <v>49</v>
      </c>
      <c r="I550" s="9">
        <v>34955</v>
      </c>
    </row>
    <row r="551" spans="1:9" x14ac:dyDescent="0.25">
      <c r="A551" s="2" t="s">
        <v>16</v>
      </c>
      <c r="B551" s="2">
        <v>1400</v>
      </c>
      <c r="C551" s="2">
        <v>5</v>
      </c>
      <c r="D551" s="2" t="s">
        <v>35</v>
      </c>
      <c r="E551" s="3">
        <v>43929</v>
      </c>
      <c r="F551" s="2" t="s">
        <v>42</v>
      </c>
      <c r="G551" s="2" t="s">
        <v>308</v>
      </c>
      <c r="H551" s="2" t="s">
        <v>44</v>
      </c>
      <c r="I551" s="9">
        <v>30517</v>
      </c>
    </row>
    <row r="552" spans="1:9" x14ac:dyDescent="0.25">
      <c r="A552" s="2" t="s">
        <v>25</v>
      </c>
      <c r="B552" s="2">
        <v>2500</v>
      </c>
      <c r="C552" s="2">
        <v>1</v>
      </c>
      <c r="D552" s="2" t="s">
        <v>33</v>
      </c>
      <c r="E552" s="3">
        <v>44055</v>
      </c>
      <c r="F552" s="2" t="s">
        <v>134</v>
      </c>
      <c r="G552" s="2" t="s">
        <v>141</v>
      </c>
      <c r="H552" s="2" t="s">
        <v>49</v>
      </c>
      <c r="I552" s="9">
        <v>20325</v>
      </c>
    </row>
    <row r="553" spans="1:9" x14ac:dyDescent="0.25">
      <c r="A553" s="2" t="s">
        <v>24</v>
      </c>
      <c r="B553" s="2">
        <v>2000</v>
      </c>
      <c r="C553" s="2">
        <v>2</v>
      </c>
      <c r="D553" s="2" t="s">
        <v>29</v>
      </c>
      <c r="E553" s="3">
        <v>43986</v>
      </c>
      <c r="F553" s="2" t="s">
        <v>479</v>
      </c>
      <c r="G553" s="2" t="s">
        <v>75</v>
      </c>
      <c r="H553" s="2" t="s">
        <v>49</v>
      </c>
      <c r="I553" s="9">
        <v>26199</v>
      </c>
    </row>
    <row r="554" spans="1:9" x14ac:dyDescent="0.25">
      <c r="A554" s="2" t="s">
        <v>17</v>
      </c>
      <c r="B554" s="2">
        <v>1550</v>
      </c>
      <c r="C554" s="2">
        <v>3</v>
      </c>
      <c r="D554" s="2" t="s">
        <v>41</v>
      </c>
      <c r="E554" s="3">
        <v>43959</v>
      </c>
      <c r="F554" s="2" t="s">
        <v>267</v>
      </c>
      <c r="G554" s="2" t="s">
        <v>308</v>
      </c>
      <c r="H554" s="2" t="s">
        <v>44</v>
      </c>
      <c r="I554" s="9">
        <v>30823</v>
      </c>
    </row>
    <row r="555" spans="1:9" x14ac:dyDescent="0.25">
      <c r="A555" s="2" t="s">
        <v>5</v>
      </c>
      <c r="B555" s="2">
        <v>1750</v>
      </c>
      <c r="C555" s="2">
        <v>2</v>
      </c>
      <c r="D555" s="2" t="s">
        <v>35</v>
      </c>
      <c r="E555" s="3">
        <v>44006</v>
      </c>
      <c r="F555" s="2" t="s">
        <v>216</v>
      </c>
      <c r="G555" s="2" t="s">
        <v>172</v>
      </c>
      <c r="H555" s="2" t="s">
        <v>44</v>
      </c>
      <c r="I555" s="9">
        <v>20763</v>
      </c>
    </row>
    <row r="556" spans="1:9" x14ac:dyDescent="0.25">
      <c r="A556" s="2" t="s">
        <v>28</v>
      </c>
      <c r="B556" s="2">
        <v>1400</v>
      </c>
      <c r="C556" s="2">
        <v>2</v>
      </c>
      <c r="D556" s="2" t="s">
        <v>38</v>
      </c>
      <c r="E556" s="3">
        <v>43968</v>
      </c>
      <c r="F556" s="2" t="s">
        <v>190</v>
      </c>
      <c r="G556" s="2" t="s">
        <v>297</v>
      </c>
      <c r="H556" s="2" t="s">
        <v>44</v>
      </c>
      <c r="I556" s="9">
        <v>24883</v>
      </c>
    </row>
    <row r="557" spans="1:9" x14ac:dyDescent="0.25">
      <c r="A557" s="2" t="s">
        <v>16</v>
      </c>
      <c r="B557" s="2">
        <v>1400</v>
      </c>
      <c r="C557" s="2">
        <v>1</v>
      </c>
      <c r="D557" s="2" t="s">
        <v>39</v>
      </c>
      <c r="E557" s="3">
        <v>44175</v>
      </c>
      <c r="F557" s="2" t="s">
        <v>455</v>
      </c>
      <c r="G557" s="2" t="s">
        <v>63</v>
      </c>
      <c r="H557" s="2" t="s">
        <v>49</v>
      </c>
      <c r="I557" s="9">
        <v>23893</v>
      </c>
    </row>
    <row r="558" spans="1:9" x14ac:dyDescent="0.25">
      <c r="A558" s="2" t="s">
        <v>25</v>
      </c>
      <c r="B558" s="2">
        <v>2500</v>
      </c>
      <c r="C558" s="2">
        <v>4</v>
      </c>
      <c r="D558" s="2" t="s">
        <v>33</v>
      </c>
      <c r="E558" s="3">
        <v>44129</v>
      </c>
      <c r="F558" s="2" t="s">
        <v>279</v>
      </c>
      <c r="G558" s="2" t="s">
        <v>329</v>
      </c>
      <c r="H558" s="2" t="s">
        <v>44</v>
      </c>
      <c r="I558" s="9">
        <v>18364</v>
      </c>
    </row>
    <row r="559" spans="1:9" x14ac:dyDescent="0.25">
      <c r="A559" s="2" t="s">
        <v>7</v>
      </c>
      <c r="B559" s="2">
        <v>750</v>
      </c>
      <c r="C559" s="2">
        <v>5</v>
      </c>
      <c r="D559" s="2" t="s">
        <v>32</v>
      </c>
      <c r="E559" s="3">
        <v>43832</v>
      </c>
      <c r="F559" s="2" t="s">
        <v>50</v>
      </c>
      <c r="G559" s="2" t="s">
        <v>51</v>
      </c>
      <c r="H559" s="2" t="s">
        <v>49</v>
      </c>
      <c r="I559" s="9">
        <v>25021</v>
      </c>
    </row>
    <row r="560" spans="1:9" x14ac:dyDescent="0.25">
      <c r="A560" s="2" t="s">
        <v>24</v>
      </c>
      <c r="B560" s="2">
        <v>2000</v>
      </c>
      <c r="C560" s="2">
        <v>4</v>
      </c>
      <c r="D560" s="2" t="s">
        <v>38</v>
      </c>
      <c r="E560" s="3">
        <v>43867</v>
      </c>
      <c r="F560" s="2" t="s">
        <v>328</v>
      </c>
      <c r="G560" s="2" t="s">
        <v>416</v>
      </c>
      <c r="H560" s="2" t="s">
        <v>49</v>
      </c>
      <c r="I560" s="9">
        <v>31366</v>
      </c>
    </row>
    <row r="561" spans="1:9" x14ac:dyDescent="0.25">
      <c r="A561" s="2" t="s">
        <v>9</v>
      </c>
      <c r="B561" s="2">
        <v>1500</v>
      </c>
      <c r="C561" s="2">
        <v>4</v>
      </c>
      <c r="D561" s="2" t="s">
        <v>29</v>
      </c>
      <c r="E561" s="3">
        <v>44087</v>
      </c>
      <c r="F561" s="2" t="s">
        <v>109</v>
      </c>
      <c r="G561" s="2" t="s">
        <v>345</v>
      </c>
      <c r="H561" s="2" t="s">
        <v>44</v>
      </c>
      <c r="I561" s="9">
        <v>33647</v>
      </c>
    </row>
    <row r="562" spans="1:9" x14ac:dyDescent="0.25">
      <c r="A562" s="2" t="s">
        <v>23</v>
      </c>
      <c r="B562" s="2">
        <v>1500</v>
      </c>
      <c r="C562" s="2">
        <v>1</v>
      </c>
      <c r="D562" s="2" t="s">
        <v>38</v>
      </c>
      <c r="E562" s="3">
        <v>44147</v>
      </c>
      <c r="F562" s="2" t="s">
        <v>312</v>
      </c>
      <c r="G562" s="2" t="s">
        <v>411</v>
      </c>
      <c r="H562" s="2" t="s">
        <v>49</v>
      </c>
      <c r="I562" s="9">
        <v>26225</v>
      </c>
    </row>
    <row r="563" spans="1:9" x14ac:dyDescent="0.25">
      <c r="A563" s="2" t="s">
        <v>20</v>
      </c>
      <c r="B563" s="2">
        <v>2600</v>
      </c>
      <c r="C563" s="2">
        <v>4</v>
      </c>
      <c r="D563" s="2" t="s">
        <v>35</v>
      </c>
      <c r="E563" s="3">
        <v>43930</v>
      </c>
      <c r="F563" s="2" t="s">
        <v>377</v>
      </c>
      <c r="G563" s="2" t="s">
        <v>378</v>
      </c>
      <c r="H563" s="2" t="s">
        <v>49</v>
      </c>
      <c r="I563" s="9">
        <v>21305</v>
      </c>
    </row>
    <row r="564" spans="1:9" x14ac:dyDescent="0.25">
      <c r="A564" s="2" t="s">
        <v>25</v>
      </c>
      <c r="B564" s="2">
        <v>2500</v>
      </c>
      <c r="C564" s="2">
        <v>1</v>
      </c>
      <c r="D564" s="2" t="s">
        <v>29</v>
      </c>
      <c r="E564" s="3">
        <v>43939</v>
      </c>
      <c r="F564" s="2" t="s">
        <v>140</v>
      </c>
      <c r="G564" s="2" t="s">
        <v>281</v>
      </c>
      <c r="H564" s="2" t="s">
        <v>49</v>
      </c>
      <c r="I564" s="9">
        <v>21078</v>
      </c>
    </row>
    <row r="565" spans="1:9" x14ac:dyDescent="0.25">
      <c r="A565" s="2" t="s">
        <v>7</v>
      </c>
      <c r="B565" s="2">
        <v>750</v>
      </c>
      <c r="C565" s="2">
        <v>1</v>
      </c>
      <c r="D565" s="2" t="s">
        <v>35</v>
      </c>
      <c r="E565" s="3">
        <v>43929</v>
      </c>
      <c r="F565" s="2" t="s">
        <v>284</v>
      </c>
      <c r="G565" s="2" t="s">
        <v>123</v>
      </c>
      <c r="H565" s="2" t="s">
        <v>49</v>
      </c>
      <c r="I565" s="9">
        <v>34041</v>
      </c>
    </row>
    <row r="566" spans="1:9" x14ac:dyDescent="0.25">
      <c r="A566" s="2" t="s">
        <v>6</v>
      </c>
      <c r="B566" s="2">
        <v>1200</v>
      </c>
      <c r="C566" s="2">
        <v>2</v>
      </c>
      <c r="D566" s="2" t="s">
        <v>41</v>
      </c>
      <c r="E566" s="3">
        <v>44186</v>
      </c>
      <c r="F566" s="2" t="s">
        <v>479</v>
      </c>
      <c r="G566" s="2" t="s">
        <v>592</v>
      </c>
      <c r="H566" s="2" t="s">
        <v>49</v>
      </c>
      <c r="I566" s="9">
        <v>30837</v>
      </c>
    </row>
    <row r="567" spans="1:9" x14ac:dyDescent="0.25">
      <c r="A567" s="2" t="s">
        <v>10</v>
      </c>
      <c r="B567" s="2">
        <v>1450</v>
      </c>
      <c r="C567" s="2">
        <v>5</v>
      </c>
      <c r="D567" s="2" t="s">
        <v>40</v>
      </c>
      <c r="E567" s="3">
        <v>44185</v>
      </c>
      <c r="F567" s="2" t="s">
        <v>87</v>
      </c>
      <c r="G567" s="2" t="s">
        <v>468</v>
      </c>
      <c r="H567" s="2" t="s">
        <v>44</v>
      </c>
      <c r="I567" s="9">
        <v>32676</v>
      </c>
    </row>
    <row r="568" spans="1:9" x14ac:dyDescent="0.25">
      <c r="A568" s="2" t="s">
        <v>25</v>
      </c>
      <c r="B568" s="2">
        <v>2500</v>
      </c>
      <c r="C568" s="2">
        <v>3</v>
      </c>
      <c r="D568" s="2" t="s">
        <v>31</v>
      </c>
      <c r="E568" s="3">
        <v>44182</v>
      </c>
      <c r="F568" s="2" t="s">
        <v>98</v>
      </c>
      <c r="G568" s="2" t="s">
        <v>508</v>
      </c>
      <c r="H568" s="2" t="s">
        <v>44</v>
      </c>
      <c r="I568" s="9">
        <v>33252</v>
      </c>
    </row>
    <row r="569" spans="1:9" x14ac:dyDescent="0.25">
      <c r="A569" s="2" t="s">
        <v>11</v>
      </c>
      <c r="B569" s="2">
        <v>4500</v>
      </c>
      <c r="C569" s="2">
        <v>5</v>
      </c>
      <c r="D569" s="2" t="s">
        <v>31</v>
      </c>
      <c r="E569" s="3">
        <v>44044</v>
      </c>
      <c r="F569" s="2" t="s">
        <v>78</v>
      </c>
      <c r="G569" s="2" t="s">
        <v>504</v>
      </c>
      <c r="H569" s="2" t="s">
        <v>49</v>
      </c>
      <c r="I569" s="9">
        <v>29762</v>
      </c>
    </row>
    <row r="570" spans="1:9" x14ac:dyDescent="0.25">
      <c r="A570" s="2" t="s">
        <v>24</v>
      </c>
      <c r="B570" s="2">
        <v>2000</v>
      </c>
      <c r="C570" s="2">
        <v>1</v>
      </c>
      <c r="D570" s="2" t="s">
        <v>39</v>
      </c>
      <c r="E570" s="3">
        <v>44134</v>
      </c>
      <c r="F570" s="2" t="s">
        <v>321</v>
      </c>
      <c r="G570" s="2" t="s">
        <v>387</v>
      </c>
      <c r="H570" s="2" t="s">
        <v>49</v>
      </c>
      <c r="I570" s="9">
        <v>19147</v>
      </c>
    </row>
    <row r="571" spans="1:9" x14ac:dyDescent="0.25">
      <c r="A571" s="2" t="s">
        <v>17</v>
      </c>
      <c r="B571" s="2">
        <v>1550</v>
      </c>
      <c r="C571" s="2">
        <v>4</v>
      </c>
      <c r="D571" s="2" t="s">
        <v>29</v>
      </c>
      <c r="E571" s="3">
        <v>43883</v>
      </c>
      <c r="F571" s="2" t="s">
        <v>546</v>
      </c>
      <c r="G571" s="2" t="s">
        <v>435</v>
      </c>
      <c r="H571" s="2" t="s">
        <v>49</v>
      </c>
      <c r="I571" s="9">
        <v>33358</v>
      </c>
    </row>
    <row r="572" spans="1:9" x14ac:dyDescent="0.25">
      <c r="A572" s="2" t="s">
        <v>18</v>
      </c>
      <c r="B572" s="2">
        <v>3000</v>
      </c>
      <c r="C572" s="2">
        <v>1</v>
      </c>
      <c r="D572" s="2" t="s">
        <v>41</v>
      </c>
      <c r="E572" s="3">
        <v>44104</v>
      </c>
      <c r="F572" s="2" t="s">
        <v>70</v>
      </c>
      <c r="G572" s="2" t="s">
        <v>369</v>
      </c>
      <c r="H572" s="2" t="s">
        <v>44</v>
      </c>
      <c r="I572" s="9">
        <v>36801</v>
      </c>
    </row>
    <row r="573" spans="1:9" x14ac:dyDescent="0.25">
      <c r="A573" s="2" t="s">
        <v>15</v>
      </c>
      <c r="B573" s="2">
        <v>1900</v>
      </c>
      <c r="C573" s="2">
        <v>4</v>
      </c>
      <c r="D573" s="2" t="s">
        <v>31</v>
      </c>
      <c r="E573" s="3">
        <v>43909</v>
      </c>
      <c r="F573" s="2" t="s">
        <v>78</v>
      </c>
      <c r="G573" s="2" t="s">
        <v>504</v>
      </c>
      <c r="H573" s="2" t="s">
        <v>49</v>
      </c>
      <c r="I573" s="9">
        <v>29762</v>
      </c>
    </row>
    <row r="574" spans="1:9" x14ac:dyDescent="0.25">
      <c r="A574" s="2" t="s">
        <v>12</v>
      </c>
      <c r="B574" s="2">
        <v>6500</v>
      </c>
      <c r="C574" s="2">
        <v>5</v>
      </c>
      <c r="D574" s="2" t="s">
        <v>36</v>
      </c>
      <c r="E574" s="3">
        <v>44015</v>
      </c>
      <c r="F574" s="2" t="s">
        <v>170</v>
      </c>
      <c r="G574" s="2" t="s">
        <v>386</v>
      </c>
      <c r="H574" s="2" t="s">
        <v>44</v>
      </c>
      <c r="I574" s="9">
        <v>20620</v>
      </c>
    </row>
    <row r="575" spans="1:9" x14ac:dyDescent="0.25">
      <c r="A575" s="2" t="s">
        <v>6</v>
      </c>
      <c r="B575" s="2">
        <v>1200</v>
      </c>
      <c r="C575" s="2">
        <v>1</v>
      </c>
      <c r="D575" s="2" t="s">
        <v>32</v>
      </c>
      <c r="E575" s="3">
        <v>43991</v>
      </c>
      <c r="F575" s="2" t="s">
        <v>50</v>
      </c>
      <c r="G575" s="2" t="s">
        <v>51</v>
      </c>
      <c r="H575" s="2" t="s">
        <v>49</v>
      </c>
      <c r="I575" s="9">
        <v>25021</v>
      </c>
    </row>
    <row r="576" spans="1:9" x14ac:dyDescent="0.25">
      <c r="A576" s="2" t="s">
        <v>9</v>
      </c>
      <c r="B576" s="2">
        <v>1500</v>
      </c>
      <c r="C576" s="2">
        <v>1</v>
      </c>
      <c r="D576" s="2" t="s">
        <v>33</v>
      </c>
      <c r="E576" s="3">
        <v>44025</v>
      </c>
      <c r="F576" s="2" t="s">
        <v>489</v>
      </c>
      <c r="G576" s="2" t="s">
        <v>99</v>
      </c>
      <c r="H576" s="2" t="s">
        <v>49</v>
      </c>
      <c r="I576" s="9">
        <v>34694</v>
      </c>
    </row>
    <row r="577" spans="1:9" x14ac:dyDescent="0.25">
      <c r="A577" s="2" t="s">
        <v>18</v>
      </c>
      <c r="B577" s="2">
        <v>3000</v>
      </c>
      <c r="C577" s="2">
        <v>5</v>
      </c>
      <c r="D577" s="2" t="s">
        <v>29</v>
      </c>
      <c r="E577" s="3">
        <v>44012</v>
      </c>
      <c r="F577" s="2" t="s">
        <v>259</v>
      </c>
      <c r="G577" s="2" t="s">
        <v>238</v>
      </c>
      <c r="H577" s="2" t="s">
        <v>49</v>
      </c>
      <c r="I577" s="9">
        <v>33136</v>
      </c>
    </row>
    <row r="578" spans="1:9" x14ac:dyDescent="0.25">
      <c r="A578" s="2" t="s">
        <v>15</v>
      </c>
      <c r="B578" s="2">
        <v>1900</v>
      </c>
      <c r="C578" s="2">
        <v>3</v>
      </c>
      <c r="D578" s="2" t="s">
        <v>39</v>
      </c>
      <c r="E578" s="3">
        <v>43916</v>
      </c>
      <c r="F578" s="2" t="s">
        <v>354</v>
      </c>
      <c r="G578" s="2" t="s">
        <v>310</v>
      </c>
      <c r="H578" s="2" t="s">
        <v>49</v>
      </c>
      <c r="I578" s="9">
        <v>30770</v>
      </c>
    </row>
    <row r="579" spans="1:9" x14ac:dyDescent="0.25">
      <c r="A579" s="2" t="s">
        <v>18</v>
      </c>
      <c r="B579" s="2">
        <v>3000</v>
      </c>
      <c r="C579" s="2">
        <v>1</v>
      </c>
      <c r="D579" s="2" t="s">
        <v>36</v>
      </c>
      <c r="E579" s="3">
        <v>44114</v>
      </c>
      <c r="F579" s="2" t="s">
        <v>239</v>
      </c>
      <c r="G579" s="2" t="s">
        <v>152</v>
      </c>
      <c r="H579" s="2" t="s">
        <v>49</v>
      </c>
      <c r="I579" s="9">
        <v>32841</v>
      </c>
    </row>
    <row r="580" spans="1:9" x14ac:dyDescent="0.25">
      <c r="A580" s="2" t="s">
        <v>11</v>
      </c>
      <c r="B580" s="2">
        <v>4500</v>
      </c>
      <c r="C580" s="2">
        <v>4</v>
      </c>
      <c r="D580" s="2" t="s">
        <v>32</v>
      </c>
      <c r="E580" s="3">
        <v>43842</v>
      </c>
      <c r="F580" s="2" t="s">
        <v>109</v>
      </c>
      <c r="G580" s="2" t="s">
        <v>152</v>
      </c>
      <c r="H580" s="2" t="s">
        <v>44</v>
      </c>
      <c r="I580" s="9">
        <v>31883</v>
      </c>
    </row>
    <row r="581" spans="1:9" x14ac:dyDescent="0.25">
      <c r="A581" s="2" t="s">
        <v>10</v>
      </c>
      <c r="B581" s="2">
        <v>1450</v>
      </c>
      <c r="C581" s="2">
        <v>3</v>
      </c>
      <c r="D581" s="2" t="s">
        <v>41</v>
      </c>
      <c r="E581" s="3">
        <v>44004</v>
      </c>
      <c r="F581" s="2" t="s">
        <v>264</v>
      </c>
      <c r="G581" s="2" t="s">
        <v>205</v>
      </c>
      <c r="H581" s="2" t="s">
        <v>49</v>
      </c>
      <c r="I581" s="9">
        <v>27496</v>
      </c>
    </row>
    <row r="582" spans="1:9" x14ac:dyDescent="0.25">
      <c r="A582" s="2" t="s">
        <v>27</v>
      </c>
      <c r="B582" s="2">
        <v>1500</v>
      </c>
      <c r="C582" s="2">
        <v>5</v>
      </c>
      <c r="D582" s="2" t="s">
        <v>41</v>
      </c>
      <c r="E582" s="3">
        <v>44192</v>
      </c>
      <c r="F582" s="2" t="s">
        <v>216</v>
      </c>
      <c r="G582" s="2" t="s">
        <v>274</v>
      </c>
      <c r="H582" s="2" t="s">
        <v>44</v>
      </c>
      <c r="I582" s="9">
        <v>35037</v>
      </c>
    </row>
    <row r="583" spans="1:9" x14ac:dyDescent="0.25">
      <c r="A583" s="2" t="s">
        <v>25</v>
      </c>
      <c r="B583" s="2">
        <v>2500</v>
      </c>
      <c r="C583" s="2">
        <v>5</v>
      </c>
      <c r="D583" s="2" t="s">
        <v>30</v>
      </c>
      <c r="E583" s="3">
        <v>43855</v>
      </c>
      <c r="F583" s="2" t="s">
        <v>392</v>
      </c>
      <c r="G583" s="2" t="s">
        <v>472</v>
      </c>
      <c r="H583" s="2" t="s">
        <v>49</v>
      </c>
      <c r="I583" s="9">
        <v>35563</v>
      </c>
    </row>
    <row r="584" spans="1:9" x14ac:dyDescent="0.25">
      <c r="A584" s="2" t="s">
        <v>20</v>
      </c>
      <c r="B584" s="2">
        <v>2600</v>
      </c>
      <c r="C584" s="2">
        <v>3</v>
      </c>
      <c r="D584" s="2" t="s">
        <v>32</v>
      </c>
      <c r="E584" s="3">
        <v>43996</v>
      </c>
      <c r="F584" s="2" t="s">
        <v>259</v>
      </c>
      <c r="G584" s="2" t="s">
        <v>174</v>
      </c>
      <c r="H584" s="2" t="s">
        <v>49</v>
      </c>
      <c r="I584" s="9">
        <v>35764</v>
      </c>
    </row>
    <row r="585" spans="1:9" x14ac:dyDescent="0.25">
      <c r="A585" s="2" t="s">
        <v>17</v>
      </c>
      <c r="B585" s="2">
        <v>1550</v>
      </c>
      <c r="C585" s="2">
        <v>3</v>
      </c>
      <c r="D585" s="2" t="s">
        <v>37</v>
      </c>
      <c r="E585" s="3">
        <v>44138</v>
      </c>
      <c r="F585" s="2" t="s">
        <v>42</v>
      </c>
      <c r="G585" s="2" t="s">
        <v>93</v>
      </c>
      <c r="H585" s="2" t="s">
        <v>44</v>
      </c>
      <c r="I585" s="9">
        <v>21017</v>
      </c>
    </row>
    <row r="586" spans="1:9" x14ac:dyDescent="0.25">
      <c r="A586" s="2" t="s">
        <v>6</v>
      </c>
      <c r="B586" s="2">
        <v>1200</v>
      </c>
      <c r="C586" s="2">
        <v>4</v>
      </c>
      <c r="D586" s="2" t="s">
        <v>29</v>
      </c>
      <c r="E586" s="3">
        <v>44021</v>
      </c>
      <c r="F586" s="2" t="s">
        <v>144</v>
      </c>
      <c r="G586" s="2" t="s">
        <v>145</v>
      </c>
      <c r="H586" s="2" t="s">
        <v>49</v>
      </c>
      <c r="I586" s="9">
        <v>27944</v>
      </c>
    </row>
    <row r="587" spans="1:9" x14ac:dyDescent="0.25">
      <c r="A587" s="2" t="s">
        <v>11</v>
      </c>
      <c r="B587" s="2">
        <v>4500</v>
      </c>
      <c r="C587" s="2">
        <v>3</v>
      </c>
      <c r="D587" s="2" t="s">
        <v>31</v>
      </c>
      <c r="E587" s="3">
        <v>44158</v>
      </c>
      <c r="F587" s="2" t="s">
        <v>270</v>
      </c>
      <c r="G587" s="2" t="s">
        <v>63</v>
      </c>
      <c r="H587" s="2" t="s">
        <v>44</v>
      </c>
      <c r="I587" s="9">
        <v>32206</v>
      </c>
    </row>
    <row r="588" spans="1:9" x14ac:dyDescent="0.25">
      <c r="A588" s="2" t="s">
        <v>23</v>
      </c>
      <c r="B588" s="2">
        <v>1500</v>
      </c>
      <c r="C588" s="2">
        <v>2</v>
      </c>
      <c r="D588" s="2" t="s">
        <v>40</v>
      </c>
      <c r="E588" s="3">
        <v>43943</v>
      </c>
      <c r="F588" s="2" t="s">
        <v>239</v>
      </c>
      <c r="G588" s="2" t="s">
        <v>294</v>
      </c>
      <c r="H588" s="2" t="s">
        <v>49</v>
      </c>
      <c r="I588" s="9">
        <v>30135</v>
      </c>
    </row>
    <row r="589" spans="1:9" x14ac:dyDescent="0.25">
      <c r="A589" s="2" t="s">
        <v>25</v>
      </c>
      <c r="B589" s="2">
        <v>2500</v>
      </c>
      <c r="C589" s="2">
        <v>5</v>
      </c>
      <c r="D589" s="2" t="s">
        <v>38</v>
      </c>
      <c r="E589" s="3">
        <v>43870</v>
      </c>
      <c r="F589" s="2" t="s">
        <v>90</v>
      </c>
      <c r="G589" s="2" t="s">
        <v>91</v>
      </c>
      <c r="H589" s="2" t="s">
        <v>49</v>
      </c>
      <c r="I589" s="9">
        <v>33405</v>
      </c>
    </row>
    <row r="590" spans="1:9" x14ac:dyDescent="0.25">
      <c r="A590" s="2" t="s">
        <v>17</v>
      </c>
      <c r="B590" s="2">
        <v>1550</v>
      </c>
      <c r="C590" s="2">
        <v>5</v>
      </c>
      <c r="D590" s="2" t="s">
        <v>30</v>
      </c>
      <c r="E590" s="3">
        <v>44064</v>
      </c>
      <c r="F590" s="2" t="s">
        <v>107</v>
      </c>
      <c r="G590" s="2" t="s">
        <v>63</v>
      </c>
      <c r="H590" s="2" t="s">
        <v>49</v>
      </c>
      <c r="I590" s="9">
        <v>29503</v>
      </c>
    </row>
    <row r="591" spans="1:9" x14ac:dyDescent="0.25">
      <c r="A591" s="2" t="s">
        <v>11</v>
      </c>
      <c r="B591" s="2">
        <v>4500</v>
      </c>
      <c r="C591" s="2">
        <v>1</v>
      </c>
      <c r="D591" s="2" t="s">
        <v>35</v>
      </c>
      <c r="E591" s="3">
        <v>43843</v>
      </c>
      <c r="F591" s="2" t="s">
        <v>158</v>
      </c>
      <c r="G591" s="2" t="s">
        <v>330</v>
      </c>
      <c r="H591" s="2" t="s">
        <v>49</v>
      </c>
      <c r="I591" s="9">
        <v>29314</v>
      </c>
    </row>
    <row r="592" spans="1:9" x14ac:dyDescent="0.25">
      <c r="A592" s="2" t="s">
        <v>10</v>
      </c>
      <c r="B592" s="2">
        <v>1450</v>
      </c>
      <c r="C592" s="2">
        <v>1</v>
      </c>
      <c r="D592" s="2" t="s">
        <v>30</v>
      </c>
      <c r="E592" s="3">
        <v>43930</v>
      </c>
      <c r="F592" s="2" t="s">
        <v>45</v>
      </c>
      <c r="G592" s="2" t="s">
        <v>46</v>
      </c>
      <c r="H592" s="2" t="s">
        <v>44</v>
      </c>
      <c r="I592" s="9">
        <v>32614</v>
      </c>
    </row>
    <row r="593" spans="1:9" x14ac:dyDescent="0.25">
      <c r="A593" s="2" t="s">
        <v>10</v>
      </c>
      <c r="B593" s="2">
        <v>1450</v>
      </c>
      <c r="C593" s="2">
        <v>2</v>
      </c>
      <c r="D593" s="2" t="s">
        <v>29</v>
      </c>
      <c r="E593" s="3">
        <v>44123</v>
      </c>
      <c r="F593" s="2" t="s">
        <v>347</v>
      </c>
      <c r="G593" s="2" t="s">
        <v>550</v>
      </c>
      <c r="H593" s="2" t="s">
        <v>49</v>
      </c>
      <c r="I593" s="9">
        <v>35649</v>
      </c>
    </row>
    <row r="594" spans="1:9" x14ac:dyDescent="0.25">
      <c r="A594" s="2" t="s">
        <v>20</v>
      </c>
      <c r="B594" s="2">
        <v>2600</v>
      </c>
      <c r="C594" s="2">
        <v>2</v>
      </c>
      <c r="D594" s="2" t="s">
        <v>41</v>
      </c>
      <c r="E594" s="3">
        <v>44118</v>
      </c>
      <c r="F594" s="2" t="s">
        <v>264</v>
      </c>
      <c r="G594" s="2" t="s">
        <v>435</v>
      </c>
      <c r="H594" s="2" t="s">
        <v>49</v>
      </c>
      <c r="I594" s="9">
        <v>19820</v>
      </c>
    </row>
    <row r="595" spans="1:9" x14ac:dyDescent="0.25">
      <c r="A595" s="2" t="s">
        <v>16</v>
      </c>
      <c r="B595" s="2">
        <v>1400</v>
      </c>
      <c r="C595" s="2">
        <v>1</v>
      </c>
      <c r="D595" s="2" t="s">
        <v>37</v>
      </c>
      <c r="E595" s="3">
        <v>43890</v>
      </c>
      <c r="F595" s="2" t="s">
        <v>170</v>
      </c>
      <c r="G595" s="2" t="s">
        <v>362</v>
      </c>
      <c r="H595" s="2" t="s">
        <v>44</v>
      </c>
      <c r="I595" s="9">
        <v>28727</v>
      </c>
    </row>
    <row r="596" spans="1:9" x14ac:dyDescent="0.25">
      <c r="A596" s="2" t="s">
        <v>11</v>
      </c>
      <c r="B596" s="2">
        <v>4500</v>
      </c>
      <c r="C596" s="2">
        <v>3</v>
      </c>
      <c r="D596" s="2" t="s">
        <v>29</v>
      </c>
      <c r="E596" s="3">
        <v>44164</v>
      </c>
      <c r="F596" s="2" t="s">
        <v>94</v>
      </c>
      <c r="G596" s="2" t="s">
        <v>95</v>
      </c>
      <c r="H596" s="2" t="s">
        <v>49</v>
      </c>
      <c r="I596" s="9">
        <v>31255</v>
      </c>
    </row>
    <row r="597" spans="1:9" x14ac:dyDescent="0.25">
      <c r="A597" s="2" t="s">
        <v>11</v>
      </c>
      <c r="B597" s="2">
        <v>4500</v>
      </c>
      <c r="C597" s="2">
        <v>3</v>
      </c>
      <c r="D597" s="2" t="s">
        <v>37</v>
      </c>
      <c r="E597" s="3">
        <v>44029</v>
      </c>
      <c r="F597" s="2" t="s">
        <v>272</v>
      </c>
      <c r="G597" s="2" t="s">
        <v>620</v>
      </c>
      <c r="H597" s="2" t="s">
        <v>49</v>
      </c>
      <c r="I597" s="9">
        <v>23586</v>
      </c>
    </row>
    <row r="598" spans="1:9" x14ac:dyDescent="0.25">
      <c r="A598" s="2" t="s">
        <v>18</v>
      </c>
      <c r="B598" s="2">
        <v>3000</v>
      </c>
      <c r="C598" s="2">
        <v>1</v>
      </c>
      <c r="D598" s="2" t="s">
        <v>32</v>
      </c>
      <c r="E598" s="3">
        <v>43874</v>
      </c>
      <c r="F598" s="2" t="s">
        <v>390</v>
      </c>
      <c r="G598" s="2" t="s">
        <v>229</v>
      </c>
      <c r="H598" s="2" t="s">
        <v>49</v>
      </c>
      <c r="I598" s="9">
        <v>30740</v>
      </c>
    </row>
    <row r="599" spans="1:9" x14ac:dyDescent="0.25">
      <c r="A599" s="2" t="s">
        <v>15</v>
      </c>
      <c r="B599" s="2">
        <v>1900</v>
      </c>
      <c r="C599" s="2">
        <v>1</v>
      </c>
      <c r="D599" s="2" t="s">
        <v>36</v>
      </c>
      <c r="E599" s="3">
        <v>44146</v>
      </c>
      <c r="F599" s="2" t="s">
        <v>192</v>
      </c>
      <c r="G599" s="2" t="s">
        <v>292</v>
      </c>
      <c r="H599" s="2" t="s">
        <v>49</v>
      </c>
      <c r="I599" s="9">
        <v>36443</v>
      </c>
    </row>
    <row r="600" spans="1:9" x14ac:dyDescent="0.25">
      <c r="A600" s="2" t="s">
        <v>27</v>
      </c>
      <c r="B600" s="2">
        <v>1500</v>
      </c>
      <c r="C600" s="2">
        <v>4</v>
      </c>
      <c r="D600" s="2" t="s">
        <v>37</v>
      </c>
      <c r="E600" s="3">
        <v>43968</v>
      </c>
      <c r="F600" s="2" t="s">
        <v>155</v>
      </c>
      <c r="G600" s="2" t="s">
        <v>229</v>
      </c>
      <c r="H600" s="2" t="s">
        <v>44</v>
      </c>
      <c r="I600" s="9">
        <v>30486</v>
      </c>
    </row>
    <row r="601" spans="1:9" x14ac:dyDescent="0.25">
      <c r="A601" s="2" t="s">
        <v>6</v>
      </c>
      <c r="B601" s="2">
        <v>1200</v>
      </c>
      <c r="C601" s="2">
        <v>3</v>
      </c>
      <c r="D601" s="2" t="s">
        <v>30</v>
      </c>
      <c r="E601" s="3">
        <v>43888</v>
      </c>
      <c r="F601" s="2" t="s">
        <v>98</v>
      </c>
      <c r="G601" s="2" t="s">
        <v>139</v>
      </c>
      <c r="H601" s="2" t="s">
        <v>44</v>
      </c>
      <c r="I601" s="9">
        <v>24585</v>
      </c>
    </row>
    <row r="602" spans="1:9" x14ac:dyDescent="0.25">
      <c r="A602" s="2" t="s">
        <v>20</v>
      </c>
      <c r="B602" s="2">
        <v>2600</v>
      </c>
      <c r="C602" s="2">
        <v>3</v>
      </c>
      <c r="D602" s="2" t="s">
        <v>30</v>
      </c>
      <c r="E602" s="3">
        <v>44004</v>
      </c>
      <c r="F602" s="2" t="s">
        <v>158</v>
      </c>
      <c r="G602" s="2" t="s">
        <v>159</v>
      </c>
      <c r="H602" s="2" t="s">
        <v>49</v>
      </c>
      <c r="I602" s="9">
        <v>31269</v>
      </c>
    </row>
    <row r="603" spans="1:9" x14ac:dyDescent="0.25">
      <c r="A603" s="2" t="s">
        <v>17</v>
      </c>
      <c r="B603" s="2">
        <v>1550</v>
      </c>
      <c r="C603" s="2">
        <v>3</v>
      </c>
      <c r="D603" s="2" t="s">
        <v>32</v>
      </c>
      <c r="E603" s="3">
        <v>43868</v>
      </c>
      <c r="F603" s="2" t="s">
        <v>414</v>
      </c>
      <c r="G603" s="2" t="s">
        <v>308</v>
      </c>
      <c r="H603" s="2" t="s">
        <v>44</v>
      </c>
      <c r="I603" s="9">
        <v>36278</v>
      </c>
    </row>
    <row r="604" spans="1:9" x14ac:dyDescent="0.25">
      <c r="A604" s="2" t="s">
        <v>26</v>
      </c>
      <c r="B604" s="2">
        <v>1100</v>
      </c>
      <c r="C604" s="2">
        <v>5</v>
      </c>
      <c r="D604" s="2" t="s">
        <v>29</v>
      </c>
      <c r="E604" s="3">
        <v>44161</v>
      </c>
      <c r="F604" s="2" t="s">
        <v>479</v>
      </c>
      <c r="G604" s="2" t="s">
        <v>75</v>
      </c>
      <c r="H604" s="2" t="s">
        <v>49</v>
      </c>
      <c r="I604" s="9">
        <v>26199</v>
      </c>
    </row>
    <row r="605" spans="1:9" x14ac:dyDescent="0.25">
      <c r="A605" s="2" t="s">
        <v>8</v>
      </c>
      <c r="B605" s="2">
        <v>5500</v>
      </c>
      <c r="C605" s="2">
        <v>2</v>
      </c>
      <c r="D605" s="2" t="s">
        <v>29</v>
      </c>
      <c r="E605" s="3">
        <v>44094</v>
      </c>
      <c r="F605" s="2" t="s">
        <v>426</v>
      </c>
      <c r="G605" s="2" t="s">
        <v>75</v>
      </c>
      <c r="H605" s="2" t="s">
        <v>49</v>
      </c>
      <c r="I605" s="9">
        <v>33756</v>
      </c>
    </row>
    <row r="606" spans="1:9" x14ac:dyDescent="0.25">
      <c r="A606" s="2" t="s">
        <v>11</v>
      </c>
      <c r="B606" s="2">
        <v>4500</v>
      </c>
      <c r="C606" s="2">
        <v>2</v>
      </c>
      <c r="D606" s="2" t="s">
        <v>34</v>
      </c>
      <c r="E606" s="3">
        <v>43925</v>
      </c>
      <c r="F606" s="2" t="s">
        <v>492</v>
      </c>
      <c r="G606" s="2" t="s">
        <v>198</v>
      </c>
      <c r="H606" s="2" t="s">
        <v>44</v>
      </c>
      <c r="I606" s="9">
        <v>28333</v>
      </c>
    </row>
    <row r="607" spans="1:9" x14ac:dyDescent="0.25">
      <c r="A607" s="2" t="s">
        <v>12</v>
      </c>
      <c r="B607" s="2">
        <v>6500</v>
      </c>
      <c r="C607" s="2">
        <v>5</v>
      </c>
      <c r="D607" s="2" t="s">
        <v>34</v>
      </c>
      <c r="E607" s="3">
        <v>44091</v>
      </c>
      <c r="F607" s="2" t="s">
        <v>589</v>
      </c>
      <c r="G607" s="2" t="s">
        <v>46</v>
      </c>
      <c r="H607" s="2" t="s">
        <v>44</v>
      </c>
      <c r="I607" s="9">
        <v>20785</v>
      </c>
    </row>
    <row r="608" spans="1:9" x14ac:dyDescent="0.25">
      <c r="A608" s="2" t="s">
        <v>18</v>
      </c>
      <c r="B608" s="2">
        <v>3000</v>
      </c>
      <c r="C608" s="2">
        <v>2</v>
      </c>
      <c r="D608" s="2" t="s">
        <v>41</v>
      </c>
      <c r="E608" s="3">
        <v>43961</v>
      </c>
      <c r="F608" s="2" t="s">
        <v>118</v>
      </c>
      <c r="G608" s="2" t="s">
        <v>332</v>
      </c>
      <c r="H608" s="2" t="s">
        <v>49</v>
      </c>
      <c r="I608" s="9">
        <v>31393</v>
      </c>
    </row>
    <row r="609" spans="1:9" x14ac:dyDescent="0.25">
      <c r="A609" s="2" t="s">
        <v>25</v>
      </c>
      <c r="B609" s="2">
        <v>2500</v>
      </c>
      <c r="C609" s="2">
        <v>4</v>
      </c>
      <c r="D609" s="2" t="s">
        <v>29</v>
      </c>
      <c r="E609" s="3">
        <v>44160</v>
      </c>
      <c r="F609" s="2" t="s">
        <v>293</v>
      </c>
      <c r="G609" s="2" t="s">
        <v>495</v>
      </c>
      <c r="H609" s="2" t="s">
        <v>49</v>
      </c>
      <c r="I609" s="9">
        <v>35510</v>
      </c>
    </row>
    <row r="610" spans="1:9" x14ac:dyDescent="0.25">
      <c r="A610" s="2" t="s">
        <v>16</v>
      </c>
      <c r="B610" s="2">
        <v>1400</v>
      </c>
      <c r="C610" s="2">
        <v>4</v>
      </c>
      <c r="D610" s="2" t="s">
        <v>34</v>
      </c>
      <c r="E610" s="3">
        <v>43898</v>
      </c>
      <c r="F610" s="2" t="s">
        <v>98</v>
      </c>
      <c r="G610" s="2" t="s">
        <v>619</v>
      </c>
      <c r="H610" s="2" t="s">
        <v>44</v>
      </c>
      <c r="I610" s="9">
        <v>26250</v>
      </c>
    </row>
    <row r="611" spans="1:9" x14ac:dyDescent="0.25">
      <c r="A611" s="2" t="s">
        <v>13</v>
      </c>
      <c r="B611" s="2">
        <v>2300</v>
      </c>
      <c r="C611" s="2">
        <v>5</v>
      </c>
      <c r="D611" s="2" t="s">
        <v>34</v>
      </c>
      <c r="E611" s="3">
        <v>44038</v>
      </c>
      <c r="F611" s="2" t="s">
        <v>492</v>
      </c>
      <c r="G611" s="2" t="s">
        <v>198</v>
      </c>
      <c r="H611" s="2" t="s">
        <v>44</v>
      </c>
      <c r="I611" s="9">
        <v>28333</v>
      </c>
    </row>
    <row r="612" spans="1:9" x14ac:dyDescent="0.25">
      <c r="A612" s="2" t="s">
        <v>21</v>
      </c>
      <c r="B612" s="2">
        <v>2400</v>
      </c>
      <c r="C612" s="2">
        <v>4</v>
      </c>
      <c r="D612" s="2" t="s">
        <v>30</v>
      </c>
      <c r="E612" s="3">
        <v>43943</v>
      </c>
      <c r="F612" s="2" t="s">
        <v>87</v>
      </c>
      <c r="G612" s="2" t="s">
        <v>171</v>
      </c>
      <c r="H612" s="2" t="s">
        <v>44</v>
      </c>
      <c r="I612" s="9">
        <v>28244</v>
      </c>
    </row>
    <row r="613" spans="1:9" x14ac:dyDescent="0.25">
      <c r="A613" s="2" t="s">
        <v>6</v>
      </c>
      <c r="B613" s="2">
        <v>1200</v>
      </c>
      <c r="C613" s="2">
        <v>4</v>
      </c>
      <c r="D613" s="2" t="s">
        <v>41</v>
      </c>
      <c r="E613" s="3">
        <v>43986</v>
      </c>
      <c r="F613" s="2" t="s">
        <v>70</v>
      </c>
      <c r="G613" s="2" t="s">
        <v>378</v>
      </c>
      <c r="H613" s="2" t="s">
        <v>44</v>
      </c>
      <c r="I613" s="9">
        <v>25605</v>
      </c>
    </row>
    <row r="614" spans="1:9" x14ac:dyDescent="0.25">
      <c r="A614" s="2" t="s">
        <v>13</v>
      </c>
      <c r="B614" s="2">
        <v>2300</v>
      </c>
      <c r="C614" s="2">
        <v>1</v>
      </c>
      <c r="D614" s="2" t="s">
        <v>37</v>
      </c>
      <c r="E614" s="3">
        <v>43968</v>
      </c>
      <c r="F614" s="2" t="s">
        <v>51</v>
      </c>
      <c r="G614" s="2" t="s">
        <v>227</v>
      </c>
      <c r="H614" s="2" t="s">
        <v>44</v>
      </c>
      <c r="I614" s="9">
        <v>31736</v>
      </c>
    </row>
    <row r="615" spans="1:9" x14ac:dyDescent="0.25">
      <c r="A615" s="2" t="s">
        <v>8</v>
      </c>
      <c r="B615" s="2">
        <v>5500</v>
      </c>
      <c r="C615" s="2">
        <v>3</v>
      </c>
      <c r="D615" s="2" t="s">
        <v>30</v>
      </c>
      <c r="E615" s="3">
        <v>44072</v>
      </c>
      <c r="F615" s="2" t="s">
        <v>87</v>
      </c>
      <c r="G615" s="2" t="s">
        <v>67</v>
      </c>
      <c r="H615" s="2" t="s">
        <v>44</v>
      </c>
      <c r="I615" s="9">
        <v>27176</v>
      </c>
    </row>
    <row r="616" spans="1:9" x14ac:dyDescent="0.25">
      <c r="A616" s="2" t="s">
        <v>22</v>
      </c>
      <c r="B616" s="2">
        <v>5200</v>
      </c>
      <c r="C616" s="2">
        <v>1</v>
      </c>
      <c r="D616" s="2" t="s">
        <v>29</v>
      </c>
      <c r="E616" s="3">
        <v>44024</v>
      </c>
      <c r="F616" s="2" t="s">
        <v>589</v>
      </c>
      <c r="G616" s="2" t="s">
        <v>586</v>
      </c>
      <c r="H616" s="2" t="s">
        <v>44</v>
      </c>
      <c r="I616" s="9">
        <v>20204</v>
      </c>
    </row>
    <row r="617" spans="1:9" x14ac:dyDescent="0.25">
      <c r="A617" s="2" t="s">
        <v>20</v>
      </c>
      <c r="B617" s="2">
        <v>2600</v>
      </c>
      <c r="C617" s="2">
        <v>5</v>
      </c>
      <c r="D617" s="2" t="s">
        <v>29</v>
      </c>
      <c r="E617" s="3">
        <v>43880</v>
      </c>
      <c r="F617" s="2" t="s">
        <v>134</v>
      </c>
      <c r="G617" s="2" t="s">
        <v>555</v>
      </c>
      <c r="H617" s="2" t="s">
        <v>49</v>
      </c>
      <c r="I617" s="9">
        <v>26083</v>
      </c>
    </row>
    <row r="618" spans="1:9" x14ac:dyDescent="0.25">
      <c r="A618" s="2" t="s">
        <v>28</v>
      </c>
      <c r="B618" s="2">
        <v>1400</v>
      </c>
      <c r="C618" s="2">
        <v>1</v>
      </c>
      <c r="D618" s="2" t="s">
        <v>38</v>
      </c>
      <c r="E618" s="3">
        <v>44003</v>
      </c>
      <c r="F618" s="2" t="s">
        <v>216</v>
      </c>
      <c r="G618" s="2" t="s">
        <v>442</v>
      </c>
      <c r="H618" s="2" t="s">
        <v>44</v>
      </c>
      <c r="I618" s="9">
        <v>27664</v>
      </c>
    </row>
    <row r="619" spans="1:9" x14ac:dyDescent="0.25">
      <c r="A619" s="2" t="s">
        <v>10</v>
      </c>
      <c r="B619" s="2">
        <v>1450</v>
      </c>
      <c r="C619" s="2">
        <v>1</v>
      </c>
      <c r="D619" s="2" t="s">
        <v>29</v>
      </c>
      <c r="E619" s="3">
        <v>43931</v>
      </c>
      <c r="F619" s="2" t="s">
        <v>74</v>
      </c>
      <c r="G619" s="2" t="s">
        <v>63</v>
      </c>
      <c r="H619" s="2" t="s">
        <v>44</v>
      </c>
      <c r="I619" s="9">
        <v>26891</v>
      </c>
    </row>
    <row r="620" spans="1:9" x14ac:dyDescent="0.25">
      <c r="A620" s="2" t="s">
        <v>20</v>
      </c>
      <c r="B620" s="2">
        <v>2600</v>
      </c>
      <c r="C620" s="2">
        <v>1</v>
      </c>
      <c r="D620" s="2" t="s">
        <v>37</v>
      </c>
      <c r="E620" s="3">
        <v>44190</v>
      </c>
      <c r="F620" s="2" t="s">
        <v>137</v>
      </c>
      <c r="G620" s="2" t="s">
        <v>286</v>
      </c>
      <c r="H620" s="2" t="s">
        <v>49</v>
      </c>
      <c r="I620" s="9">
        <v>23057</v>
      </c>
    </row>
    <row r="621" spans="1:9" x14ac:dyDescent="0.25">
      <c r="A621" s="2" t="s">
        <v>24</v>
      </c>
      <c r="B621" s="2">
        <v>2000</v>
      </c>
      <c r="C621" s="2">
        <v>2</v>
      </c>
      <c r="D621" s="2" t="s">
        <v>37</v>
      </c>
      <c r="E621" s="3">
        <v>43999</v>
      </c>
      <c r="F621" s="2" t="s">
        <v>173</v>
      </c>
      <c r="G621" s="2" t="s">
        <v>75</v>
      </c>
      <c r="H621" s="2" t="s">
        <v>44</v>
      </c>
      <c r="I621" s="9">
        <v>29655</v>
      </c>
    </row>
    <row r="622" spans="1:9" x14ac:dyDescent="0.25">
      <c r="A622" s="2" t="s">
        <v>9</v>
      </c>
      <c r="B622" s="2">
        <v>1500</v>
      </c>
      <c r="C622" s="2">
        <v>5</v>
      </c>
      <c r="D622" s="2" t="s">
        <v>29</v>
      </c>
      <c r="E622" s="3">
        <v>44132</v>
      </c>
      <c r="F622" s="2" t="s">
        <v>124</v>
      </c>
      <c r="G622" s="2" t="s">
        <v>574</v>
      </c>
      <c r="H622" s="2" t="s">
        <v>44</v>
      </c>
      <c r="I622" s="9">
        <v>28058</v>
      </c>
    </row>
    <row r="623" spans="1:9" x14ac:dyDescent="0.25">
      <c r="A623" s="2" t="s">
        <v>15</v>
      </c>
      <c r="B623" s="2">
        <v>1900</v>
      </c>
      <c r="C623" s="2">
        <v>1</v>
      </c>
      <c r="D623" s="2" t="s">
        <v>33</v>
      </c>
      <c r="E623" s="3">
        <v>44064</v>
      </c>
      <c r="F623" s="2" t="s">
        <v>52</v>
      </c>
      <c r="G623" s="2" t="s">
        <v>75</v>
      </c>
      <c r="H623" s="2" t="s">
        <v>44</v>
      </c>
      <c r="I623" s="9">
        <v>29332</v>
      </c>
    </row>
    <row r="624" spans="1:9" x14ac:dyDescent="0.25">
      <c r="A624" s="2" t="s">
        <v>19</v>
      </c>
      <c r="B624" s="2">
        <v>700</v>
      </c>
      <c r="C624" s="2">
        <v>2</v>
      </c>
      <c r="D624" s="2" t="s">
        <v>30</v>
      </c>
      <c r="E624" s="3">
        <v>43939</v>
      </c>
      <c r="F624" s="2" t="s">
        <v>111</v>
      </c>
      <c r="G624" s="2" t="s">
        <v>51</v>
      </c>
      <c r="H624" s="2" t="s">
        <v>44</v>
      </c>
      <c r="I624" s="9">
        <v>22664</v>
      </c>
    </row>
    <row r="625" spans="1:9" x14ac:dyDescent="0.25">
      <c r="A625" s="2" t="s">
        <v>6</v>
      </c>
      <c r="B625" s="2">
        <v>1200</v>
      </c>
      <c r="C625" s="2">
        <v>5</v>
      </c>
      <c r="D625" s="2" t="s">
        <v>36</v>
      </c>
      <c r="E625" s="3">
        <v>44167</v>
      </c>
      <c r="F625" s="2" t="s">
        <v>505</v>
      </c>
      <c r="G625" s="2" t="s">
        <v>274</v>
      </c>
      <c r="H625" s="2" t="s">
        <v>44</v>
      </c>
      <c r="I625" s="9">
        <v>24346</v>
      </c>
    </row>
    <row r="626" spans="1:9" x14ac:dyDescent="0.25">
      <c r="A626" s="2" t="s">
        <v>21</v>
      </c>
      <c r="B626" s="2">
        <v>2400</v>
      </c>
      <c r="C626" s="2">
        <v>2</v>
      </c>
      <c r="D626" s="2" t="s">
        <v>29</v>
      </c>
      <c r="E626" s="3">
        <v>44114</v>
      </c>
      <c r="F626" s="2" t="s">
        <v>131</v>
      </c>
      <c r="G626" s="2" t="s">
        <v>436</v>
      </c>
      <c r="H626" s="2" t="s">
        <v>44</v>
      </c>
      <c r="I626" s="9">
        <v>28563</v>
      </c>
    </row>
    <row r="627" spans="1:9" x14ac:dyDescent="0.25">
      <c r="A627" s="2" t="s">
        <v>21</v>
      </c>
      <c r="B627" s="2">
        <v>2400</v>
      </c>
      <c r="C627" s="2">
        <v>4</v>
      </c>
      <c r="D627" s="2" t="s">
        <v>31</v>
      </c>
      <c r="E627" s="3">
        <v>43871</v>
      </c>
      <c r="F627" s="2" t="s">
        <v>87</v>
      </c>
      <c r="G627" s="2" t="s">
        <v>286</v>
      </c>
      <c r="H627" s="2" t="s">
        <v>44</v>
      </c>
      <c r="I627" s="9">
        <v>29174</v>
      </c>
    </row>
    <row r="628" spans="1:9" x14ac:dyDescent="0.25">
      <c r="A628" s="2" t="s">
        <v>14</v>
      </c>
      <c r="B628" s="2">
        <v>2000</v>
      </c>
      <c r="C628" s="2">
        <v>3</v>
      </c>
      <c r="D628" s="2" t="s">
        <v>32</v>
      </c>
      <c r="E628" s="3">
        <v>43987</v>
      </c>
      <c r="F628" s="2" t="s">
        <v>446</v>
      </c>
      <c r="G628" s="2" t="s">
        <v>174</v>
      </c>
      <c r="H628" s="2" t="s">
        <v>44</v>
      </c>
      <c r="I628" s="9">
        <v>25704</v>
      </c>
    </row>
    <row r="629" spans="1:9" x14ac:dyDescent="0.25">
      <c r="A629" s="2" t="s">
        <v>17</v>
      </c>
      <c r="B629" s="2">
        <v>1550</v>
      </c>
      <c r="C629" s="2">
        <v>4</v>
      </c>
      <c r="D629" s="2" t="s">
        <v>40</v>
      </c>
      <c r="E629" s="3">
        <v>43970</v>
      </c>
      <c r="F629" s="2" t="s">
        <v>111</v>
      </c>
      <c r="G629" s="2" t="s">
        <v>63</v>
      </c>
      <c r="H629" s="2" t="s">
        <v>44</v>
      </c>
      <c r="I629" s="9">
        <v>34809</v>
      </c>
    </row>
    <row r="630" spans="1:9" x14ac:dyDescent="0.25">
      <c r="A630" s="2" t="s">
        <v>28</v>
      </c>
      <c r="B630" s="2">
        <v>1400</v>
      </c>
      <c r="C630" s="2">
        <v>1</v>
      </c>
      <c r="D630" s="2" t="s">
        <v>31</v>
      </c>
      <c r="E630" s="3">
        <v>44172</v>
      </c>
      <c r="F630" s="2" t="s">
        <v>66</v>
      </c>
      <c r="G630" s="2" t="s">
        <v>238</v>
      </c>
      <c r="H630" s="2" t="s">
        <v>44</v>
      </c>
      <c r="I630" s="9">
        <v>31319</v>
      </c>
    </row>
    <row r="631" spans="1:9" x14ac:dyDescent="0.25">
      <c r="A631" s="2" t="s">
        <v>9</v>
      </c>
      <c r="B631" s="2">
        <v>1500</v>
      </c>
      <c r="C631" s="2">
        <v>2</v>
      </c>
      <c r="D631" s="2" t="s">
        <v>31</v>
      </c>
      <c r="E631" s="3">
        <v>44089</v>
      </c>
      <c r="F631" s="2" t="s">
        <v>107</v>
      </c>
      <c r="G631" s="2" t="s">
        <v>205</v>
      </c>
      <c r="H631" s="2" t="s">
        <v>49</v>
      </c>
      <c r="I631" s="9">
        <v>31963</v>
      </c>
    </row>
    <row r="632" spans="1:9" x14ac:dyDescent="0.25">
      <c r="A632" s="2" t="s">
        <v>14</v>
      </c>
      <c r="B632" s="2">
        <v>2000</v>
      </c>
      <c r="C632" s="2">
        <v>4</v>
      </c>
      <c r="D632" s="2" t="s">
        <v>32</v>
      </c>
      <c r="E632" s="3">
        <v>43863</v>
      </c>
      <c r="F632" s="2" t="s">
        <v>76</v>
      </c>
      <c r="G632" s="2" t="s">
        <v>358</v>
      </c>
      <c r="H632" s="2" t="s">
        <v>49</v>
      </c>
      <c r="I632" s="9">
        <v>33495</v>
      </c>
    </row>
    <row r="633" spans="1:9" x14ac:dyDescent="0.25">
      <c r="A633" s="2" t="s">
        <v>17</v>
      </c>
      <c r="B633" s="2">
        <v>1550</v>
      </c>
      <c r="C633" s="2">
        <v>4</v>
      </c>
      <c r="D633" s="2" t="s">
        <v>32</v>
      </c>
      <c r="E633" s="3">
        <v>44042</v>
      </c>
      <c r="F633" s="2" t="s">
        <v>377</v>
      </c>
      <c r="G633" s="2" t="s">
        <v>89</v>
      </c>
      <c r="H633" s="2" t="s">
        <v>49</v>
      </c>
      <c r="I633" s="9">
        <v>30121</v>
      </c>
    </row>
    <row r="634" spans="1:9" x14ac:dyDescent="0.25">
      <c r="A634" s="2" t="s">
        <v>26</v>
      </c>
      <c r="B634" s="2">
        <v>1100</v>
      </c>
      <c r="C634" s="2">
        <v>3</v>
      </c>
      <c r="D634" s="2" t="s">
        <v>37</v>
      </c>
      <c r="E634" s="3">
        <v>44052</v>
      </c>
      <c r="F634" s="2" t="s">
        <v>335</v>
      </c>
      <c r="G634" s="2" t="s">
        <v>83</v>
      </c>
      <c r="H634" s="2" t="s">
        <v>49</v>
      </c>
      <c r="I634" s="9">
        <v>29726</v>
      </c>
    </row>
    <row r="635" spans="1:9" x14ac:dyDescent="0.25">
      <c r="A635" s="2" t="s">
        <v>12</v>
      </c>
      <c r="B635" s="2">
        <v>6500</v>
      </c>
      <c r="C635" s="2">
        <v>3</v>
      </c>
      <c r="D635" s="2" t="s">
        <v>30</v>
      </c>
      <c r="E635" s="3">
        <v>43867</v>
      </c>
      <c r="F635" s="2" t="s">
        <v>260</v>
      </c>
      <c r="G635" s="2" t="s">
        <v>261</v>
      </c>
      <c r="H635" s="2" t="s">
        <v>49</v>
      </c>
      <c r="I635" s="9">
        <v>33035</v>
      </c>
    </row>
    <row r="636" spans="1:9" x14ac:dyDescent="0.25">
      <c r="A636" s="2" t="s">
        <v>25</v>
      </c>
      <c r="B636" s="2">
        <v>2500</v>
      </c>
      <c r="C636" s="2">
        <v>3</v>
      </c>
      <c r="D636" s="2" t="s">
        <v>40</v>
      </c>
      <c r="E636" s="3">
        <v>43960</v>
      </c>
      <c r="F636" s="2" t="s">
        <v>78</v>
      </c>
      <c r="G636" s="2" t="s">
        <v>294</v>
      </c>
      <c r="H636" s="2" t="s">
        <v>49</v>
      </c>
      <c r="I636" s="9">
        <v>30553</v>
      </c>
    </row>
    <row r="637" spans="1:9" x14ac:dyDescent="0.25">
      <c r="A637" s="2" t="s">
        <v>15</v>
      </c>
      <c r="B637" s="2">
        <v>1900</v>
      </c>
      <c r="C637" s="2">
        <v>5</v>
      </c>
      <c r="D637" s="2" t="s">
        <v>38</v>
      </c>
      <c r="E637" s="3">
        <v>43832</v>
      </c>
      <c r="F637" s="2" t="s">
        <v>217</v>
      </c>
      <c r="G637" s="2" t="s">
        <v>326</v>
      </c>
      <c r="H637" s="2" t="s">
        <v>44</v>
      </c>
      <c r="I637" s="9">
        <v>19151</v>
      </c>
    </row>
    <row r="638" spans="1:9" x14ac:dyDescent="0.25">
      <c r="A638" s="2" t="s">
        <v>25</v>
      </c>
      <c r="B638" s="2">
        <v>2500</v>
      </c>
      <c r="C638" s="2">
        <v>3</v>
      </c>
      <c r="D638" s="2" t="s">
        <v>41</v>
      </c>
      <c r="E638" s="3">
        <v>44102</v>
      </c>
      <c r="F638" s="2" t="s">
        <v>618</v>
      </c>
      <c r="G638" s="2" t="s">
        <v>611</v>
      </c>
      <c r="H638" s="2" t="s">
        <v>49</v>
      </c>
      <c r="I638" s="9">
        <v>36123</v>
      </c>
    </row>
    <row r="639" spans="1:9" x14ac:dyDescent="0.25">
      <c r="A639" s="2" t="s">
        <v>11</v>
      </c>
      <c r="B639" s="2">
        <v>4500</v>
      </c>
      <c r="C639" s="2">
        <v>5</v>
      </c>
      <c r="D639" s="2" t="s">
        <v>40</v>
      </c>
      <c r="E639" s="3">
        <v>43961</v>
      </c>
      <c r="F639" s="2" t="s">
        <v>150</v>
      </c>
      <c r="G639" s="2" t="s">
        <v>151</v>
      </c>
      <c r="H639" s="2" t="s">
        <v>44</v>
      </c>
      <c r="I639" s="9">
        <v>36228</v>
      </c>
    </row>
    <row r="640" spans="1:9" x14ac:dyDescent="0.25">
      <c r="A640" s="2" t="s">
        <v>15</v>
      </c>
      <c r="B640" s="2">
        <v>1900</v>
      </c>
      <c r="C640" s="2">
        <v>5</v>
      </c>
      <c r="D640" s="2" t="s">
        <v>29</v>
      </c>
      <c r="E640" s="3">
        <v>43903</v>
      </c>
      <c r="F640" s="2" t="s">
        <v>344</v>
      </c>
      <c r="G640" s="2" t="s">
        <v>345</v>
      </c>
      <c r="H640" s="2" t="s">
        <v>49</v>
      </c>
      <c r="I640" s="9">
        <v>31278</v>
      </c>
    </row>
    <row r="641" spans="1:9" x14ac:dyDescent="0.25">
      <c r="A641" s="2" t="s">
        <v>8</v>
      </c>
      <c r="B641" s="2">
        <v>5500</v>
      </c>
      <c r="C641" s="2">
        <v>5</v>
      </c>
      <c r="D641" s="2" t="s">
        <v>34</v>
      </c>
      <c r="E641" s="3">
        <v>43995</v>
      </c>
      <c r="F641" s="2" t="s">
        <v>84</v>
      </c>
      <c r="G641" s="2" t="s">
        <v>586</v>
      </c>
      <c r="H641" s="2" t="s">
        <v>44</v>
      </c>
      <c r="I641" s="9">
        <v>21624</v>
      </c>
    </row>
    <row r="642" spans="1:9" x14ac:dyDescent="0.25">
      <c r="A642" s="2" t="s">
        <v>10</v>
      </c>
      <c r="B642" s="2">
        <v>1450</v>
      </c>
      <c r="C642" s="2">
        <v>2</v>
      </c>
      <c r="D642" s="2" t="s">
        <v>33</v>
      </c>
      <c r="E642" s="3">
        <v>44025</v>
      </c>
      <c r="F642" s="2" t="s">
        <v>134</v>
      </c>
      <c r="G642" s="2" t="s">
        <v>55</v>
      </c>
      <c r="H642" s="2" t="s">
        <v>49</v>
      </c>
      <c r="I642" s="9">
        <v>19488</v>
      </c>
    </row>
    <row r="643" spans="1:9" x14ac:dyDescent="0.25">
      <c r="A643" s="2" t="s">
        <v>24</v>
      </c>
      <c r="B643" s="2">
        <v>2000</v>
      </c>
      <c r="C643" s="2">
        <v>2</v>
      </c>
      <c r="D643" s="2" t="s">
        <v>36</v>
      </c>
      <c r="E643" s="3">
        <v>43983</v>
      </c>
      <c r="F643" s="2" t="s">
        <v>96</v>
      </c>
      <c r="G643" s="2" t="s">
        <v>97</v>
      </c>
      <c r="H643" s="2" t="s">
        <v>44</v>
      </c>
      <c r="I643" s="9">
        <v>28285</v>
      </c>
    </row>
    <row r="644" spans="1:9" x14ac:dyDescent="0.25">
      <c r="A644" s="2" t="s">
        <v>16</v>
      </c>
      <c r="B644" s="2">
        <v>1400</v>
      </c>
      <c r="C644" s="2">
        <v>5</v>
      </c>
      <c r="D644" s="2" t="s">
        <v>40</v>
      </c>
      <c r="E644" s="3">
        <v>44081</v>
      </c>
      <c r="F644" s="2" t="s">
        <v>87</v>
      </c>
      <c r="G644" s="2" t="s">
        <v>450</v>
      </c>
      <c r="H644" s="2" t="s">
        <v>44</v>
      </c>
      <c r="I644" s="9">
        <v>20036</v>
      </c>
    </row>
    <row r="645" spans="1:9" x14ac:dyDescent="0.25">
      <c r="A645" s="2" t="s">
        <v>24</v>
      </c>
      <c r="B645" s="2">
        <v>2000</v>
      </c>
      <c r="C645" s="2">
        <v>4</v>
      </c>
      <c r="D645" s="2" t="s">
        <v>33</v>
      </c>
      <c r="E645" s="3">
        <v>43877</v>
      </c>
      <c r="F645" s="2" t="s">
        <v>265</v>
      </c>
      <c r="G645" s="2" t="s">
        <v>266</v>
      </c>
      <c r="H645" s="2" t="s">
        <v>49</v>
      </c>
      <c r="I645" s="9">
        <v>31076</v>
      </c>
    </row>
    <row r="646" spans="1:9" x14ac:dyDescent="0.25">
      <c r="A646" s="2" t="s">
        <v>27</v>
      </c>
      <c r="B646" s="2">
        <v>1500</v>
      </c>
      <c r="C646" s="2">
        <v>3</v>
      </c>
      <c r="D646" s="2" t="s">
        <v>31</v>
      </c>
      <c r="E646" s="3">
        <v>44166</v>
      </c>
      <c r="F646" s="2" t="s">
        <v>137</v>
      </c>
      <c r="G646" s="2" t="s">
        <v>400</v>
      </c>
      <c r="H646" s="2" t="s">
        <v>49</v>
      </c>
      <c r="I646" s="9">
        <v>35174</v>
      </c>
    </row>
    <row r="647" spans="1:9" x14ac:dyDescent="0.25">
      <c r="A647" s="2" t="s">
        <v>23</v>
      </c>
      <c r="B647" s="2">
        <v>1500</v>
      </c>
      <c r="C647" s="2">
        <v>5</v>
      </c>
      <c r="D647" s="2" t="s">
        <v>34</v>
      </c>
      <c r="E647" s="3">
        <v>43948</v>
      </c>
      <c r="F647" s="2" t="s">
        <v>98</v>
      </c>
      <c r="G647" s="2" t="s">
        <v>213</v>
      </c>
      <c r="H647" s="2" t="s">
        <v>44</v>
      </c>
      <c r="I647" s="9">
        <v>23276</v>
      </c>
    </row>
    <row r="648" spans="1:9" x14ac:dyDescent="0.25">
      <c r="A648" s="2" t="s">
        <v>25</v>
      </c>
      <c r="B648" s="2">
        <v>2500</v>
      </c>
      <c r="C648" s="2">
        <v>4</v>
      </c>
      <c r="D648" s="2" t="s">
        <v>31</v>
      </c>
      <c r="E648" s="3">
        <v>44007</v>
      </c>
      <c r="F648" s="2" t="s">
        <v>257</v>
      </c>
      <c r="G648" s="2" t="s">
        <v>345</v>
      </c>
      <c r="H648" s="2" t="s">
        <v>44</v>
      </c>
      <c r="I648" s="9">
        <v>36422</v>
      </c>
    </row>
    <row r="649" spans="1:9" x14ac:dyDescent="0.25">
      <c r="A649" s="2" t="s">
        <v>19</v>
      </c>
      <c r="B649" s="2">
        <v>700</v>
      </c>
      <c r="C649" s="2">
        <v>2</v>
      </c>
      <c r="D649" s="2" t="s">
        <v>39</v>
      </c>
      <c r="E649" s="3">
        <v>44054</v>
      </c>
      <c r="F649" s="2" t="s">
        <v>102</v>
      </c>
      <c r="G649" s="2" t="s">
        <v>387</v>
      </c>
      <c r="H649" s="2" t="s">
        <v>44</v>
      </c>
      <c r="I649" s="9">
        <v>33419</v>
      </c>
    </row>
    <row r="650" spans="1:9" x14ac:dyDescent="0.25">
      <c r="A650" s="2" t="s">
        <v>23</v>
      </c>
      <c r="B650" s="2">
        <v>1500</v>
      </c>
      <c r="C650" s="2">
        <v>3</v>
      </c>
      <c r="D650" s="2" t="s">
        <v>36</v>
      </c>
      <c r="E650" s="3">
        <v>44188</v>
      </c>
      <c r="F650" s="2" t="s">
        <v>439</v>
      </c>
      <c r="G650" s="2" t="s">
        <v>448</v>
      </c>
      <c r="H650" s="2" t="s">
        <v>44</v>
      </c>
      <c r="I650" s="9">
        <v>19690</v>
      </c>
    </row>
    <row r="651" spans="1:9" x14ac:dyDescent="0.25">
      <c r="A651" s="2" t="s">
        <v>15</v>
      </c>
      <c r="B651" s="2">
        <v>1900</v>
      </c>
      <c r="C651" s="2">
        <v>1</v>
      </c>
      <c r="D651" s="2" t="s">
        <v>41</v>
      </c>
      <c r="E651" s="3">
        <v>44076</v>
      </c>
      <c r="F651" s="2" t="s">
        <v>385</v>
      </c>
      <c r="G651" s="2" t="s">
        <v>386</v>
      </c>
      <c r="H651" s="2" t="s">
        <v>44</v>
      </c>
      <c r="I651" s="9">
        <v>32940</v>
      </c>
    </row>
    <row r="652" spans="1:9" x14ac:dyDescent="0.25">
      <c r="A652" s="2" t="s">
        <v>24</v>
      </c>
      <c r="B652" s="2">
        <v>2000</v>
      </c>
      <c r="C652" s="2">
        <v>3</v>
      </c>
      <c r="D652" s="2" t="s">
        <v>35</v>
      </c>
      <c r="E652" s="3">
        <v>44193</v>
      </c>
      <c r="F652" s="2" t="s">
        <v>158</v>
      </c>
      <c r="G652" s="2" t="s">
        <v>330</v>
      </c>
      <c r="H652" s="2" t="s">
        <v>49</v>
      </c>
      <c r="I652" s="9">
        <v>29314</v>
      </c>
    </row>
    <row r="653" spans="1:9" x14ac:dyDescent="0.25">
      <c r="A653" s="2" t="s">
        <v>6</v>
      </c>
      <c r="B653" s="2">
        <v>1200</v>
      </c>
      <c r="C653" s="2">
        <v>2</v>
      </c>
      <c r="D653" s="2" t="s">
        <v>33</v>
      </c>
      <c r="E653" s="3">
        <v>43971</v>
      </c>
      <c r="F653" s="2" t="s">
        <v>74</v>
      </c>
      <c r="G653" s="2" t="s">
        <v>313</v>
      </c>
      <c r="H653" s="2" t="s">
        <v>44</v>
      </c>
      <c r="I653" s="9">
        <v>20805</v>
      </c>
    </row>
    <row r="654" spans="1:9" x14ac:dyDescent="0.25">
      <c r="A654" s="2" t="s">
        <v>18</v>
      </c>
      <c r="B654" s="2">
        <v>3000</v>
      </c>
      <c r="C654" s="2">
        <v>3</v>
      </c>
      <c r="D654" s="2" t="s">
        <v>33</v>
      </c>
      <c r="E654" s="3">
        <v>43961</v>
      </c>
      <c r="F654" s="2" t="s">
        <v>92</v>
      </c>
      <c r="G654" s="2" t="s">
        <v>93</v>
      </c>
      <c r="H654" s="2" t="s">
        <v>44</v>
      </c>
      <c r="I654" s="9">
        <v>23689</v>
      </c>
    </row>
    <row r="655" spans="1:9" x14ac:dyDescent="0.25">
      <c r="A655" s="2" t="s">
        <v>10</v>
      </c>
      <c r="B655" s="2">
        <v>1450</v>
      </c>
      <c r="C655" s="2">
        <v>4</v>
      </c>
      <c r="D655" s="2" t="s">
        <v>36</v>
      </c>
      <c r="E655" s="3">
        <v>43881</v>
      </c>
      <c r="F655" s="2" t="s">
        <v>264</v>
      </c>
      <c r="G655" s="2" t="s">
        <v>353</v>
      </c>
      <c r="H655" s="2" t="s">
        <v>49</v>
      </c>
      <c r="I655" s="9">
        <v>34434</v>
      </c>
    </row>
    <row r="656" spans="1:9" x14ac:dyDescent="0.25">
      <c r="A656" s="2" t="s">
        <v>21</v>
      </c>
      <c r="B656" s="2">
        <v>2400</v>
      </c>
      <c r="C656" s="2">
        <v>1</v>
      </c>
      <c r="D656" s="2" t="s">
        <v>41</v>
      </c>
      <c r="E656" s="3">
        <v>44161</v>
      </c>
      <c r="F656" s="2" t="s">
        <v>259</v>
      </c>
      <c r="G656" s="2" t="s">
        <v>432</v>
      </c>
      <c r="H656" s="2" t="s">
        <v>49</v>
      </c>
      <c r="I656" s="9">
        <v>34546</v>
      </c>
    </row>
    <row r="657" spans="1:9" x14ac:dyDescent="0.25">
      <c r="A657" s="2" t="s">
        <v>16</v>
      </c>
      <c r="B657" s="2">
        <v>1400</v>
      </c>
      <c r="C657" s="2">
        <v>5</v>
      </c>
      <c r="D657" s="2" t="s">
        <v>29</v>
      </c>
      <c r="E657" s="3">
        <v>43934</v>
      </c>
      <c r="F657" s="2" t="s">
        <v>98</v>
      </c>
      <c r="G657" s="2" t="s">
        <v>257</v>
      </c>
      <c r="H657" s="2" t="s">
        <v>44</v>
      </c>
      <c r="I657" s="9">
        <v>34611</v>
      </c>
    </row>
    <row r="658" spans="1:9" x14ac:dyDescent="0.25">
      <c r="A658" s="2" t="s">
        <v>12</v>
      </c>
      <c r="B658" s="2">
        <v>6500</v>
      </c>
      <c r="C658" s="2">
        <v>3</v>
      </c>
      <c r="D658" s="2" t="s">
        <v>29</v>
      </c>
      <c r="E658" s="3">
        <v>44057</v>
      </c>
      <c r="F658" s="2" t="s">
        <v>98</v>
      </c>
      <c r="G658" s="2" t="s">
        <v>560</v>
      </c>
      <c r="H658" s="2" t="s">
        <v>44</v>
      </c>
      <c r="I658" s="9">
        <v>22256</v>
      </c>
    </row>
    <row r="659" spans="1:9" x14ac:dyDescent="0.25">
      <c r="A659" s="2" t="s">
        <v>7</v>
      </c>
      <c r="B659" s="2">
        <v>750</v>
      </c>
      <c r="C659" s="2">
        <v>3</v>
      </c>
      <c r="D659" s="2" t="s">
        <v>40</v>
      </c>
      <c r="E659" s="3">
        <v>43839</v>
      </c>
      <c r="F659" s="2" t="s">
        <v>137</v>
      </c>
      <c r="G659" s="2" t="s">
        <v>287</v>
      </c>
      <c r="H659" s="2" t="s">
        <v>49</v>
      </c>
      <c r="I659" s="9">
        <v>24974</v>
      </c>
    </row>
    <row r="660" spans="1:9" x14ac:dyDescent="0.25">
      <c r="A660" s="2" t="s">
        <v>16</v>
      </c>
      <c r="B660" s="2">
        <v>1400</v>
      </c>
      <c r="C660" s="2">
        <v>5</v>
      </c>
      <c r="D660" s="2" t="s">
        <v>39</v>
      </c>
      <c r="E660" s="3">
        <v>44091</v>
      </c>
      <c r="F660" s="2" t="s">
        <v>217</v>
      </c>
      <c r="G660" s="2" t="s">
        <v>125</v>
      </c>
      <c r="H660" s="2" t="s">
        <v>44</v>
      </c>
      <c r="I660" s="9">
        <v>30505</v>
      </c>
    </row>
    <row r="661" spans="1:9" x14ac:dyDescent="0.25">
      <c r="A661" s="2" t="s">
        <v>12</v>
      </c>
      <c r="B661" s="2">
        <v>6500</v>
      </c>
      <c r="C661" s="2">
        <v>4</v>
      </c>
      <c r="D661" s="2" t="s">
        <v>34</v>
      </c>
      <c r="E661" s="3">
        <v>43889</v>
      </c>
      <c r="F661" s="2" t="s">
        <v>42</v>
      </c>
      <c r="G661" s="2" t="s">
        <v>100</v>
      </c>
      <c r="H661" s="2" t="s">
        <v>44</v>
      </c>
      <c r="I661" s="9">
        <v>36495</v>
      </c>
    </row>
    <row r="662" spans="1:9" x14ac:dyDescent="0.25">
      <c r="A662" s="2" t="s">
        <v>22</v>
      </c>
      <c r="B662" s="2">
        <v>5200</v>
      </c>
      <c r="C662" s="2">
        <v>5</v>
      </c>
      <c r="D662" s="2" t="s">
        <v>29</v>
      </c>
      <c r="E662" s="3">
        <v>44006</v>
      </c>
      <c r="F662" s="2" t="s">
        <v>282</v>
      </c>
      <c r="G662" s="2" t="s">
        <v>283</v>
      </c>
      <c r="H662" s="2" t="s">
        <v>49</v>
      </c>
      <c r="I662" s="9">
        <v>26525</v>
      </c>
    </row>
    <row r="663" spans="1:9" x14ac:dyDescent="0.25">
      <c r="A663" s="2" t="s">
        <v>23</v>
      </c>
      <c r="B663" s="2">
        <v>1500</v>
      </c>
      <c r="C663" s="2">
        <v>1</v>
      </c>
      <c r="D663" s="2" t="s">
        <v>31</v>
      </c>
      <c r="E663" s="3">
        <v>44015</v>
      </c>
      <c r="F663" s="2" t="s">
        <v>109</v>
      </c>
      <c r="G663" s="2" t="s">
        <v>190</v>
      </c>
      <c r="H663" s="2" t="s">
        <v>44</v>
      </c>
      <c r="I663" s="9">
        <v>35339</v>
      </c>
    </row>
    <row r="664" spans="1:9" x14ac:dyDescent="0.25">
      <c r="A664" s="2" t="s">
        <v>18</v>
      </c>
      <c r="B664" s="2">
        <v>3000</v>
      </c>
      <c r="C664" s="2">
        <v>2</v>
      </c>
      <c r="D664" s="2" t="s">
        <v>38</v>
      </c>
      <c r="E664" s="3">
        <v>44035</v>
      </c>
      <c r="F664" s="2" t="s">
        <v>394</v>
      </c>
      <c r="G664" s="2" t="s">
        <v>395</v>
      </c>
      <c r="H664" s="2" t="s">
        <v>49</v>
      </c>
      <c r="I664" s="9">
        <v>27665</v>
      </c>
    </row>
    <row r="665" spans="1:9" x14ac:dyDescent="0.25">
      <c r="A665" s="2" t="s">
        <v>7</v>
      </c>
      <c r="B665" s="2">
        <v>750</v>
      </c>
      <c r="C665" s="2">
        <v>3</v>
      </c>
      <c r="D665" s="2" t="s">
        <v>31</v>
      </c>
      <c r="E665" s="3">
        <v>44141</v>
      </c>
      <c r="F665" s="2" t="s">
        <v>279</v>
      </c>
      <c r="G665" s="2" t="s">
        <v>231</v>
      </c>
      <c r="H665" s="2" t="s">
        <v>44</v>
      </c>
      <c r="I665" s="9">
        <v>27511</v>
      </c>
    </row>
    <row r="666" spans="1:9" x14ac:dyDescent="0.25">
      <c r="A666" s="2" t="s">
        <v>9</v>
      </c>
      <c r="B666" s="2">
        <v>1500</v>
      </c>
      <c r="C666" s="2">
        <v>2</v>
      </c>
      <c r="D666" s="2" t="s">
        <v>37</v>
      </c>
      <c r="E666" s="3">
        <v>43893</v>
      </c>
      <c r="F666" s="2" t="s">
        <v>146</v>
      </c>
      <c r="G666" s="2" t="s">
        <v>147</v>
      </c>
      <c r="H666" s="2" t="s">
        <v>44</v>
      </c>
      <c r="I666" s="9">
        <v>31992</v>
      </c>
    </row>
    <row r="667" spans="1:9" x14ac:dyDescent="0.25">
      <c r="A667" s="2" t="s">
        <v>11</v>
      </c>
      <c r="B667" s="2">
        <v>4500</v>
      </c>
      <c r="C667" s="2">
        <v>4</v>
      </c>
      <c r="D667" s="2" t="s">
        <v>30</v>
      </c>
      <c r="E667" s="3">
        <v>43991</v>
      </c>
      <c r="F667" s="2" t="s">
        <v>392</v>
      </c>
      <c r="G667" s="2" t="s">
        <v>472</v>
      </c>
      <c r="H667" s="2" t="s">
        <v>49</v>
      </c>
      <c r="I667" s="9">
        <v>35563</v>
      </c>
    </row>
    <row r="668" spans="1:9" x14ac:dyDescent="0.25">
      <c r="A668" s="2" t="s">
        <v>25</v>
      </c>
      <c r="B668" s="2">
        <v>2500</v>
      </c>
      <c r="C668" s="2">
        <v>2</v>
      </c>
      <c r="D668" s="2" t="s">
        <v>34</v>
      </c>
      <c r="E668" s="3">
        <v>44013</v>
      </c>
      <c r="F668" s="2" t="s">
        <v>241</v>
      </c>
      <c r="G668" s="2" t="s">
        <v>242</v>
      </c>
      <c r="H668" s="2" t="s">
        <v>49</v>
      </c>
      <c r="I668" s="9">
        <v>30191</v>
      </c>
    </row>
    <row r="669" spans="1:9" x14ac:dyDescent="0.25">
      <c r="A669" s="2" t="s">
        <v>10</v>
      </c>
      <c r="B669" s="2">
        <v>1450</v>
      </c>
      <c r="C669" s="2">
        <v>3</v>
      </c>
      <c r="D669" s="2" t="s">
        <v>32</v>
      </c>
      <c r="E669" s="3">
        <v>44152</v>
      </c>
      <c r="F669" s="2" t="s">
        <v>293</v>
      </c>
      <c r="G669" s="2" t="s">
        <v>55</v>
      </c>
      <c r="H669" s="2" t="s">
        <v>49</v>
      </c>
      <c r="I669" s="9">
        <v>27381</v>
      </c>
    </row>
    <row r="670" spans="1:9" x14ac:dyDescent="0.25">
      <c r="A670" s="2" t="s">
        <v>19</v>
      </c>
      <c r="B670" s="2">
        <v>700</v>
      </c>
      <c r="C670" s="2">
        <v>5</v>
      </c>
      <c r="D670" s="2" t="s">
        <v>35</v>
      </c>
      <c r="E670" s="3">
        <v>44174</v>
      </c>
      <c r="F670" s="2" t="s">
        <v>335</v>
      </c>
      <c r="G670" s="2" t="s">
        <v>530</v>
      </c>
      <c r="H670" s="2" t="s">
        <v>49</v>
      </c>
      <c r="I670" s="9">
        <v>36734</v>
      </c>
    </row>
    <row r="671" spans="1:9" x14ac:dyDescent="0.25">
      <c r="A671" s="2" t="s">
        <v>24</v>
      </c>
      <c r="B671" s="2">
        <v>2000</v>
      </c>
      <c r="C671" s="2">
        <v>3</v>
      </c>
      <c r="D671" s="2" t="s">
        <v>34</v>
      </c>
      <c r="E671" s="3">
        <v>44015</v>
      </c>
      <c r="F671" s="2" t="s">
        <v>401</v>
      </c>
      <c r="G671" s="2" t="s">
        <v>152</v>
      </c>
      <c r="H671" s="2" t="s">
        <v>49</v>
      </c>
      <c r="I671" s="9">
        <v>26474</v>
      </c>
    </row>
    <row r="672" spans="1:9" x14ac:dyDescent="0.25">
      <c r="A672" s="2" t="s">
        <v>25</v>
      </c>
      <c r="B672" s="2">
        <v>2500</v>
      </c>
      <c r="C672" s="2">
        <v>2</v>
      </c>
      <c r="D672" s="2" t="s">
        <v>40</v>
      </c>
      <c r="E672" s="3">
        <v>44048</v>
      </c>
      <c r="F672" s="2" t="s">
        <v>551</v>
      </c>
      <c r="G672" s="2" t="s">
        <v>526</v>
      </c>
      <c r="H672" s="2" t="s">
        <v>44</v>
      </c>
      <c r="I672" s="9">
        <v>34549</v>
      </c>
    </row>
    <row r="673" spans="1:9" x14ac:dyDescent="0.25">
      <c r="A673" s="2" t="s">
        <v>24</v>
      </c>
      <c r="B673" s="2">
        <v>2000</v>
      </c>
      <c r="C673" s="2">
        <v>5</v>
      </c>
      <c r="D673" s="2" t="s">
        <v>30</v>
      </c>
      <c r="E673" s="3">
        <v>44071</v>
      </c>
      <c r="F673" s="2" t="s">
        <v>137</v>
      </c>
      <c r="G673" s="2" t="s">
        <v>236</v>
      </c>
      <c r="H673" s="2" t="s">
        <v>49</v>
      </c>
      <c r="I673" s="9">
        <v>26258</v>
      </c>
    </row>
    <row r="674" spans="1:9" x14ac:dyDescent="0.25">
      <c r="A674" s="2" t="s">
        <v>20</v>
      </c>
      <c r="B674" s="2">
        <v>2600</v>
      </c>
      <c r="C674" s="2">
        <v>3</v>
      </c>
      <c r="D674" s="2" t="s">
        <v>36</v>
      </c>
      <c r="E674" s="3">
        <v>44000</v>
      </c>
      <c r="F674" s="2" t="s">
        <v>87</v>
      </c>
      <c r="G674" s="2" t="s">
        <v>588</v>
      </c>
      <c r="H674" s="2" t="s">
        <v>44</v>
      </c>
      <c r="I674" s="9">
        <v>28528</v>
      </c>
    </row>
    <row r="675" spans="1:9" x14ac:dyDescent="0.25">
      <c r="A675" s="2" t="s">
        <v>21</v>
      </c>
      <c r="B675" s="2">
        <v>2400</v>
      </c>
      <c r="C675" s="2">
        <v>2</v>
      </c>
      <c r="D675" s="2" t="s">
        <v>40</v>
      </c>
      <c r="E675" s="3">
        <v>43938</v>
      </c>
      <c r="F675" s="2" t="s">
        <v>328</v>
      </c>
      <c r="G675" s="2" t="s">
        <v>473</v>
      </c>
      <c r="H675" s="2" t="s">
        <v>49</v>
      </c>
      <c r="I675" s="9">
        <v>18418</v>
      </c>
    </row>
    <row r="676" spans="1:9" x14ac:dyDescent="0.25">
      <c r="A676" s="2" t="s">
        <v>19</v>
      </c>
      <c r="B676" s="2">
        <v>700</v>
      </c>
      <c r="C676" s="2">
        <v>3</v>
      </c>
      <c r="D676" s="2" t="s">
        <v>38</v>
      </c>
      <c r="E676" s="3">
        <v>44159</v>
      </c>
      <c r="F676" s="2" t="s">
        <v>259</v>
      </c>
      <c r="G676" s="2" t="s">
        <v>576</v>
      </c>
      <c r="H676" s="2" t="s">
        <v>49</v>
      </c>
      <c r="I676" s="9">
        <v>34081</v>
      </c>
    </row>
    <row r="677" spans="1:9" x14ac:dyDescent="0.25">
      <c r="A677" s="2" t="s">
        <v>8</v>
      </c>
      <c r="B677" s="2">
        <v>5500</v>
      </c>
      <c r="C677" s="2">
        <v>2</v>
      </c>
      <c r="D677" s="2" t="s">
        <v>35</v>
      </c>
      <c r="E677" s="3">
        <v>44049</v>
      </c>
      <c r="F677" s="2" t="s">
        <v>204</v>
      </c>
      <c r="G677" s="2" t="s">
        <v>203</v>
      </c>
      <c r="H677" s="2" t="s">
        <v>49</v>
      </c>
      <c r="I677" s="9">
        <v>29783</v>
      </c>
    </row>
    <row r="678" spans="1:9" x14ac:dyDescent="0.25">
      <c r="A678" s="2" t="s">
        <v>19</v>
      </c>
      <c r="B678" s="2">
        <v>700</v>
      </c>
      <c r="C678" s="2">
        <v>4</v>
      </c>
      <c r="D678" s="2" t="s">
        <v>38</v>
      </c>
      <c r="E678" s="3">
        <v>43891</v>
      </c>
      <c r="F678" s="2" t="s">
        <v>361</v>
      </c>
      <c r="G678" s="2" t="s">
        <v>203</v>
      </c>
      <c r="H678" s="2" t="s">
        <v>49</v>
      </c>
      <c r="I678" s="9">
        <v>36075</v>
      </c>
    </row>
    <row r="679" spans="1:9" x14ac:dyDescent="0.25">
      <c r="A679" s="2" t="s">
        <v>7</v>
      </c>
      <c r="B679" s="2">
        <v>750</v>
      </c>
      <c r="C679" s="2">
        <v>5</v>
      </c>
      <c r="D679" s="2" t="s">
        <v>29</v>
      </c>
      <c r="E679" s="3">
        <v>44064</v>
      </c>
      <c r="F679" s="2" t="s">
        <v>167</v>
      </c>
      <c r="G679" s="2" t="s">
        <v>308</v>
      </c>
      <c r="H679" s="2" t="s">
        <v>44</v>
      </c>
      <c r="I679" s="9">
        <v>28055</v>
      </c>
    </row>
    <row r="680" spans="1:9" x14ac:dyDescent="0.25">
      <c r="A680" s="2" t="s">
        <v>23</v>
      </c>
      <c r="B680" s="2">
        <v>1500</v>
      </c>
      <c r="C680" s="2">
        <v>4</v>
      </c>
      <c r="D680" s="2" t="s">
        <v>41</v>
      </c>
      <c r="E680" s="3">
        <v>44142</v>
      </c>
      <c r="F680" s="2" t="s">
        <v>264</v>
      </c>
      <c r="G680" s="2" t="s">
        <v>205</v>
      </c>
      <c r="H680" s="2" t="s">
        <v>49</v>
      </c>
      <c r="I680" s="9">
        <v>27496</v>
      </c>
    </row>
    <row r="681" spans="1:9" x14ac:dyDescent="0.25">
      <c r="A681" s="2" t="s">
        <v>18</v>
      </c>
      <c r="B681" s="2">
        <v>3000</v>
      </c>
      <c r="C681" s="2">
        <v>5</v>
      </c>
      <c r="D681" s="2" t="s">
        <v>32</v>
      </c>
      <c r="E681" s="3">
        <v>43908</v>
      </c>
      <c r="F681" s="2" t="s">
        <v>82</v>
      </c>
      <c r="G681" s="2" t="s">
        <v>83</v>
      </c>
      <c r="H681" s="2" t="s">
        <v>49</v>
      </c>
      <c r="I681" s="9">
        <v>26584</v>
      </c>
    </row>
    <row r="682" spans="1:9" x14ac:dyDescent="0.25">
      <c r="A682" s="2" t="s">
        <v>21</v>
      </c>
      <c r="B682" s="2">
        <v>2400</v>
      </c>
      <c r="C682" s="2">
        <v>5</v>
      </c>
      <c r="D682" s="2" t="s">
        <v>29</v>
      </c>
      <c r="E682" s="3">
        <v>43944</v>
      </c>
      <c r="F682" s="2" t="s">
        <v>328</v>
      </c>
      <c r="G682" s="2" t="s">
        <v>157</v>
      </c>
      <c r="H682" s="2" t="s">
        <v>49</v>
      </c>
      <c r="I682" s="9">
        <v>35120</v>
      </c>
    </row>
    <row r="683" spans="1:9" x14ac:dyDescent="0.25">
      <c r="A683" s="2" t="s">
        <v>16</v>
      </c>
      <c r="B683" s="2">
        <v>1400</v>
      </c>
      <c r="C683" s="2">
        <v>1</v>
      </c>
      <c r="D683" s="2" t="s">
        <v>33</v>
      </c>
      <c r="E683" s="3">
        <v>43925</v>
      </c>
      <c r="F683" s="2" t="s">
        <v>460</v>
      </c>
      <c r="G683" s="2" t="s">
        <v>606</v>
      </c>
      <c r="H683" s="2" t="s">
        <v>49</v>
      </c>
      <c r="I683" s="9">
        <v>35669</v>
      </c>
    </row>
    <row r="684" spans="1:9" x14ac:dyDescent="0.25">
      <c r="A684" s="2" t="s">
        <v>5</v>
      </c>
      <c r="B684" s="2">
        <v>1750</v>
      </c>
      <c r="C684" s="2">
        <v>4</v>
      </c>
      <c r="D684" s="2" t="s">
        <v>29</v>
      </c>
      <c r="E684" s="3">
        <v>44166</v>
      </c>
      <c r="F684" s="2" t="s">
        <v>364</v>
      </c>
      <c r="G684" s="2" t="s">
        <v>491</v>
      </c>
      <c r="H684" s="2" t="s">
        <v>44</v>
      </c>
      <c r="I684" s="9">
        <v>25352</v>
      </c>
    </row>
    <row r="685" spans="1:9" x14ac:dyDescent="0.25">
      <c r="A685" s="2" t="s">
        <v>6</v>
      </c>
      <c r="B685" s="2">
        <v>1200</v>
      </c>
      <c r="C685" s="2">
        <v>4</v>
      </c>
      <c r="D685" s="2" t="s">
        <v>39</v>
      </c>
      <c r="E685" s="3">
        <v>44059</v>
      </c>
      <c r="F685" s="2" t="s">
        <v>60</v>
      </c>
      <c r="G685" s="2" t="s">
        <v>75</v>
      </c>
      <c r="H685" s="2" t="s">
        <v>49</v>
      </c>
      <c r="I685" s="9">
        <v>18664</v>
      </c>
    </row>
    <row r="686" spans="1:9" x14ac:dyDescent="0.25">
      <c r="A686" s="2" t="s">
        <v>21</v>
      </c>
      <c r="B686" s="2">
        <v>2400</v>
      </c>
      <c r="C686" s="2">
        <v>2</v>
      </c>
      <c r="D686" s="2" t="s">
        <v>29</v>
      </c>
      <c r="E686" s="3">
        <v>44123</v>
      </c>
      <c r="F686" s="2" t="s">
        <v>179</v>
      </c>
      <c r="G686" s="2" t="s">
        <v>383</v>
      </c>
      <c r="H686" s="2" t="s">
        <v>44</v>
      </c>
      <c r="I686" s="9">
        <v>20035</v>
      </c>
    </row>
    <row r="687" spans="1:9" x14ac:dyDescent="0.25">
      <c r="A687" s="2" t="s">
        <v>8</v>
      </c>
      <c r="B687" s="2">
        <v>5500</v>
      </c>
      <c r="C687" s="2">
        <v>3</v>
      </c>
      <c r="D687" s="2" t="s">
        <v>35</v>
      </c>
      <c r="E687" s="3">
        <v>43983</v>
      </c>
      <c r="F687" s="2" t="s">
        <v>522</v>
      </c>
      <c r="G687" s="2" t="s">
        <v>152</v>
      </c>
      <c r="H687" s="2" t="s">
        <v>44</v>
      </c>
      <c r="I687" s="9">
        <v>31136</v>
      </c>
    </row>
    <row r="688" spans="1:9" x14ac:dyDescent="0.25">
      <c r="A688" s="2" t="s">
        <v>11</v>
      </c>
      <c r="B688" s="2">
        <v>4500</v>
      </c>
      <c r="C688" s="2">
        <v>2</v>
      </c>
      <c r="D688" s="2" t="s">
        <v>40</v>
      </c>
      <c r="E688" s="3">
        <v>43921</v>
      </c>
      <c r="F688" s="2" t="s">
        <v>80</v>
      </c>
      <c r="G688" s="2" t="s">
        <v>75</v>
      </c>
      <c r="H688" s="2" t="s">
        <v>44</v>
      </c>
      <c r="I688" s="9">
        <v>32180</v>
      </c>
    </row>
    <row r="689" spans="1:9" x14ac:dyDescent="0.25">
      <c r="A689" s="2" t="s">
        <v>24</v>
      </c>
      <c r="B689" s="2">
        <v>2000</v>
      </c>
      <c r="C689" s="2">
        <v>3</v>
      </c>
      <c r="D689" s="2" t="s">
        <v>38</v>
      </c>
      <c r="E689" s="3">
        <v>44154</v>
      </c>
      <c r="F689" s="2" t="s">
        <v>427</v>
      </c>
      <c r="G689" s="2" t="s">
        <v>428</v>
      </c>
      <c r="H689" s="2" t="s">
        <v>44</v>
      </c>
      <c r="I689" s="9">
        <v>27814</v>
      </c>
    </row>
    <row r="690" spans="1:9" x14ac:dyDescent="0.25">
      <c r="A690" s="2" t="s">
        <v>22</v>
      </c>
      <c r="B690" s="2">
        <v>5200</v>
      </c>
      <c r="C690" s="2">
        <v>4</v>
      </c>
      <c r="D690" s="2" t="s">
        <v>29</v>
      </c>
      <c r="E690" s="3">
        <v>43918</v>
      </c>
      <c r="F690" s="2" t="s">
        <v>124</v>
      </c>
      <c r="G690" s="2" t="s">
        <v>574</v>
      </c>
      <c r="H690" s="2" t="s">
        <v>44</v>
      </c>
      <c r="I690" s="9">
        <v>28058</v>
      </c>
    </row>
    <row r="691" spans="1:9" x14ac:dyDescent="0.25">
      <c r="A691" s="2" t="s">
        <v>11</v>
      </c>
      <c r="B691" s="2">
        <v>4500</v>
      </c>
      <c r="C691" s="2">
        <v>3</v>
      </c>
      <c r="D691" s="2" t="s">
        <v>36</v>
      </c>
      <c r="E691" s="3">
        <v>44179</v>
      </c>
      <c r="F691" s="2" t="s">
        <v>122</v>
      </c>
      <c r="G691" s="2" t="s">
        <v>480</v>
      </c>
      <c r="H691" s="2" t="s">
        <v>49</v>
      </c>
      <c r="I691" s="9">
        <v>34198</v>
      </c>
    </row>
    <row r="692" spans="1:9" x14ac:dyDescent="0.25">
      <c r="A692" s="2" t="s">
        <v>8</v>
      </c>
      <c r="B692" s="2">
        <v>5500</v>
      </c>
      <c r="C692" s="2">
        <v>1</v>
      </c>
      <c r="D692" s="2" t="s">
        <v>34</v>
      </c>
      <c r="E692" s="3">
        <v>44018</v>
      </c>
      <c r="F692" s="2" t="s">
        <v>256</v>
      </c>
      <c r="G692" s="2" t="s">
        <v>468</v>
      </c>
      <c r="H692" s="2" t="s">
        <v>44</v>
      </c>
      <c r="I692" s="9">
        <v>32705</v>
      </c>
    </row>
    <row r="693" spans="1:9" x14ac:dyDescent="0.25">
      <c r="A693" s="10" t="s">
        <v>23</v>
      </c>
      <c r="B693" s="10">
        <v>1500</v>
      </c>
      <c r="C693" s="10">
        <v>5</v>
      </c>
      <c r="D693" s="10" t="s">
        <v>36</v>
      </c>
      <c r="E693" s="11">
        <v>44095</v>
      </c>
      <c r="F693" s="10" t="s">
        <v>175</v>
      </c>
      <c r="G693" s="10" t="s">
        <v>176</v>
      </c>
      <c r="H693" s="10" t="s">
        <v>49</v>
      </c>
      <c r="I693" s="4">
        <v>28801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2FA2-7D38-44ED-A2C6-44D73E396AEE}">
  <sheetPr codeName="Planilha11">
    <tabColor theme="7" tint="-0.249977111117893"/>
  </sheetPr>
  <dimension ref="A1:K1199"/>
  <sheetViews>
    <sheetView showGridLines="0" workbookViewId="0">
      <selection activeCell="A11" sqref="A11"/>
    </sheetView>
  </sheetViews>
  <sheetFormatPr defaultRowHeight="15" x14ac:dyDescent="0.25"/>
  <cols>
    <col min="1" max="1" width="28.140625" bestFit="1" customWidth="1"/>
    <col min="2" max="2" width="23.28515625" customWidth="1"/>
    <col min="3" max="3" width="18.28515625" bestFit="1" customWidth="1"/>
    <col min="4" max="4" width="70.28515625" bestFit="1" customWidth="1"/>
    <col min="5" max="5" width="15.28515625" customWidth="1"/>
    <col min="6" max="6" width="12.140625" bestFit="1" customWidth="1"/>
    <col min="7" max="7" width="13.7109375" bestFit="1" customWidth="1"/>
    <col min="8" max="8" width="7" bestFit="1" customWidth="1"/>
    <col min="9" max="9" width="15.28515625" customWidth="1"/>
    <col min="11" max="11" width="10.5703125" bestFit="1" customWidth="1"/>
  </cols>
  <sheetData>
    <row r="1" spans="1:11" x14ac:dyDescent="0.25">
      <c r="A1" s="5" t="s">
        <v>3</v>
      </c>
      <c r="B1" s="5" t="s">
        <v>4</v>
      </c>
      <c r="C1" s="5" t="s">
        <v>2</v>
      </c>
      <c r="D1" s="5" t="s">
        <v>0</v>
      </c>
      <c r="E1" s="5" t="s">
        <v>1</v>
      </c>
      <c r="F1" s="5" t="s">
        <v>632</v>
      </c>
      <c r="G1" s="5" t="s">
        <v>633</v>
      </c>
      <c r="H1" s="5" t="s">
        <v>634</v>
      </c>
      <c r="I1" s="6" t="s">
        <v>635</v>
      </c>
    </row>
    <row r="2" spans="1:11" x14ac:dyDescent="0.25">
      <c r="A2" s="2" t="s">
        <v>10</v>
      </c>
      <c r="B2" s="2">
        <v>1450</v>
      </c>
      <c r="C2" s="2">
        <v>1</v>
      </c>
      <c r="D2" s="2" t="s">
        <v>41</v>
      </c>
      <c r="E2" s="3">
        <v>44410</v>
      </c>
      <c r="F2" s="2" t="s">
        <v>70</v>
      </c>
      <c r="G2" s="2" t="s">
        <v>152</v>
      </c>
      <c r="H2" s="2" t="s">
        <v>44</v>
      </c>
      <c r="I2" s="4">
        <v>21481</v>
      </c>
      <c r="K2" s="1"/>
    </row>
    <row r="3" spans="1:11" x14ac:dyDescent="0.25">
      <c r="A3" s="2" t="s">
        <v>17</v>
      </c>
      <c r="B3" s="2">
        <v>1550</v>
      </c>
      <c r="C3" s="2">
        <v>2</v>
      </c>
      <c r="D3" s="2" t="s">
        <v>37</v>
      </c>
      <c r="E3" s="3">
        <v>44416</v>
      </c>
      <c r="F3" s="2" t="s">
        <v>70</v>
      </c>
      <c r="G3" s="2" t="s">
        <v>71</v>
      </c>
      <c r="H3" s="2" t="s">
        <v>44</v>
      </c>
      <c r="I3" s="4">
        <v>22633</v>
      </c>
      <c r="K3" s="1"/>
    </row>
    <row r="4" spans="1:11" x14ac:dyDescent="0.25">
      <c r="A4" s="2" t="s">
        <v>23</v>
      </c>
      <c r="B4" s="2">
        <v>1500</v>
      </c>
      <c r="C4" s="2">
        <v>2</v>
      </c>
      <c r="D4" s="2" t="s">
        <v>36</v>
      </c>
      <c r="E4" s="3">
        <v>44315</v>
      </c>
      <c r="F4" s="2" t="s">
        <v>109</v>
      </c>
      <c r="G4" s="2" t="s">
        <v>113</v>
      </c>
      <c r="H4" s="2" t="s">
        <v>44</v>
      </c>
      <c r="I4" s="4">
        <v>23095</v>
      </c>
    </row>
    <row r="5" spans="1:11" x14ac:dyDescent="0.25">
      <c r="A5" s="2" t="s">
        <v>16</v>
      </c>
      <c r="B5" s="2">
        <v>1400</v>
      </c>
      <c r="C5" s="2">
        <v>1</v>
      </c>
      <c r="D5" s="2" t="s">
        <v>31</v>
      </c>
      <c r="E5" s="3">
        <v>44238</v>
      </c>
      <c r="F5" s="2" t="s">
        <v>109</v>
      </c>
      <c r="G5" s="2" t="s">
        <v>81</v>
      </c>
      <c r="H5" s="2" t="s">
        <v>44</v>
      </c>
      <c r="I5" s="4">
        <v>24618</v>
      </c>
    </row>
    <row r="6" spans="1:11" x14ac:dyDescent="0.25">
      <c r="A6" s="2" t="s">
        <v>6</v>
      </c>
      <c r="B6" s="2">
        <v>1200</v>
      </c>
      <c r="C6" s="2">
        <v>5</v>
      </c>
      <c r="D6" s="2" t="s">
        <v>34</v>
      </c>
      <c r="E6" s="3">
        <v>44268</v>
      </c>
      <c r="F6" s="2" t="s">
        <v>437</v>
      </c>
      <c r="G6" s="2" t="s">
        <v>203</v>
      </c>
      <c r="H6" s="2" t="s">
        <v>44</v>
      </c>
      <c r="I6" s="4">
        <v>36608</v>
      </c>
    </row>
    <row r="7" spans="1:11" x14ac:dyDescent="0.25">
      <c r="A7" s="2" t="s">
        <v>12</v>
      </c>
      <c r="B7" s="2">
        <v>6500</v>
      </c>
      <c r="C7" s="2">
        <v>4</v>
      </c>
      <c r="D7" s="2" t="s">
        <v>37</v>
      </c>
      <c r="E7" s="3">
        <v>44444</v>
      </c>
      <c r="F7" s="2" t="s">
        <v>343</v>
      </c>
      <c r="G7" s="2" t="s">
        <v>132</v>
      </c>
      <c r="H7" s="2" t="s">
        <v>49</v>
      </c>
      <c r="I7" s="4">
        <v>20230</v>
      </c>
    </row>
    <row r="8" spans="1:11" x14ac:dyDescent="0.25">
      <c r="A8" s="2" t="s">
        <v>14</v>
      </c>
      <c r="B8" s="2">
        <v>2000</v>
      </c>
      <c r="C8" s="2">
        <v>4</v>
      </c>
      <c r="D8" s="2" t="s">
        <v>35</v>
      </c>
      <c r="E8" s="3">
        <v>44330</v>
      </c>
      <c r="F8" s="2" t="s">
        <v>401</v>
      </c>
      <c r="G8" s="2" t="s">
        <v>213</v>
      </c>
      <c r="H8" s="2" t="s">
        <v>49</v>
      </c>
      <c r="I8" s="4">
        <v>25507</v>
      </c>
    </row>
    <row r="9" spans="1:11" x14ac:dyDescent="0.25">
      <c r="A9" s="2" t="s">
        <v>6</v>
      </c>
      <c r="B9" s="2">
        <v>1200</v>
      </c>
      <c r="C9" s="2">
        <v>4</v>
      </c>
      <c r="D9" s="2" t="s">
        <v>33</v>
      </c>
      <c r="E9" s="3">
        <v>44261</v>
      </c>
      <c r="F9" s="2" t="s">
        <v>87</v>
      </c>
      <c r="G9" s="2" t="s">
        <v>358</v>
      </c>
      <c r="H9" s="2" t="s">
        <v>44</v>
      </c>
      <c r="I9" s="4">
        <v>28276</v>
      </c>
    </row>
    <row r="10" spans="1:11" x14ac:dyDescent="0.25">
      <c r="A10" s="2" t="s">
        <v>14</v>
      </c>
      <c r="B10" s="2">
        <v>2000</v>
      </c>
      <c r="C10" s="2">
        <v>2</v>
      </c>
      <c r="D10" s="2" t="s">
        <v>33</v>
      </c>
      <c r="E10" s="3">
        <v>44532</v>
      </c>
      <c r="F10" s="2" t="s">
        <v>114</v>
      </c>
      <c r="G10" s="2" t="s">
        <v>115</v>
      </c>
      <c r="H10" s="2" t="s">
        <v>49</v>
      </c>
      <c r="I10" s="4">
        <v>22232</v>
      </c>
    </row>
    <row r="11" spans="1:11" x14ac:dyDescent="0.25">
      <c r="A11" s="2" t="s">
        <v>21</v>
      </c>
      <c r="B11" s="2">
        <v>2400</v>
      </c>
      <c r="C11" s="2">
        <v>4</v>
      </c>
      <c r="D11" s="2" t="s">
        <v>30</v>
      </c>
      <c r="E11" s="3">
        <v>44331</v>
      </c>
      <c r="F11" s="2" t="s">
        <v>460</v>
      </c>
      <c r="G11" s="2" t="s">
        <v>143</v>
      </c>
      <c r="H11" s="2" t="s">
        <v>49</v>
      </c>
      <c r="I11" s="4">
        <v>27301</v>
      </c>
    </row>
    <row r="12" spans="1:11" x14ac:dyDescent="0.25">
      <c r="A12" s="2" t="s">
        <v>23</v>
      </c>
      <c r="B12" s="2">
        <v>1500</v>
      </c>
      <c r="C12" s="2">
        <v>5</v>
      </c>
      <c r="D12" s="2" t="s">
        <v>33</v>
      </c>
      <c r="E12" s="3">
        <v>44479</v>
      </c>
      <c r="F12" s="2" t="s">
        <v>571</v>
      </c>
      <c r="G12" s="2" t="s">
        <v>474</v>
      </c>
      <c r="H12" s="2" t="s">
        <v>49</v>
      </c>
      <c r="I12" s="4">
        <v>21750</v>
      </c>
    </row>
    <row r="13" spans="1:11" x14ac:dyDescent="0.25">
      <c r="A13" s="2" t="s">
        <v>16</v>
      </c>
      <c r="B13" s="2">
        <v>1400</v>
      </c>
      <c r="C13" s="2">
        <v>5</v>
      </c>
      <c r="D13" s="2" t="s">
        <v>30</v>
      </c>
      <c r="E13" s="3">
        <v>44250</v>
      </c>
      <c r="F13" s="2" t="s">
        <v>277</v>
      </c>
      <c r="G13" s="2" t="s">
        <v>278</v>
      </c>
      <c r="H13" s="2" t="s">
        <v>49</v>
      </c>
      <c r="I13" s="4">
        <v>24915</v>
      </c>
    </row>
    <row r="14" spans="1:11" x14ac:dyDescent="0.25">
      <c r="A14" s="2" t="s">
        <v>11</v>
      </c>
      <c r="B14" s="2">
        <v>4500</v>
      </c>
      <c r="C14" s="2">
        <v>3</v>
      </c>
      <c r="D14" s="2" t="s">
        <v>29</v>
      </c>
      <c r="E14" s="3">
        <v>44258</v>
      </c>
      <c r="F14" s="2" t="s">
        <v>109</v>
      </c>
      <c r="G14" s="2" t="s">
        <v>345</v>
      </c>
      <c r="H14" s="2" t="s">
        <v>44</v>
      </c>
      <c r="I14" s="4">
        <v>33647</v>
      </c>
    </row>
    <row r="15" spans="1:11" x14ac:dyDescent="0.25">
      <c r="A15" s="2" t="s">
        <v>7</v>
      </c>
      <c r="B15" s="2">
        <v>750</v>
      </c>
      <c r="C15" s="2">
        <v>2</v>
      </c>
      <c r="D15" s="2" t="s">
        <v>41</v>
      </c>
      <c r="E15" s="3">
        <v>44549</v>
      </c>
      <c r="F15" s="2" t="s">
        <v>221</v>
      </c>
      <c r="G15" s="2" t="s">
        <v>222</v>
      </c>
      <c r="H15" s="2" t="s">
        <v>44</v>
      </c>
      <c r="I15" s="4">
        <v>35083</v>
      </c>
    </row>
    <row r="16" spans="1:11" x14ac:dyDescent="0.25">
      <c r="A16" s="2" t="s">
        <v>14</v>
      </c>
      <c r="B16" s="2">
        <v>2000</v>
      </c>
      <c r="C16" s="2">
        <v>5</v>
      </c>
      <c r="D16" s="2" t="s">
        <v>40</v>
      </c>
      <c r="E16" s="3">
        <v>44460</v>
      </c>
      <c r="F16" s="2" t="s">
        <v>293</v>
      </c>
      <c r="G16" s="2" t="s">
        <v>63</v>
      </c>
      <c r="H16" s="2" t="s">
        <v>49</v>
      </c>
      <c r="I16" s="4">
        <v>36322</v>
      </c>
    </row>
    <row r="17" spans="1:9" x14ac:dyDescent="0.25">
      <c r="A17" s="2" t="s">
        <v>21</v>
      </c>
      <c r="B17" s="2">
        <v>2400</v>
      </c>
      <c r="C17" s="2">
        <v>2</v>
      </c>
      <c r="D17" s="2" t="s">
        <v>39</v>
      </c>
      <c r="E17" s="3">
        <v>44458</v>
      </c>
      <c r="F17" s="2" t="s">
        <v>102</v>
      </c>
      <c r="G17" s="2" t="s">
        <v>387</v>
      </c>
      <c r="H17" s="2" t="s">
        <v>44</v>
      </c>
      <c r="I17" s="4">
        <v>33419</v>
      </c>
    </row>
    <row r="18" spans="1:9" x14ac:dyDescent="0.25">
      <c r="A18" s="2" t="s">
        <v>15</v>
      </c>
      <c r="B18" s="2">
        <v>1900</v>
      </c>
      <c r="C18" s="2">
        <v>3</v>
      </c>
      <c r="D18" s="2" t="s">
        <v>30</v>
      </c>
      <c r="E18" s="3">
        <v>44460</v>
      </c>
      <c r="F18" s="2" t="s">
        <v>343</v>
      </c>
      <c r="G18" s="2" t="s">
        <v>193</v>
      </c>
      <c r="H18" s="2" t="s">
        <v>49</v>
      </c>
      <c r="I18" s="4">
        <v>19478</v>
      </c>
    </row>
    <row r="19" spans="1:9" x14ac:dyDescent="0.25">
      <c r="A19" s="2" t="s">
        <v>28</v>
      </c>
      <c r="B19" s="2">
        <v>1400</v>
      </c>
      <c r="C19" s="2">
        <v>4</v>
      </c>
      <c r="D19" s="2" t="s">
        <v>32</v>
      </c>
      <c r="E19" s="3">
        <v>44315</v>
      </c>
      <c r="F19" s="2" t="s">
        <v>271</v>
      </c>
      <c r="G19" s="2" t="s">
        <v>149</v>
      </c>
      <c r="H19" s="2" t="s">
        <v>49</v>
      </c>
      <c r="I19" s="4">
        <v>26195</v>
      </c>
    </row>
    <row r="20" spans="1:9" x14ac:dyDescent="0.25">
      <c r="A20" s="2" t="s">
        <v>25</v>
      </c>
      <c r="B20" s="2">
        <v>2500</v>
      </c>
      <c r="C20" s="2">
        <v>3</v>
      </c>
      <c r="D20" s="2" t="s">
        <v>35</v>
      </c>
      <c r="E20" s="3">
        <v>44309</v>
      </c>
      <c r="F20" s="2" t="s">
        <v>120</v>
      </c>
      <c r="G20" s="2" t="s">
        <v>440</v>
      </c>
      <c r="H20" s="2" t="s">
        <v>44</v>
      </c>
      <c r="I20" s="4">
        <v>25875</v>
      </c>
    </row>
    <row r="21" spans="1:9" x14ac:dyDescent="0.25">
      <c r="A21" s="2" t="s">
        <v>28</v>
      </c>
      <c r="B21" s="2">
        <v>1400</v>
      </c>
      <c r="C21" s="2">
        <v>5</v>
      </c>
      <c r="D21" s="2" t="s">
        <v>34</v>
      </c>
      <c r="E21" s="3">
        <v>44513</v>
      </c>
      <c r="F21" s="2" t="s">
        <v>392</v>
      </c>
      <c r="G21" s="2" t="s">
        <v>458</v>
      </c>
      <c r="H21" s="2" t="s">
        <v>49</v>
      </c>
      <c r="I21" s="4">
        <v>21960</v>
      </c>
    </row>
    <row r="22" spans="1:9" x14ac:dyDescent="0.25">
      <c r="A22" s="2" t="s">
        <v>10</v>
      </c>
      <c r="B22" s="2">
        <v>1450</v>
      </c>
      <c r="C22" s="2">
        <v>4</v>
      </c>
      <c r="D22" s="2" t="s">
        <v>37</v>
      </c>
      <c r="E22" s="3">
        <v>44540</v>
      </c>
      <c r="F22" s="2" t="s">
        <v>233</v>
      </c>
      <c r="G22" s="2" t="s">
        <v>483</v>
      </c>
      <c r="H22" s="2" t="s">
        <v>49</v>
      </c>
      <c r="I22" s="4">
        <v>23101</v>
      </c>
    </row>
    <row r="23" spans="1:9" x14ac:dyDescent="0.25">
      <c r="A23" s="2" t="s">
        <v>28</v>
      </c>
      <c r="B23" s="2">
        <v>1400</v>
      </c>
      <c r="C23" s="2">
        <v>5</v>
      </c>
      <c r="D23" s="2" t="s">
        <v>34</v>
      </c>
      <c r="E23" s="3">
        <v>44470</v>
      </c>
      <c r="F23" s="2" t="s">
        <v>256</v>
      </c>
      <c r="G23" s="2" t="s">
        <v>468</v>
      </c>
      <c r="H23" s="2" t="s">
        <v>44</v>
      </c>
      <c r="I23" s="4">
        <v>32705</v>
      </c>
    </row>
    <row r="24" spans="1:9" x14ac:dyDescent="0.25">
      <c r="A24" s="2" t="s">
        <v>27</v>
      </c>
      <c r="B24" s="2">
        <v>1500</v>
      </c>
      <c r="C24" s="2">
        <v>5</v>
      </c>
      <c r="D24" s="2" t="s">
        <v>29</v>
      </c>
      <c r="E24" s="3">
        <v>44452</v>
      </c>
      <c r="F24" s="2" t="s">
        <v>239</v>
      </c>
      <c r="G24" s="2" t="s">
        <v>240</v>
      </c>
      <c r="H24" s="2" t="s">
        <v>49</v>
      </c>
      <c r="I24" s="4">
        <v>31265</v>
      </c>
    </row>
    <row r="25" spans="1:9" x14ac:dyDescent="0.25">
      <c r="A25" s="2" t="s">
        <v>13</v>
      </c>
      <c r="B25" s="2">
        <v>2300</v>
      </c>
      <c r="C25" s="2">
        <v>1</v>
      </c>
      <c r="D25" s="2" t="s">
        <v>41</v>
      </c>
      <c r="E25" s="3">
        <v>44399</v>
      </c>
      <c r="F25" s="2" t="s">
        <v>264</v>
      </c>
      <c r="G25" s="2" t="s">
        <v>435</v>
      </c>
      <c r="H25" s="2" t="s">
        <v>49</v>
      </c>
      <c r="I25" s="4">
        <v>19820</v>
      </c>
    </row>
    <row r="26" spans="1:9" x14ac:dyDescent="0.25">
      <c r="A26" s="2" t="s">
        <v>5</v>
      </c>
      <c r="B26" s="2">
        <v>1750</v>
      </c>
      <c r="C26" s="2">
        <v>1</v>
      </c>
      <c r="D26" s="2" t="s">
        <v>31</v>
      </c>
      <c r="E26" s="3">
        <v>44546</v>
      </c>
      <c r="F26" s="2" t="s">
        <v>52</v>
      </c>
      <c r="G26" s="2" t="s">
        <v>203</v>
      </c>
      <c r="H26" s="2" t="s">
        <v>44</v>
      </c>
      <c r="I26" s="4">
        <v>34955</v>
      </c>
    </row>
    <row r="27" spans="1:9" x14ac:dyDescent="0.25">
      <c r="A27" s="2" t="s">
        <v>10</v>
      </c>
      <c r="B27" s="2">
        <v>1450</v>
      </c>
      <c r="C27" s="2">
        <v>2</v>
      </c>
      <c r="D27" s="2" t="s">
        <v>32</v>
      </c>
      <c r="E27" s="3">
        <v>44248</v>
      </c>
      <c r="F27" s="2" t="s">
        <v>185</v>
      </c>
      <c r="G27" s="2" t="s">
        <v>186</v>
      </c>
      <c r="H27" s="2" t="s">
        <v>44</v>
      </c>
      <c r="I27" s="4">
        <v>21561</v>
      </c>
    </row>
    <row r="28" spans="1:9" x14ac:dyDescent="0.25">
      <c r="A28" s="2" t="s">
        <v>16</v>
      </c>
      <c r="B28" s="2">
        <v>1400</v>
      </c>
      <c r="C28" s="2">
        <v>3</v>
      </c>
      <c r="D28" s="2" t="s">
        <v>35</v>
      </c>
      <c r="E28" s="3">
        <v>44240</v>
      </c>
      <c r="F28" s="2" t="s">
        <v>208</v>
      </c>
      <c r="G28" s="2" t="s">
        <v>132</v>
      </c>
      <c r="H28" s="2" t="s">
        <v>44</v>
      </c>
      <c r="I28" s="4">
        <v>33587</v>
      </c>
    </row>
    <row r="29" spans="1:9" x14ac:dyDescent="0.25">
      <c r="A29" s="2" t="s">
        <v>26</v>
      </c>
      <c r="B29" s="2">
        <v>1100</v>
      </c>
      <c r="C29" s="2">
        <v>4</v>
      </c>
      <c r="D29" s="2" t="s">
        <v>37</v>
      </c>
      <c r="E29" s="3">
        <v>44305</v>
      </c>
      <c r="F29" s="2" t="s">
        <v>343</v>
      </c>
      <c r="G29" s="2" t="s">
        <v>132</v>
      </c>
      <c r="H29" s="2" t="s">
        <v>49</v>
      </c>
      <c r="I29" s="4">
        <v>20230</v>
      </c>
    </row>
    <row r="30" spans="1:9" x14ac:dyDescent="0.25">
      <c r="A30" s="2" t="s">
        <v>21</v>
      </c>
      <c r="B30" s="2">
        <v>2400</v>
      </c>
      <c r="C30" s="2">
        <v>5</v>
      </c>
      <c r="D30" s="2" t="s">
        <v>37</v>
      </c>
      <c r="E30" s="3">
        <v>44338</v>
      </c>
      <c r="F30" s="2" t="s">
        <v>401</v>
      </c>
      <c r="G30" s="2" t="s">
        <v>418</v>
      </c>
      <c r="H30" s="2" t="s">
        <v>49</v>
      </c>
      <c r="I30" s="4">
        <v>20347</v>
      </c>
    </row>
    <row r="31" spans="1:9" x14ac:dyDescent="0.25">
      <c r="A31" s="2" t="s">
        <v>8</v>
      </c>
      <c r="B31" s="2">
        <v>5500</v>
      </c>
      <c r="C31" s="2">
        <v>1</v>
      </c>
      <c r="D31" s="2" t="s">
        <v>36</v>
      </c>
      <c r="E31" s="3">
        <v>44445</v>
      </c>
      <c r="F31" s="2" t="s">
        <v>579</v>
      </c>
      <c r="G31" s="2" t="s">
        <v>449</v>
      </c>
      <c r="H31" s="2" t="s">
        <v>49</v>
      </c>
      <c r="I31" s="4">
        <v>24093</v>
      </c>
    </row>
    <row r="32" spans="1:9" x14ac:dyDescent="0.25">
      <c r="A32" s="2" t="s">
        <v>9</v>
      </c>
      <c r="B32" s="2">
        <v>1500</v>
      </c>
      <c r="C32" s="2">
        <v>4</v>
      </c>
      <c r="D32" s="2" t="s">
        <v>33</v>
      </c>
      <c r="E32" s="3">
        <v>44469</v>
      </c>
      <c r="F32" s="2" t="s">
        <v>98</v>
      </c>
      <c r="G32" s="2" t="s">
        <v>613</v>
      </c>
      <c r="H32" s="2" t="s">
        <v>44</v>
      </c>
      <c r="I32" s="4">
        <v>30574</v>
      </c>
    </row>
    <row r="33" spans="1:9" x14ac:dyDescent="0.25">
      <c r="A33" s="2" t="s">
        <v>17</v>
      </c>
      <c r="B33" s="2">
        <v>1550</v>
      </c>
      <c r="C33" s="2">
        <v>4</v>
      </c>
      <c r="D33" s="2" t="s">
        <v>29</v>
      </c>
      <c r="E33" s="3">
        <v>44223</v>
      </c>
      <c r="F33" s="2" t="s">
        <v>301</v>
      </c>
      <c r="G33" s="2" t="s">
        <v>449</v>
      </c>
      <c r="H33" s="2" t="s">
        <v>49</v>
      </c>
      <c r="I33" s="4">
        <v>33640</v>
      </c>
    </row>
    <row r="34" spans="1:9" x14ac:dyDescent="0.25">
      <c r="A34" s="2" t="s">
        <v>10</v>
      </c>
      <c r="B34" s="2">
        <v>1450</v>
      </c>
      <c r="C34" s="2">
        <v>5</v>
      </c>
      <c r="D34" s="2" t="s">
        <v>34</v>
      </c>
      <c r="E34" s="3">
        <v>44374</v>
      </c>
      <c r="F34" s="2" t="s">
        <v>87</v>
      </c>
      <c r="G34" s="2" t="s">
        <v>404</v>
      </c>
      <c r="H34" s="2" t="s">
        <v>44</v>
      </c>
      <c r="I34" s="4">
        <v>23343</v>
      </c>
    </row>
    <row r="35" spans="1:9" x14ac:dyDescent="0.25">
      <c r="A35" s="2" t="s">
        <v>16</v>
      </c>
      <c r="B35" s="2">
        <v>1400</v>
      </c>
      <c r="C35" s="2">
        <v>1</v>
      </c>
      <c r="D35" s="2" t="s">
        <v>31</v>
      </c>
      <c r="E35" s="3">
        <v>44314</v>
      </c>
      <c r="F35" s="2" t="s">
        <v>78</v>
      </c>
      <c r="G35" s="2" t="s">
        <v>157</v>
      </c>
      <c r="H35" s="2" t="s">
        <v>49</v>
      </c>
      <c r="I35" s="4">
        <v>25194</v>
      </c>
    </row>
    <row r="36" spans="1:9" x14ac:dyDescent="0.25">
      <c r="A36" s="2" t="s">
        <v>13</v>
      </c>
      <c r="B36" s="2">
        <v>2300</v>
      </c>
      <c r="C36" s="2">
        <v>5</v>
      </c>
      <c r="D36" s="2" t="s">
        <v>34</v>
      </c>
      <c r="E36" s="3">
        <v>44403</v>
      </c>
      <c r="F36" s="2" t="s">
        <v>137</v>
      </c>
      <c r="G36" s="2" t="s">
        <v>503</v>
      </c>
      <c r="H36" s="2" t="s">
        <v>49</v>
      </c>
      <c r="I36" s="4">
        <v>24598</v>
      </c>
    </row>
    <row r="37" spans="1:9" x14ac:dyDescent="0.25">
      <c r="A37" s="2" t="s">
        <v>7</v>
      </c>
      <c r="B37" s="2">
        <v>750</v>
      </c>
      <c r="C37" s="2">
        <v>2</v>
      </c>
      <c r="D37" s="2" t="s">
        <v>36</v>
      </c>
      <c r="E37" s="3">
        <v>44538</v>
      </c>
      <c r="F37" s="2" t="s">
        <v>264</v>
      </c>
      <c r="G37" s="2" t="s">
        <v>125</v>
      </c>
      <c r="H37" s="2" t="s">
        <v>49</v>
      </c>
      <c r="I37" s="4">
        <v>26247</v>
      </c>
    </row>
    <row r="38" spans="1:9" x14ac:dyDescent="0.25">
      <c r="A38" s="2" t="s">
        <v>27</v>
      </c>
      <c r="B38" s="2">
        <v>1500</v>
      </c>
      <c r="C38" s="2">
        <v>5</v>
      </c>
      <c r="D38" s="2" t="s">
        <v>29</v>
      </c>
      <c r="E38" s="3">
        <v>44527</v>
      </c>
      <c r="F38" s="2" t="s">
        <v>497</v>
      </c>
      <c r="G38" s="2" t="s">
        <v>498</v>
      </c>
      <c r="H38" s="2" t="s">
        <v>44</v>
      </c>
      <c r="I38" s="4">
        <v>25758</v>
      </c>
    </row>
    <row r="39" spans="1:9" x14ac:dyDescent="0.25">
      <c r="A39" s="2" t="s">
        <v>23</v>
      </c>
      <c r="B39" s="2">
        <v>1500</v>
      </c>
      <c r="C39" s="2">
        <v>4</v>
      </c>
      <c r="D39" s="2" t="s">
        <v>31</v>
      </c>
      <c r="E39" s="3">
        <v>44535</v>
      </c>
      <c r="F39" s="2" t="s">
        <v>98</v>
      </c>
      <c r="G39" s="2" t="s">
        <v>508</v>
      </c>
      <c r="H39" s="2" t="s">
        <v>44</v>
      </c>
      <c r="I39" s="4">
        <v>33252</v>
      </c>
    </row>
    <row r="40" spans="1:9" x14ac:dyDescent="0.25">
      <c r="A40" s="2" t="s">
        <v>18</v>
      </c>
      <c r="B40" s="2">
        <v>3000</v>
      </c>
      <c r="C40" s="2">
        <v>3</v>
      </c>
      <c r="D40" s="2" t="s">
        <v>35</v>
      </c>
      <c r="E40" s="3">
        <v>44468</v>
      </c>
      <c r="F40" s="2" t="s">
        <v>335</v>
      </c>
      <c r="G40" s="2" t="s">
        <v>530</v>
      </c>
      <c r="H40" s="2" t="s">
        <v>49</v>
      </c>
      <c r="I40" s="4">
        <v>36734</v>
      </c>
    </row>
    <row r="41" spans="1:9" x14ac:dyDescent="0.25">
      <c r="A41" s="2" t="s">
        <v>28</v>
      </c>
      <c r="B41" s="2">
        <v>1400</v>
      </c>
      <c r="C41" s="2">
        <v>4</v>
      </c>
      <c r="D41" s="2" t="s">
        <v>32</v>
      </c>
      <c r="E41" s="3">
        <v>44467</v>
      </c>
      <c r="F41" s="2" t="s">
        <v>289</v>
      </c>
      <c r="G41" s="2" t="s">
        <v>297</v>
      </c>
      <c r="H41" s="2" t="s">
        <v>44</v>
      </c>
      <c r="I41" s="4">
        <v>30434</v>
      </c>
    </row>
    <row r="42" spans="1:9" x14ac:dyDescent="0.25">
      <c r="A42" s="2" t="s">
        <v>13</v>
      </c>
      <c r="B42" s="2">
        <v>2300</v>
      </c>
      <c r="C42" s="2">
        <v>4</v>
      </c>
      <c r="D42" s="2" t="s">
        <v>41</v>
      </c>
      <c r="E42" s="3">
        <v>44262</v>
      </c>
      <c r="F42" s="2" t="s">
        <v>179</v>
      </c>
      <c r="G42" s="2" t="s">
        <v>193</v>
      </c>
      <c r="H42" s="2" t="s">
        <v>44</v>
      </c>
      <c r="I42" s="4">
        <v>26033</v>
      </c>
    </row>
    <row r="43" spans="1:9" x14ac:dyDescent="0.25">
      <c r="A43" s="2" t="s">
        <v>14</v>
      </c>
      <c r="B43" s="2">
        <v>2000</v>
      </c>
      <c r="C43" s="2">
        <v>1</v>
      </c>
      <c r="D43" s="2" t="s">
        <v>29</v>
      </c>
      <c r="E43" s="3">
        <v>44416</v>
      </c>
      <c r="F43" s="2" t="s">
        <v>142</v>
      </c>
      <c r="G43" s="2" t="s">
        <v>157</v>
      </c>
      <c r="H43" s="2" t="s">
        <v>49</v>
      </c>
      <c r="I43" s="4">
        <v>33294</v>
      </c>
    </row>
    <row r="44" spans="1:9" x14ac:dyDescent="0.25">
      <c r="A44" s="2" t="s">
        <v>16</v>
      </c>
      <c r="B44" s="2">
        <v>1400</v>
      </c>
      <c r="C44" s="2">
        <v>1</v>
      </c>
      <c r="D44" s="2" t="s">
        <v>37</v>
      </c>
      <c r="E44" s="3">
        <v>44410</v>
      </c>
      <c r="F44" s="2" t="s">
        <v>64</v>
      </c>
      <c r="G44" s="2" t="s">
        <v>622</v>
      </c>
      <c r="H44" s="2" t="s">
        <v>44</v>
      </c>
      <c r="I44" s="4">
        <v>20019</v>
      </c>
    </row>
    <row r="45" spans="1:9" x14ac:dyDescent="0.25">
      <c r="A45" s="2" t="s">
        <v>7</v>
      </c>
      <c r="B45" s="2">
        <v>750</v>
      </c>
      <c r="C45" s="2">
        <v>5</v>
      </c>
      <c r="D45" s="2" t="s">
        <v>38</v>
      </c>
      <c r="E45" s="3">
        <v>44298</v>
      </c>
      <c r="F45" s="2" t="s">
        <v>134</v>
      </c>
      <c r="G45" s="2" t="s">
        <v>69</v>
      </c>
      <c r="H45" s="2" t="s">
        <v>49</v>
      </c>
      <c r="I45" s="4">
        <v>19395</v>
      </c>
    </row>
    <row r="46" spans="1:9" x14ac:dyDescent="0.25">
      <c r="A46" s="2" t="s">
        <v>9</v>
      </c>
      <c r="B46" s="2">
        <v>1500</v>
      </c>
      <c r="C46" s="2">
        <v>3</v>
      </c>
      <c r="D46" s="2" t="s">
        <v>37</v>
      </c>
      <c r="E46" s="3">
        <v>44548</v>
      </c>
      <c r="F46" s="2" t="s">
        <v>548</v>
      </c>
      <c r="G46" s="2" t="s">
        <v>559</v>
      </c>
      <c r="H46" s="2" t="s">
        <v>49</v>
      </c>
      <c r="I46" s="4">
        <v>35817</v>
      </c>
    </row>
    <row r="47" spans="1:9" x14ac:dyDescent="0.25">
      <c r="A47" s="2" t="s">
        <v>6</v>
      </c>
      <c r="B47" s="2">
        <v>1200</v>
      </c>
      <c r="C47" s="2">
        <v>1</v>
      </c>
      <c r="D47" s="2" t="s">
        <v>29</v>
      </c>
      <c r="E47" s="3">
        <v>44233</v>
      </c>
      <c r="F47" s="2" t="s">
        <v>259</v>
      </c>
      <c r="G47" s="2" t="s">
        <v>238</v>
      </c>
      <c r="H47" s="2" t="s">
        <v>49</v>
      </c>
      <c r="I47" s="4">
        <v>33136</v>
      </c>
    </row>
    <row r="48" spans="1:9" x14ac:dyDescent="0.25">
      <c r="A48" s="2" t="s">
        <v>24</v>
      </c>
      <c r="B48" s="2">
        <v>2000</v>
      </c>
      <c r="C48" s="2">
        <v>5</v>
      </c>
      <c r="D48" s="2" t="s">
        <v>41</v>
      </c>
      <c r="E48" s="3">
        <v>44354</v>
      </c>
      <c r="F48" s="2" t="s">
        <v>225</v>
      </c>
      <c r="G48" s="2" t="s">
        <v>292</v>
      </c>
      <c r="H48" s="2" t="s">
        <v>44</v>
      </c>
      <c r="I48" s="4">
        <v>32316</v>
      </c>
    </row>
    <row r="49" spans="1:9" x14ac:dyDescent="0.25">
      <c r="A49" s="2" t="s">
        <v>7</v>
      </c>
      <c r="B49" s="2">
        <v>750</v>
      </c>
      <c r="C49" s="2">
        <v>1</v>
      </c>
      <c r="D49" s="2" t="s">
        <v>29</v>
      </c>
      <c r="E49" s="3">
        <v>44478</v>
      </c>
      <c r="F49" s="2" t="s">
        <v>211</v>
      </c>
      <c r="G49" s="2" t="s">
        <v>212</v>
      </c>
      <c r="H49" s="2" t="s">
        <v>49</v>
      </c>
      <c r="I49" s="4">
        <v>25413</v>
      </c>
    </row>
    <row r="50" spans="1:9" x14ac:dyDescent="0.25">
      <c r="A50" s="2" t="s">
        <v>19</v>
      </c>
      <c r="B50" s="2">
        <v>700</v>
      </c>
      <c r="C50" s="2">
        <v>4</v>
      </c>
      <c r="D50" s="2" t="s">
        <v>30</v>
      </c>
      <c r="E50" s="3">
        <v>44426</v>
      </c>
      <c r="F50" s="2" t="s">
        <v>58</v>
      </c>
      <c r="G50" s="2" t="s">
        <v>59</v>
      </c>
      <c r="H50" s="2" t="s">
        <v>49</v>
      </c>
      <c r="I50" s="4">
        <v>23712</v>
      </c>
    </row>
    <row r="51" spans="1:9" x14ac:dyDescent="0.25">
      <c r="A51" s="2" t="s">
        <v>28</v>
      </c>
      <c r="B51" s="2">
        <v>1400</v>
      </c>
      <c r="C51" s="2">
        <v>2</v>
      </c>
      <c r="D51" s="2" t="s">
        <v>33</v>
      </c>
      <c r="E51" s="3">
        <v>44460</v>
      </c>
      <c r="F51" s="2" t="s">
        <v>295</v>
      </c>
      <c r="G51" s="2" t="s">
        <v>296</v>
      </c>
      <c r="H51" s="2" t="s">
        <v>49</v>
      </c>
      <c r="I51" s="4">
        <v>34584</v>
      </c>
    </row>
    <row r="52" spans="1:9" x14ac:dyDescent="0.25">
      <c r="A52" s="2" t="s">
        <v>20</v>
      </c>
      <c r="B52" s="2">
        <v>2600</v>
      </c>
      <c r="C52" s="2">
        <v>1</v>
      </c>
      <c r="D52" s="2" t="s">
        <v>33</v>
      </c>
      <c r="E52" s="3">
        <v>44460</v>
      </c>
      <c r="F52" s="2" t="s">
        <v>107</v>
      </c>
      <c r="G52" s="2" t="s">
        <v>231</v>
      </c>
      <c r="H52" s="2" t="s">
        <v>49</v>
      </c>
      <c r="I52" s="4">
        <v>30856</v>
      </c>
    </row>
    <row r="53" spans="1:9" x14ac:dyDescent="0.25">
      <c r="A53" s="2" t="s">
        <v>5</v>
      </c>
      <c r="B53" s="2">
        <v>1750</v>
      </c>
      <c r="C53" s="2">
        <v>4</v>
      </c>
      <c r="D53" s="2" t="s">
        <v>40</v>
      </c>
      <c r="E53" s="3">
        <v>44319</v>
      </c>
      <c r="F53" s="2" t="s">
        <v>98</v>
      </c>
      <c r="G53" s="2" t="s">
        <v>529</v>
      </c>
      <c r="H53" s="2" t="s">
        <v>44</v>
      </c>
      <c r="I53" s="4">
        <v>33148</v>
      </c>
    </row>
    <row r="54" spans="1:9" x14ac:dyDescent="0.25">
      <c r="A54" s="2" t="s">
        <v>16</v>
      </c>
      <c r="B54" s="2">
        <v>1400</v>
      </c>
      <c r="C54" s="2">
        <v>5</v>
      </c>
      <c r="D54" s="2" t="s">
        <v>31</v>
      </c>
      <c r="E54" s="3">
        <v>44292</v>
      </c>
      <c r="F54" s="2" t="s">
        <v>239</v>
      </c>
      <c r="G54" s="2" t="s">
        <v>501</v>
      </c>
      <c r="H54" s="2" t="s">
        <v>49</v>
      </c>
      <c r="I54" s="4">
        <v>20916</v>
      </c>
    </row>
    <row r="55" spans="1:9" x14ac:dyDescent="0.25">
      <c r="A55" s="2" t="s">
        <v>19</v>
      </c>
      <c r="B55" s="2">
        <v>700</v>
      </c>
      <c r="C55" s="2">
        <v>3</v>
      </c>
      <c r="D55" s="2" t="s">
        <v>34</v>
      </c>
      <c r="E55" s="3">
        <v>44204</v>
      </c>
      <c r="F55" s="2" t="s">
        <v>137</v>
      </c>
      <c r="G55" s="2" t="s">
        <v>503</v>
      </c>
      <c r="H55" s="2" t="s">
        <v>49</v>
      </c>
      <c r="I55" s="4">
        <v>24598</v>
      </c>
    </row>
    <row r="56" spans="1:9" x14ac:dyDescent="0.25">
      <c r="A56" s="2" t="s">
        <v>22</v>
      </c>
      <c r="B56" s="2">
        <v>5200</v>
      </c>
      <c r="C56" s="2">
        <v>2</v>
      </c>
      <c r="D56" s="2" t="s">
        <v>37</v>
      </c>
      <c r="E56" s="3">
        <v>44561</v>
      </c>
      <c r="F56" s="2" t="s">
        <v>259</v>
      </c>
      <c r="G56" s="2" t="s">
        <v>359</v>
      </c>
      <c r="H56" s="2" t="s">
        <v>49</v>
      </c>
      <c r="I56" s="4">
        <v>29659</v>
      </c>
    </row>
    <row r="57" spans="1:9" x14ac:dyDescent="0.25">
      <c r="A57" s="2" t="s">
        <v>5</v>
      </c>
      <c r="B57" s="2">
        <v>1750</v>
      </c>
      <c r="C57" s="2">
        <v>1</v>
      </c>
      <c r="D57" s="2" t="s">
        <v>29</v>
      </c>
      <c r="E57" s="3">
        <v>44285</v>
      </c>
      <c r="F57" s="2" t="s">
        <v>78</v>
      </c>
      <c r="G57" s="2" t="s">
        <v>612</v>
      </c>
      <c r="H57" s="2" t="s">
        <v>49</v>
      </c>
      <c r="I57" s="4">
        <v>31800</v>
      </c>
    </row>
    <row r="58" spans="1:9" x14ac:dyDescent="0.25">
      <c r="A58" s="2" t="s">
        <v>20</v>
      </c>
      <c r="B58" s="2">
        <v>2600</v>
      </c>
      <c r="C58" s="2">
        <v>1</v>
      </c>
      <c r="D58" s="2" t="s">
        <v>35</v>
      </c>
      <c r="E58" s="3">
        <v>44513</v>
      </c>
      <c r="F58" s="2" t="s">
        <v>208</v>
      </c>
      <c r="G58" s="2" t="s">
        <v>132</v>
      </c>
      <c r="H58" s="2" t="s">
        <v>44</v>
      </c>
      <c r="I58" s="4">
        <v>33587</v>
      </c>
    </row>
    <row r="59" spans="1:9" x14ac:dyDescent="0.25">
      <c r="A59" s="2" t="s">
        <v>7</v>
      </c>
      <c r="B59" s="2">
        <v>750</v>
      </c>
      <c r="C59" s="2">
        <v>2</v>
      </c>
      <c r="D59" s="2" t="s">
        <v>39</v>
      </c>
      <c r="E59" s="3">
        <v>44552</v>
      </c>
      <c r="F59" s="2" t="s">
        <v>187</v>
      </c>
      <c r="G59" s="2" t="s">
        <v>156</v>
      </c>
      <c r="H59" s="2" t="s">
        <v>49</v>
      </c>
      <c r="I59" s="4">
        <v>21926</v>
      </c>
    </row>
    <row r="60" spans="1:9" x14ac:dyDescent="0.25">
      <c r="A60" s="2" t="s">
        <v>22</v>
      </c>
      <c r="B60" s="2">
        <v>5200</v>
      </c>
      <c r="C60" s="2">
        <v>5</v>
      </c>
      <c r="D60" s="2" t="s">
        <v>35</v>
      </c>
      <c r="E60" s="3">
        <v>44451</v>
      </c>
      <c r="F60" s="2" t="s">
        <v>328</v>
      </c>
      <c r="G60" s="2" t="s">
        <v>149</v>
      </c>
      <c r="H60" s="2" t="s">
        <v>49</v>
      </c>
      <c r="I60" s="4">
        <v>36743</v>
      </c>
    </row>
    <row r="61" spans="1:9" x14ac:dyDescent="0.25">
      <c r="A61" s="2" t="s">
        <v>21</v>
      </c>
      <c r="B61" s="2">
        <v>2400</v>
      </c>
      <c r="C61" s="2">
        <v>3</v>
      </c>
      <c r="D61" s="2" t="s">
        <v>37</v>
      </c>
      <c r="E61" s="3">
        <v>44260</v>
      </c>
      <c r="F61" s="2" t="s">
        <v>206</v>
      </c>
      <c r="G61" s="2" t="s">
        <v>207</v>
      </c>
      <c r="H61" s="2" t="s">
        <v>44</v>
      </c>
      <c r="I61" s="4">
        <v>24354</v>
      </c>
    </row>
    <row r="62" spans="1:9" x14ac:dyDescent="0.25">
      <c r="A62" s="2" t="s">
        <v>18</v>
      </c>
      <c r="B62" s="2">
        <v>3000</v>
      </c>
      <c r="C62" s="2">
        <v>2</v>
      </c>
      <c r="D62" s="2" t="s">
        <v>38</v>
      </c>
      <c r="E62" s="3">
        <v>44386</v>
      </c>
      <c r="F62" s="2" t="s">
        <v>179</v>
      </c>
      <c r="G62" s="2" t="s">
        <v>83</v>
      </c>
      <c r="H62" s="2" t="s">
        <v>44</v>
      </c>
      <c r="I62" s="4">
        <v>35697</v>
      </c>
    </row>
    <row r="63" spans="1:9" x14ac:dyDescent="0.25">
      <c r="A63" s="2" t="s">
        <v>11</v>
      </c>
      <c r="B63" s="2">
        <v>4500</v>
      </c>
      <c r="C63" s="2">
        <v>4</v>
      </c>
      <c r="D63" s="2" t="s">
        <v>34</v>
      </c>
      <c r="E63" s="3">
        <v>44331</v>
      </c>
      <c r="F63" s="2" t="s">
        <v>589</v>
      </c>
      <c r="G63" s="2" t="s">
        <v>46</v>
      </c>
      <c r="H63" s="2" t="s">
        <v>44</v>
      </c>
      <c r="I63" s="4">
        <v>20785</v>
      </c>
    </row>
    <row r="64" spans="1:9" x14ac:dyDescent="0.25">
      <c r="A64" s="2" t="s">
        <v>10</v>
      </c>
      <c r="B64" s="2">
        <v>1450</v>
      </c>
      <c r="C64" s="2">
        <v>3</v>
      </c>
      <c r="D64" s="2" t="s">
        <v>37</v>
      </c>
      <c r="E64" s="3">
        <v>44486</v>
      </c>
      <c r="F64" s="2" t="s">
        <v>598</v>
      </c>
      <c r="G64" s="2" t="s">
        <v>195</v>
      </c>
      <c r="H64" s="2" t="s">
        <v>44</v>
      </c>
      <c r="I64" s="4">
        <v>23756</v>
      </c>
    </row>
    <row r="65" spans="1:9" x14ac:dyDescent="0.25">
      <c r="A65" s="2" t="s">
        <v>12</v>
      </c>
      <c r="B65" s="2">
        <v>6500</v>
      </c>
      <c r="C65" s="2">
        <v>1</v>
      </c>
      <c r="D65" s="2" t="s">
        <v>39</v>
      </c>
      <c r="E65" s="3">
        <v>44415</v>
      </c>
      <c r="F65" s="2" t="s">
        <v>42</v>
      </c>
      <c r="G65" s="2" t="s">
        <v>63</v>
      </c>
      <c r="H65" s="2" t="s">
        <v>44</v>
      </c>
      <c r="I65" s="4">
        <v>22924</v>
      </c>
    </row>
    <row r="66" spans="1:9" x14ac:dyDescent="0.25">
      <c r="A66" s="2" t="s">
        <v>14</v>
      </c>
      <c r="B66" s="2">
        <v>2000</v>
      </c>
      <c r="C66" s="2">
        <v>4</v>
      </c>
      <c r="D66" s="2" t="s">
        <v>33</v>
      </c>
      <c r="E66" s="3">
        <v>44282</v>
      </c>
      <c r="F66" s="2" t="s">
        <v>295</v>
      </c>
      <c r="G66" s="2" t="s">
        <v>296</v>
      </c>
      <c r="H66" s="2" t="s">
        <v>49</v>
      </c>
      <c r="I66" s="4">
        <v>34584</v>
      </c>
    </row>
    <row r="67" spans="1:9" x14ac:dyDescent="0.25">
      <c r="A67" s="2" t="s">
        <v>20</v>
      </c>
      <c r="B67" s="2">
        <v>2600</v>
      </c>
      <c r="C67" s="2">
        <v>3</v>
      </c>
      <c r="D67" s="2" t="s">
        <v>34</v>
      </c>
      <c r="E67" s="3">
        <v>44529</v>
      </c>
      <c r="F67" s="2" t="s">
        <v>56</v>
      </c>
      <c r="G67" s="2" t="s">
        <v>57</v>
      </c>
      <c r="H67" s="2" t="s">
        <v>44</v>
      </c>
      <c r="I67" s="4">
        <v>23445</v>
      </c>
    </row>
    <row r="68" spans="1:9" x14ac:dyDescent="0.25">
      <c r="A68" s="2" t="s">
        <v>22</v>
      </c>
      <c r="B68" s="2">
        <v>5200</v>
      </c>
      <c r="C68" s="2">
        <v>5</v>
      </c>
      <c r="D68" s="2" t="s">
        <v>37</v>
      </c>
      <c r="E68" s="3">
        <v>44547</v>
      </c>
      <c r="F68" s="2" t="s">
        <v>598</v>
      </c>
      <c r="G68" s="2" t="s">
        <v>195</v>
      </c>
      <c r="H68" s="2" t="s">
        <v>44</v>
      </c>
      <c r="I68" s="4">
        <v>23756</v>
      </c>
    </row>
    <row r="69" spans="1:9" x14ac:dyDescent="0.25">
      <c r="A69" s="2" t="s">
        <v>19</v>
      </c>
      <c r="B69" s="2">
        <v>700</v>
      </c>
      <c r="C69" s="2">
        <v>3</v>
      </c>
      <c r="D69" s="2" t="s">
        <v>36</v>
      </c>
      <c r="E69" s="3">
        <v>44527</v>
      </c>
      <c r="F69" s="2" t="s">
        <v>438</v>
      </c>
      <c r="G69" s="2" t="s">
        <v>453</v>
      </c>
      <c r="H69" s="2" t="s">
        <v>49</v>
      </c>
      <c r="I69" s="4">
        <v>23274</v>
      </c>
    </row>
    <row r="70" spans="1:9" x14ac:dyDescent="0.25">
      <c r="A70" s="2" t="s">
        <v>23</v>
      </c>
      <c r="B70" s="2">
        <v>1500</v>
      </c>
      <c r="C70" s="2">
        <v>5</v>
      </c>
      <c r="D70" s="2" t="s">
        <v>38</v>
      </c>
      <c r="E70" s="3">
        <v>44513</v>
      </c>
      <c r="F70" s="2" t="s">
        <v>134</v>
      </c>
      <c r="G70" s="2" t="s">
        <v>69</v>
      </c>
      <c r="H70" s="2" t="s">
        <v>49</v>
      </c>
      <c r="I70" s="4">
        <v>19395</v>
      </c>
    </row>
    <row r="71" spans="1:9" x14ac:dyDescent="0.25">
      <c r="A71" s="2" t="s">
        <v>20</v>
      </c>
      <c r="B71" s="2">
        <v>2600</v>
      </c>
      <c r="C71" s="2">
        <v>2</v>
      </c>
      <c r="D71" s="2" t="s">
        <v>36</v>
      </c>
      <c r="E71" s="3">
        <v>44376</v>
      </c>
      <c r="F71" s="2" t="s">
        <v>111</v>
      </c>
      <c r="G71" s="2" t="s">
        <v>614</v>
      </c>
      <c r="H71" s="2" t="s">
        <v>44</v>
      </c>
      <c r="I71" s="4">
        <v>25590</v>
      </c>
    </row>
    <row r="72" spans="1:9" x14ac:dyDescent="0.25">
      <c r="A72" s="2" t="s">
        <v>9</v>
      </c>
      <c r="B72" s="2">
        <v>1500</v>
      </c>
      <c r="C72" s="2">
        <v>2</v>
      </c>
      <c r="D72" s="2" t="s">
        <v>38</v>
      </c>
      <c r="E72" s="3">
        <v>44369</v>
      </c>
      <c r="F72" s="2" t="s">
        <v>233</v>
      </c>
      <c r="G72" s="2" t="s">
        <v>157</v>
      </c>
      <c r="H72" s="2" t="s">
        <v>49</v>
      </c>
      <c r="I72" s="4">
        <v>35651</v>
      </c>
    </row>
    <row r="73" spans="1:9" x14ac:dyDescent="0.25">
      <c r="A73" s="2" t="s">
        <v>9</v>
      </c>
      <c r="B73" s="2">
        <v>1500</v>
      </c>
      <c r="C73" s="2">
        <v>1</v>
      </c>
      <c r="D73" s="2" t="s">
        <v>37</v>
      </c>
      <c r="E73" s="3">
        <v>44497</v>
      </c>
      <c r="F73" s="2" t="s">
        <v>268</v>
      </c>
      <c r="G73" s="2" t="s">
        <v>269</v>
      </c>
      <c r="H73" s="2" t="s">
        <v>44</v>
      </c>
      <c r="I73" s="4">
        <v>28451</v>
      </c>
    </row>
    <row r="74" spans="1:9" x14ac:dyDescent="0.25">
      <c r="A74" s="2" t="s">
        <v>10</v>
      </c>
      <c r="B74" s="2">
        <v>1450</v>
      </c>
      <c r="C74" s="2">
        <v>5</v>
      </c>
      <c r="D74" s="2" t="s">
        <v>32</v>
      </c>
      <c r="E74" s="3">
        <v>44407</v>
      </c>
      <c r="F74" s="2" t="s">
        <v>312</v>
      </c>
      <c r="G74" s="2" t="s">
        <v>63</v>
      </c>
      <c r="H74" s="2" t="s">
        <v>49</v>
      </c>
      <c r="I74" s="4">
        <v>20954</v>
      </c>
    </row>
    <row r="75" spans="1:9" x14ac:dyDescent="0.25">
      <c r="A75" s="2" t="s">
        <v>16</v>
      </c>
      <c r="B75" s="2">
        <v>1400</v>
      </c>
      <c r="C75" s="2">
        <v>2</v>
      </c>
      <c r="D75" s="2" t="s">
        <v>34</v>
      </c>
      <c r="E75" s="3">
        <v>44277</v>
      </c>
      <c r="F75" s="2" t="s">
        <v>50</v>
      </c>
      <c r="G75" s="2" t="s">
        <v>346</v>
      </c>
      <c r="H75" s="2" t="s">
        <v>49</v>
      </c>
      <c r="I75" s="4">
        <v>31799</v>
      </c>
    </row>
    <row r="76" spans="1:9" x14ac:dyDescent="0.25">
      <c r="A76" s="2" t="s">
        <v>27</v>
      </c>
      <c r="B76" s="2">
        <v>1500</v>
      </c>
      <c r="C76" s="2">
        <v>4</v>
      </c>
      <c r="D76" s="2" t="s">
        <v>36</v>
      </c>
      <c r="E76" s="3">
        <v>44389</v>
      </c>
      <c r="F76" s="2" t="s">
        <v>74</v>
      </c>
      <c r="G76" s="2" t="s">
        <v>169</v>
      </c>
      <c r="H76" s="2" t="s">
        <v>44</v>
      </c>
      <c r="I76" s="4">
        <v>34026</v>
      </c>
    </row>
    <row r="77" spans="1:9" x14ac:dyDescent="0.25">
      <c r="A77" s="2" t="s">
        <v>17</v>
      </c>
      <c r="B77" s="2">
        <v>1550</v>
      </c>
      <c r="C77" s="2">
        <v>1</v>
      </c>
      <c r="D77" s="2" t="s">
        <v>38</v>
      </c>
      <c r="E77" s="3">
        <v>44532</v>
      </c>
      <c r="F77" s="2" t="s">
        <v>196</v>
      </c>
      <c r="G77" s="2" t="s">
        <v>346</v>
      </c>
      <c r="H77" s="2" t="s">
        <v>44</v>
      </c>
      <c r="I77" s="4">
        <v>20383</v>
      </c>
    </row>
    <row r="78" spans="1:9" x14ac:dyDescent="0.25">
      <c r="A78" s="2" t="s">
        <v>15</v>
      </c>
      <c r="B78" s="2">
        <v>1900</v>
      </c>
      <c r="C78" s="2">
        <v>1</v>
      </c>
      <c r="D78" s="2" t="s">
        <v>32</v>
      </c>
      <c r="E78" s="3">
        <v>44227</v>
      </c>
      <c r="F78" s="2" t="s">
        <v>295</v>
      </c>
      <c r="G78" s="2" t="s">
        <v>418</v>
      </c>
      <c r="H78" s="2" t="s">
        <v>49</v>
      </c>
      <c r="I78" s="4">
        <v>24615</v>
      </c>
    </row>
    <row r="79" spans="1:9" x14ac:dyDescent="0.25">
      <c r="A79" s="2" t="s">
        <v>6</v>
      </c>
      <c r="B79" s="2">
        <v>1200</v>
      </c>
      <c r="C79" s="2">
        <v>5</v>
      </c>
      <c r="D79" s="2" t="s">
        <v>39</v>
      </c>
      <c r="E79" s="3">
        <v>44290</v>
      </c>
      <c r="F79" s="2" t="s">
        <v>64</v>
      </c>
      <c r="G79" s="2" t="s">
        <v>594</v>
      </c>
      <c r="H79" s="2" t="s">
        <v>44</v>
      </c>
      <c r="I79" s="4">
        <v>36419</v>
      </c>
    </row>
    <row r="80" spans="1:9" x14ac:dyDescent="0.25">
      <c r="A80" s="2" t="s">
        <v>21</v>
      </c>
      <c r="B80" s="2">
        <v>2400</v>
      </c>
      <c r="C80" s="2">
        <v>4</v>
      </c>
      <c r="D80" s="2" t="s">
        <v>29</v>
      </c>
      <c r="E80" s="3">
        <v>44542</v>
      </c>
      <c r="F80" s="2" t="s">
        <v>247</v>
      </c>
      <c r="G80" s="2" t="s">
        <v>130</v>
      </c>
      <c r="H80" s="2" t="s">
        <v>44</v>
      </c>
      <c r="I80" s="4">
        <v>33342</v>
      </c>
    </row>
    <row r="81" spans="1:9" x14ac:dyDescent="0.25">
      <c r="A81" s="2" t="s">
        <v>24</v>
      </c>
      <c r="B81" s="2">
        <v>2000</v>
      </c>
      <c r="C81" s="2">
        <v>2</v>
      </c>
      <c r="D81" s="2" t="s">
        <v>37</v>
      </c>
      <c r="E81" s="3">
        <v>44561</v>
      </c>
      <c r="F81" s="2" t="s">
        <v>234</v>
      </c>
      <c r="G81" s="2" t="s">
        <v>117</v>
      </c>
      <c r="H81" s="2" t="s">
        <v>44</v>
      </c>
      <c r="I81" s="4">
        <v>31431</v>
      </c>
    </row>
    <row r="82" spans="1:9" x14ac:dyDescent="0.25">
      <c r="A82" s="2" t="s">
        <v>15</v>
      </c>
      <c r="B82" s="2">
        <v>1900</v>
      </c>
      <c r="C82" s="2">
        <v>5</v>
      </c>
      <c r="D82" s="2" t="s">
        <v>37</v>
      </c>
      <c r="E82" s="3">
        <v>44240</v>
      </c>
      <c r="F82" s="2" t="s">
        <v>137</v>
      </c>
      <c r="G82" s="2" t="s">
        <v>200</v>
      </c>
      <c r="H82" s="2" t="s">
        <v>49</v>
      </c>
      <c r="I82" s="4">
        <v>21494</v>
      </c>
    </row>
    <row r="83" spans="1:9" x14ac:dyDescent="0.25">
      <c r="A83" s="2" t="s">
        <v>12</v>
      </c>
      <c r="B83" s="2">
        <v>6500</v>
      </c>
      <c r="C83" s="2">
        <v>1</v>
      </c>
      <c r="D83" s="2" t="s">
        <v>38</v>
      </c>
      <c r="E83" s="3">
        <v>44234</v>
      </c>
      <c r="F83" s="2" t="s">
        <v>312</v>
      </c>
      <c r="G83" s="2" t="s">
        <v>411</v>
      </c>
      <c r="H83" s="2" t="s">
        <v>49</v>
      </c>
      <c r="I83" s="4">
        <v>26225</v>
      </c>
    </row>
    <row r="84" spans="1:9" x14ac:dyDescent="0.25">
      <c r="A84" s="2" t="s">
        <v>20</v>
      </c>
      <c r="B84" s="2">
        <v>2600</v>
      </c>
      <c r="C84" s="2">
        <v>2</v>
      </c>
      <c r="D84" s="2" t="s">
        <v>35</v>
      </c>
      <c r="E84" s="3">
        <v>44244</v>
      </c>
      <c r="F84" s="2" t="s">
        <v>402</v>
      </c>
      <c r="G84" s="2" t="s">
        <v>292</v>
      </c>
      <c r="H84" s="2" t="s">
        <v>49</v>
      </c>
      <c r="I84" s="4">
        <v>24715</v>
      </c>
    </row>
    <row r="85" spans="1:9" x14ac:dyDescent="0.25">
      <c r="A85" s="2" t="s">
        <v>21</v>
      </c>
      <c r="B85" s="2">
        <v>2400</v>
      </c>
      <c r="C85" s="2">
        <v>2</v>
      </c>
      <c r="D85" s="2" t="s">
        <v>38</v>
      </c>
      <c r="E85" s="3">
        <v>44261</v>
      </c>
      <c r="F85" s="2" t="s">
        <v>328</v>
      </c>
      <c r="G85" s="2" t="s">
        <v>416</v>
      </c>
      <c r="H85" s="2" t="s">
        <v>49</v>
      </c>
      <c r="I85" s="4">
        <v>31366</v>
      </c>
    </row>
    <row r="86" spans="1:9" x14ac:dyDescent="0.25">
      <c r="A86" s="2" t="s">
        <v>23</v>
      </c>
      <c r="B86" s="2">
        <v>1500</v>
      </c>
      <c r="C86" s="2">
        <v>2</v>
      </c>
      <c r="D86" s="2" t="s">
        <v>29</v>
      </c>
      <c r="E86" s="3">
        <v>44441</v>
      </c>
      <c r="F86" s="2" t="s">
        <v>525</v>
      </c>
      <c r="G86" s="2" t="s">
        <v>113</v>
      </c>
      <c r="H86" s="2" t="s">
        <v>44</v>
      </c>
      <c r="I86" s="4">
        <v>24000</v>
      </c>
    </row>
    <row r="87" spans="1:9" x14ac:dyDescent="0.25">
      <c r="A87" s="2" t="s">
        <v>24</v>
      </c>
      <c r="B87" s="2">
        <v>2000</v>
      </c>
      <c r="C87" s="2">
        <v>2</v>
      </c>
      <c r="D87" s="2" t="s">
        <v>31</v>
      </c>
      <c r="E87" s="3">
        <v>44411</v>
      </c>
      <c r="F87" s="2" t="s">
        <v>56</v>
      </c>
      <c r="G87" s="2" t="s">
        <v>138</v>
      </c>
      <c r="H87" s="2" t="s">
        <v>44</v>
      </c>
      <c r="I87" s="4">
        <v>26742</v>
      </c>
    </row>
    <row r="88" spans="1:9" x14ac:dyDescent="0.25">
      <c r="A88" s="2" t="s">
        <v>25</v>
      </c>
      <c r="B88" s="2">
        <v>2500</v>
      </c>
      <c r="C88" s="2">
        <v>3</v>
      </c>
      <c r="D88" s="2" t="s">
        <v>30</v>
      </c>
      <c r="E88" s="3">
        <v>44392</v>
      </c>
      <c r="F88" s="2" t="s">
        <v>58</v>
      </c>
      <c r="G88" s="2" t="s">
        <v>59</v>
      </c>
      <c r="H88" s="2" t="s">
        <v>49</v>
      </c>
      <c r="I88" s="4">
        <v>23712</v>
      </c>
    </row>
    <row r="89" spans="1:9" x14ac:dyDescent="0.25">
      <c r="A89" s="2" t="s">
        <v>26</v>
      </c>
      <c r="B89" s="2">
        <v>1100</v>
      </c>
      <c r="C89" s="2">
        <v>1</v>
      </c>
      <c r="D89" s="2" t="s">
        <v>39</v>
      </c>
      <c r="E89" s="3">
        <v>44198</v>
      </c>
      <c r="F89" s="2" t="s">
        <v>187</v>
      </c>
      <c r="G89" s="2" t="s">
        <v>156</v>
      </c>
      <c r="H89" s="2" t="s">
        <v>49</v>
      </c>
      <c r="I89" s="4">
        <v>21926</v>
      </c>
    </row>
    <row r="90" spans="1:9" x14ac:dyDescent="0.25">
      <c r="A90" s="2" t="s">
        <v>14</v>
      </c>
      <c r="B90" s="2">
        <v>2000</v>
      </c>
      <c r="C90" s="2">
        <v>4</v>
      </c>
      <c r="D90" s="2" t="s">
        <v>36</v>
      </c>
      <c r="E90" s="3">
        <v>44412</v>
      </c>
      <c r="F90" s="2" t="s">
        <v>120</v>
      </c>
      <c r="G90" s="2" t="s">
        <v>171</v>
      </c>
      <c r="H90" s="2" t="s">
        <v>44</v>
      </c>
      <c r="I90" s="4">
        <v>26810</v>
      </c>
    </row>
    <row r="91" spans="1:9" x14ac:dyDescent="0.25">
      <c r="A91" s="2" t="s">
        <v>6</v>
      </c>
      <c r="B91" s="2">
        <v>1200</v>
      </c>
      <c r="C91" s="2">
        <v>5</v>
      </c>
      <c r="D91" s="2" t="s">
        <v>39</v>
      </c>
      <c r="E91" s="3">
        <v>44373</v>
      </c>
      <c r="F91" s="2" t="s">
        <v>155</v>
      </c>
      <c r="G91" s="2" t="s">
        <v>459</v>
      </c>
      <c r="H91" s="2" t="s">
        <v>44</v>
      </c>
      <c r="I91" s="4">
        <v>21339</v>
      </c>
    </row>
    <row r="92" spans="1:9" x14ac:dyDescent="0.25">
      <c r="A92" s="2" t="s">
        <v>11</v>
      </c>
      <c r="B92" s="2">
        <v>4500</v>
      </c>
      <c r="C92" s="2">
        <v>1</v>
      </c>
      <c r="D92" s="2" t="s">
        <v>35</v>
      </c>
      <c r="E92" s="3">
        <v>44543</v>
      </c>
      <c r="F92" s="2" t="s">
        <v>402</v>
      </c>
      <c r="G92" s="2" t="s">
        <v>292</v>
      </c>
      <c r="H92" s="2" t="s">
        <v>49</v>
      </c>
      <c r="I92" s="4">
        <v>24715</v>
      </c>
    </row>
    <row r="93" spans="1:9" x14ac:dyDescent="0.25">
      <c r="A93" s="2" t="s">
        <v>6</v>
      </c>
      <c r="B93" s="2">
        <v>1200</v>
      </c>
      <c r="C93" s="2">
        <v>2</v>
      </c>
      <c r="D93" s="2" t="s">
        <v>29</v>
      </c>
      <c r="E93" s="3">
        <v>44395</v>
      </c>
      <c r="F93" s="2" t="s">
        <v>211</v>
      </c>
      <c r="G93" s="2" t="s">
        <v>212</v>
      </c>
      <c r="H93" s="2" t="s">
        <v>49</v>
      </c>
      <c r="I93" s="4">
        <v>25413</v>
      </c>
    </row>
    <row r="94" spans="1:9" x14ac:dyDescent="0.25">
      <c r="A94" s="2" t="s">
        <v>17</v>
      </c>
      <c r="B94" s="2">
        <v>1550</v>
      </c>
      <c r="C94" s="2">
        <v>4</v>
      </c>
      <c r="D94" s="2" t="s">
        <v>35</v>
      </c>
      <c r="E94" s="3">
        <v>44248</v>
      </c>
      <c r="F94" s="2" t="s">
        <v>401</v>
      </c>
      <c r="G94" s="2" t="s">
        <v>222</v>
      </c>
      <c r="H94" s="2" t="s">
        <v>49</v>
      </c>
      <c r="I94" s="4">
        <v>35962</v>
      </c>
    </row>
    <row r="95" spans="1:9" x14ac:dyDescent="0.25">
      <c r="A95" s="2" t="s">
        <v>8</v>
      </c>
      <c r="B95" s="2">
        <v>5500</v>
      </c>
      <c r="C95" s="2">
        <v>2</v>
      </c>
      <c r="D95" s="2" t="s">
        <v>37</v>
      </c>
      <c r="E95" s="3">
        <v>44273</v>
      </c>
      <c r="F95" s="2" t="s">
        <v>109</v>
      </c>
      <c r="G95" s="2" t="s">
        <v>143</v>
      </c>
      <c r="H95" s="2" t="s">
        <v>44</v>
      </c>
      <c r="I95" s="4">
        <v>28358</v>
      </c>
    </row>
    <row r="96" spans="1:9" x14ac:dyDescent="0.25">
      <c r="A96" s="2" t="s">
        <v>13</v>
      </c>
      <c r="B96" s="2">
        <v>2300</v>
      </c>
      <c r="C96" s="2">
        <v>5</v>
      </c>
      <c r="D96" s="2" t="s">
        <v>36</v>
      </c>
      <c r="E96" s="3">
        <v>44240</v>
      </c>
      <c r="F96" s="2" t="s">
        <v>318</v>
      </c>
      <c r="G96" s="2" t="s">
        <v>273</v>
      </c>
      <c r="H96" s="2" t="s">
        <v>44</v>
      </c>
      <c r="I96" s="4">
        <v>31188</v>
      </c>
    </row>
    <row r="97" spans="1:9" x14ac:dyDescent="0.25">
      <c r="A97" s="2" t="s">
        <v>20</v>
      </c>
      <c r="B97" s="2">
        <v>2600</v>
      </c>
      <c r="C97" s="2">
        <v>4</v>
      </c>
      <c r="D97" s="2" t="s">
        <v>40</v>
      </c>
      <c r="E97" s="3">
        <v>44464</v>
      </c>
      <c r="F97" s="2" t="s">
        <v>120</v>
      </c>
      <c r="G97" s="2" t="s">
        <v>493</v>
      </c>
      <c r="H97" s="2" t="s">
        <v>44</v>
      </c>
      <c r="I97" s="4">
        <v>32642</v>
      </c>
    </row>
    <row r="98" spans="1:9" x14ac:dyDescent="0.25">
      <c r="A98" s="2" t="s">
        <v>14</v>
      </c>
      <c r="B98" s="2">
        <v>2000</v>
      </c>
      <c r="C98" s="2">
        <v>4</v>
      </c>
      <c r="D98" s="2" t="s">
        <v>38</v>
      </c>
      <c r="E98" s="3">
        <v>44443</v>
      </c>
      <c r="F98" s="2" t="s">
        <v>51</v>
      </c>
      <c r="G98" s="2" t="s">
        <v>412</v>
      </c>
      <c r="H98" s="2" t="s">
        <v>44</v>
      </c>
      <c r="I98" s="4">
        <v>32482</v>
      </c>
    </row>
    <row r="99" spans="1:9" x14ac:dyDescent="0.25">
      <c r="A99" s="2" t="s">
        <v>27</v>
      </c>
      <c r="B99" s="2">
        <v>1500</v>
      </c>
      <c r="C99" s="2">
        <v>1</v>
      </c>
      <c r="D99" s="2" t="s">
        <v>37</v>
      </c>
      <c r="E99" s="3">
        <v>44553</v>
      </c>
      <c r="F99" s="2" t="s">
        <v>111</v>
      </c>
      <c r="G99" s="2" t="s">
        <v>113</v>
      </c>
      <c r="H99" s="2" t="s">
        <v>44</v>
      </c>
      <c r="I99" s="4">
        <v>31244</v>
      </c>
    </row>
    <row r="100" spans="1:9" x14ac:dyDescent="0.25">
      <c r="A100" s="2" t="s">
        <v>17</v>
      </c>
      <c r="B100" s="2">
        <v>1550</v>
      </c>
      <c r="C100" s="2">
        <v>4</v>
      </c>
      <c r="D100" s="2" t="s">
        <v>38</v>
      </c>
      <c r="E100" s="3">
        <v>44316</v>
      </c>
      <c r="F100" s="2" t="s">
        <v>137</v>
      </c>
      <c r="G100" s="2" t="s">
        <v>496</v>
      </c>
      <c r="H100" s="2" t="s">
        <v>49</v>
      </c>
      <c r="I100" s="4">
        <v>28582</v>
      </c>
    </row>
    <row r="101" spans="1:9" x14ac:dyDescent="0.25">
      <c r="A101" s="2" t="s">
        <v>24</v>
      </c>
      <c r="B101" s="2">
        <v>2000</v>
      </c>
      <c r="C101" s="2">
        <v>4</v>
      </c>
      <c r="D101" s="2" t="s">
        <v>38</v>
      </c>
      <c r="E101" s="3">
        <v>44402</v>
      </c>
      <c r="F101" s="2" t="s">
        <v>361</v>
      </c>
      <c r="G101" s="2" t="s">
        <v>203</v>
      </c>
      <c r="H101" s="2" t="s">
        <v>49</v>
      </c>
      <c r="I101" s="4">
        <v>36075</v>
      </c>
    </row>
    <row r="102" spans="1:9" x14ac:dyDescent="0.25">
      <c r="A102" s="2" t="s">
        <v>28</v>
      </c>
      <c r="B102" s="2">
        <v>1400</v>
      </c>
      <c r="C102" s="2">
        <v>2</v>
      </c>
      <c r="D102" s="2" t="s">
        <v>41</v>
      </c>
      <c r="E102" s="3">
        <v>44348</v>
      </c>
      <c r="F102" s="2" t="s">
        <v>259</v>
      </c>
      <c r="G102" s="2" t="s">
        <v>198</v>
      </c>
      <c r="H102" s="2" t="s">
        <v>49</v>
      </c>
      <c r="I102" s="4">
        <v>28063</v>
      </c>
    </row>
    <row r="103" spans="1:9" x14ac:dyDescent="0.25">
      <c r="A103" s="2" t="s">
        <v>23</v>
      </c>
      <c r="B103" s="2">
        <v>1500</v>
      </c>
      <c r="C103" s="2">
        <v>2</v>
      </c>
      <c r="D103" s="2" t="s">
        <v>33</v>
      </c>
      <c r="E103" s="3">
        <v>44476</v>
      </c>
      <c r="F103" s="2" t="s">
        <v>114</v>
      </c>
      <c r="G103" s="2" t="s">
        <v>115</v>
      </c>
      <c r="H103" s="2" t="s">
        <v>49</v>
      </c>
      <c r="I103" s="4">
        <v>22232</v>
      </c>
    </row>
    <row r="104" spans="1:9" x14ac:dyDescent="0.25">
      <c r="A104" s="2" t="s">
        <v>15</v>
      </c>
      <c r="B104" s="2">
        <v>1900</v>
      </c>
      <c r="C104" s="2">
        <v>2</v>
      </c>
      <c r="D104" s="2" t="s">
        <v>36</v>
      </c>
      <c r="E104" s="3">
        <v>44463</v>
      </c>
      <c r="F104" s="2" t="s">
        <v>328</v>
      </c>
      <c r="G104" s="2" t="s">
        <v>430</v>
      </c>
      <c r="H104" s="2" t="s">
        <v>49</v>
      </c>
      <c r="I104" s="4">
        <v>34792</v>
      </c>
    </row>
    <row r="105" spans="1:9" x14ac:dyDescent="0.25">
      <c r="A105" s="2" t="s">
        <v>15</v>
      </c>
      <c r="B105" s="2">
        <v>1900</v>
      </c>
      <c r="C105" s="2">
        <v>5</v>
      </c>
      <c r="D105" s="2" t="s">
        <v>40</v>
      </c>
      <c r="E105" s="3">
        <v>44533</v>
      </c>
      <c r="F105" s="2" t="s">
        <v>190</v>
      </c>
      <c r="G105" s="2" t="s">
        <v>238</v>
      </c>
      <c r="H105" s="2" t="s">
        <v>44</v>
      </c>
      <c r="I105" s="4">
        <v>25439</v>
      </c>
    </row>
    <row r="106" spans="1:9" x14ac:dyDescent="0.25">
      <c r="A106" s="2" t="s">
        <v>11</v>
      </c>
      <c r="B106" s="2">
        <v>4500</v>
      </c>
      <c r="C106" s="2">
        <v>1</v>
      </c>
      <c r="D106" s="2" t="s">
        <v>40</v>
      </c>
      <c r="E106" s="3">
        <v>44433</v>
      </c>
      <c r="F106" s="2" t="s">
        <v>129</v>
      </c>
      <c r="G106" s="2" t="s">
        <v>273</v>
      </c>
      <c r="H106" s="2" t="s">
        <v>49</v>
      </c>
      <c r="I106" s="4">
        <v>25858</v>
      </c>
    </row>
    <row r="107" spans="1:9" x14ac:dyDescent="0.25">
      <c r="A107" s="2" t="s">
        <v>12</v>
      </c>
      <c r="B107" s="2">
        <v>6500</v>
      </c>
      <c r="C107" s="2">
        <v>4</v>
      </c>
      <c r="D107" s="2" t="s">
        <v>32</v>
      </c>
      <c r="E107" s="3">
        <v>44341</v>
      </c>
      <c r="F107" s="2" t="s">
        <v>301</v>
      </c>
      <c r="G107" s="2" t="s">
        <v>523</v>
      </c>
      <c r="H107" s="2" t="s">
        <v>49</v>
      </c>
      <c r="I107" s="4">
        <v>34144</v>
      </c>
    </row>
    <row r="108" spans="1:9" x14ac:dyDescent="0.25">
      <c r="A108" s="2" t="s">
        <v>15</v>
      </c>
      <c r="B108" s="2">
        <v>1900</v>
      </c>
      <c r="C108" s="2">
        <v>3</v>
      </c>
      <c r="D108" s="2" t="s">
        <v>37</v>
      </c>
      <c r="E108" s="3">
        <v>44331</v>
      </c>
      <c r="F108" s="2" t="s">
        <v>45</v>
      </c>
      <c r="G108" s="2" t="s">
        <v>77</v>
      </c>
      <c r="H108" s="2" t="s">
        <v>44</v>
      </c>
      <c r="I108" s="4">
        <v>20940</v>
      </c>
    </row>
    <row r="109" spans="1:9" x14ac:dyDescent="0.25">
      <c r="A109" s="2" t="s">
        <v>6</v>
      </c>
      <c r="B109" s="2">
        <v>1200</v>
      </c>
      <c r="C109" s="2">
        <v>1</v>
      </c>
      <c r="D109" s="2" t="s">
        <v>29</v>
      </c>
      <c r="E109" s="3">
        <v>44281</v>
      </c>
      <c r="F109" s="2" t="s">
        <v>170</v>
      </c>
      <c r="G109" s="2" t="s">
        <v>171</v>
      </c>
      <c r="H109" s="2" t="s">
        <v>44</v>
      </c>
      <c r="I109" s="4">
        <v>35490</v>
      </c>
    </row>
    <row r="110" spans="1:9" x14ac:dyDescent="0.25">
      <c r="A110" s="2" t="s">
        <v>14</v>
      </c>
      <c r="B110" s="2">
        <v>2000</v>
      </c>
      <c r="C110" s="2">
        <v>4</v>
      </c>
      <c r="D110" s="2" t="s">
        <v>29</v>
      </c>
      <c r="E110" s="3">
        <v>44548</v>
      </c>
      <c r="F110" s="2" t="s">
        <v>155</v>
      </c>
      <c r="G110" s="2" t="s">
        <v>230</v>
      </c>
      <c r="H110" s="2" t="s">
        <v>44</v>
      </c>
      <c r="I110" s="4">
        <v>22868</v>
      </c>
    </row>
    <row r="111" spans="1:9" x14ac:dyDescent="0.25">
      <c r="A111" s="2" t="s">
        <v>21</v>
      </c>
      <c r="B111" s="2">
        <v>2400</v>
      </c>
      <c r="C111" s="2">
        <v>3</v>
      </c>
      <c r="D111" s="2" t="s">
        <v>38</v>
      </c>
      <c r="E111" s="3">
        <v>44281</v>
      </c>
      <c r="F111" s="2" t="s">
        <v>225</v>
      </c>
      <c r="G111" s="2" t="s">
        <v>86</v>
      </c>
      <c r="H111" s="2" t="s">
        <v>44</v>
      </c>
      <c r="I111" s="4">
        <v>32654</v>
      </c>
    </row>
    <row r="112" spans="1:9" x14ac:dyDescent="0.25">
      <c r="A112" s="2" t="s">
        <v>8</v>
      </c>
      <c r="B112" s="2">
        <v>5500</v>
      </c>
      <c r="C112" s="2">
        <v>4</v>
      </c>
      <c r="D112" s="2" t="s">
        <v>29</v>
      </c>
      <c r="E112" s="3">
        <v>44307</v>
      </c>
      <c r="F112" s="2" t="s">
        <v>142</v>
      </c>
      <c r="G112" s="2" t="s">
        <v>389</v>
      </c>
      <c r="H112" s="2" t="s">
        <v>49</v>
      </c>
      <c r="I112" s="4">
        <v>26911</v>
      </c>
    </row>
    <row r="113" spans="1:9" x14ac:dyDescent="0.25">
      <c r="A113" s="2" t="s">
        <v>9</v>
      </c>
      <c r="B113" s="2">
        <v>1500</v>
      </c>
      <c r="C113" s="2">
        <v>2</v>
      </c>
      <c r="D113" s="2" t="s">
        <v>36</v>
      </c>
      <c r="E113" s="3">
        <v>44394</v>
      </c>
      <c r="F113" s="2" t="s">
        <v>233</v>
      </c>
      <c r="G113" s="2" t="s">
        <v>93</v>
      </c>
      <c r="H113" s="2" t="s">
        <v>49</v>
      </c>
      <c r="I113" s="4">
        <v>18972</v>
      </c>
    </row>
    <row r="114" spans="1:9" x14ac:dyDescent="0.25">
      <c r="A114" s="2" t="s">
        <v>26</v>
      </c>
      <c r="B114" s="2">
        <v>1100</v>
      </c>
      <c r="C114" s="2">
        <v>5</v>
      </c>
      <c r="D114" s="2" t="s">
        <v>29</v>
      </c>
      <c r="E114" s="3">
        <v>44197</v>
      </c>
      <c r="F114" s="2" t="s">
        <v>356</v>
      </c>
      <c r="G114" s="2" t="s">
        <v>357</v>
      </c>
      <c r="H114" s="2" t="s">
        <v>49</v>
      </c>
      <c r="I114" s="4">
        <v>26402</v>
      </c>
    </row>
    <row r="115" spans="1:9" x14ac:dyDescent="0.25">
      <c r="A115" s="2" t="s">
        <v>18</v>
      </c>
      <c r="B115" s="2">
        <v>3000</v>
      </c>
      <c r="C115" s="2">
        <v>1</v>
      </c>
      <c r="D115" s="2" t="s">
        <v>38</v>
      </c>
      <c r="E115" s="3">
        <v>44556</v>
      </c>
      <c r="F115" s="2" t="s">
        <v>444</v>
      </c>
      <c r="G115" s="2" t="s">
        <v>322</v>
      </c>
      <c r="H115" s="2" t="s">
        <v>49</v>
      </c>
      <c r="I115" s="4">
        <v>32337</v>
      </c>
    </row>
    <row r="116" spans="1:9" x14ac:dyDescent="0.25">
      <c r="A116" s="2" t="s">
        <v>22</v>
      </c>
      <c r="B116" s="2">
        <v>5200</v>
      </c>
      <c r="C116" s="2">
        <v>3</v>
      </c>
      <c r="D116" s="2" t="s">
        <v>36</v>
      </c>
      <c r="E116" s="3">
        <v>44244</v>
      </c>
      <c r="F116" s="2" t="s">
        <v>257</v>
      </c>
      <c r="G116" s="2" t="s">
        <v>273</v>
      </c>
      <c r="H116" s="2" t="s">
        <v>44</v>
      </c>
      <c r="I116" s="4">
        <v>24203</v>
      </c>
    </row>
    <row r="117" spans="1:9" x14ac:dyDescent="0.25">
      <c r="A117" s="2" t="s">
        <v>24</v>
      </c>
      <c r="B117" s="2">
        <v>2000</v>
      </c>
      <c r="C117" s="2">
        <v>5</v>
      </c>
      <c r="D117" s="2" t="s">
        <v>31</v>
      </c>
      <c r="E117" s="3">
        <v>44321</v>
      </c>
      <c r="F117" s="2" t="s">
        <v>66</v>
      </c>
      <c r="G117" s="2" t="s">
        <v>238</v>
      </c>
      <c r="H117" s="2" t="s">
        <v>44</v>
      </c>
      <c r="I117" s="4">
        <v>31319</v>
      </c>
    </row>
    <row r="118" spans="1:9" x14ac:dyDescent="0.25">
      <c r="A118" s="2" t="s">
        <v>17</v>
      </c>
      <c r="B118" s="2">
        <v>1550</v>
      </c>
      <c r="C118" s="2">
        <v>2</v>
      </c>
      <c r="D118" s="2" t="s">
        <v>39</v>
      </c>
      <c r="E118" s="3">
        <v>44258</v>
      </c>
      <c r="F118" s="2" t="s">
        <v>42</v>
      </c>
      <c r="G118" s="2" t="s">
        <v>143</v>
      </c>
      <c r="H118" s="2" t="s">
        <v>44</v>
      </c>
      <c r="I118" s="4">
        <v>22359</v>
      </c>
    </row>
    <row r="119" spans="1:9" x14ac:dyDescent="0.25">
      <c r="A119" s="2" t="s">
        <v>13</v>
      </c>
      <c r="B119" s="2">
        <v>2300</v>
      </c>
      <c r="C119" s="2">
        <v>2</v>
      </c>
      <c r="D119" s="2" t="s">
        <v>40</v>
      </c>
      <c r="E119" s="3">
        <v>44298</v>
      </c>
      <c r="F119" s="2" t="s">
        <v>392</v>
      </c>
      <c r="G119" s="2" t="s">
        <v>393</v>
      </c>
      <c r="H119" s="2" t="s">
        <v>49</v>
      </c>
      <c r="I119" s="4">
        <v>31041</v>
      </c>
    </row>
    <row r="120" spans="1:9" x14ac:dyDescent="0.25">
      <c r="A120" s="2" t="s">
        <v>25</v>
      </c>
      <c r="B120" s="2">
        <v>2500</v>
      </c>
      <c r="C120" s="2">
        <v>3</v>
      </c>
      <c r="D120" s="2" t="s">
        <v>35</v>
      </c>
      <c r="E120" s="3">
        <v>44204</v>
      </c>
      <c r="F120" s="2" t="s">
        <v>204</v>
      </c>
      <c r="G120" s="2" t="s">
        <v>203</v>
      </c>
      <c r="H120" s="2" t="s">
        <v>49</v>
      </c>
      <c r="I120" s="4">
        <v>29783</v>
      </c>
    </row>
    <row r="121" spans="1:9" x14ac:dyDescent="0.25">
      <c r="A121" s="2" t="s">
        <v>23</v>
      </c>
      <c r="B121" s="2">
        <v>1500</v>
      </c>
      <c r="C121" s="2">
        <v>5</v>
      </c>
      <c r="D121" s="2" t="s">
        <v>39</v>
      </c>
      <c r="E121" s="3">
        <v>44421</v>
      </c>
      <c r="F121" s="2" t="s">
        <v>60</v>
      </c>
      <c r="G121" s="2" t="s">
        <v>75</v>
      </c>
      <c r="H121" s="2" t="s">
        <v>49</v>
      </c>
      <c r="I121" s="4">
        <v>18664</v>
      </c>
    </row>
    <row r="122" spans="1:9" x14ac:dyDescent="0.25">
      <c r="A122" s="2" t="s">
        <v>16</v>
      </c>
      <c r="B122" s="2">
        <v>1400</v>
      </c>
      <c r="C122" s="2">
        <v>4</v>
      </c>
      <c r="D122" s="2" t="s">
        <v>33</v>
      </c>
      <c r="E122" s="3">
        <v>44225</v>
      </c>
      <c r="F122" s="2" t="s">
        <v>399</v>
      </c>
      <c r="G122" s="2" t="s">
        <v>451</v>
      </c>
      <c r="H122" s="2" t="s">
        <v>44</v>
      </c>
      <c r="I122" s="4">
        <v>28614</v>
      </c>
    </row>
    <row r="123" spans="1:9" x14ac:dyDescent="0.25">
      <c r="A123" s="2" t="s">
        <v>23</v>
      </c>
      <c r="B123" s="2">
        <v>1500</v>
      </c>
      <c r="C123" s="2">
        <v>4</v>
      </c>
      <c r="D123" s="2" t="s">
        <v>34</v>
      </c>
      <c r="E123" s="3">
        <v>44497</v>
      </c>
      <c r="F123" s="2" t="s">
        <v>211</v>
      </c>
      <c r="G123" s="2" t="s">
        <v>149</v>
      </c>
      <c r="H123" s="2" t="s">
        <v>49</v>
      </c>
      <c r="I123" s="4">
        <v>36603</v>
      </c>
    </row>
    <row r="124" spans="1:9" x14ac:dyDescent="0.25">
      <c r="A124" s="2" t="s">
        <v>7</v>
      </c>
      <c r="B124" s="2">
        <v>750</v>
      </c>
      <c r="C124" s="2">
        <v>5</v>
      </c>
      <c r="D124" s="2" t="s">
        <v>37</v>
      </c>
      <c r="E124" s="3">
        <v>44311</v>
      </c>
      <c r="F124" s="2" t="s">
        <v>347</v>
      </c>
      <c r="G124" s="2" t="s">
        <v>348</v>
      </c>
      <c r="H124" s="2" t="s">
        <v>49</v>
      </c>
      <c r="I124" s="4">
        <v>28339</v>
      </c>
    </row>
    <row r="125" spans="1:9" x14ac:dyDescent="0.25">
      <c r="A125" s="2" t="s">
        <v>9</v>
      </c>
      <c r="B125" s="2">
        <v>1500</v>
      </c>
      <c r="C125" s="2">
        <v>1</v>
      </c>
      <c r="D125" s="2" t="s">
        <v>30</v>
      </c>
      <c r="E125" s="3">
        <v>44388</v>
      </c>
      <c r="F125" s="2" t="s">
        <v>350</v>
      </c>
      <c r="G125" s="2" t="s">
        <v>83</v>
      </c>
      <c r="H125" s="2" t="s">
        <v>44</v>
      </c>
      <c r="I125" s="4">
        <v>21130</v>
      </c>
    </row>
    <row r="126" spans="1:9" x14ac:dyDescent="0.25">
      <c r="A126" s="2" t="s">
        <v>21</v>
      </c>
      <c r="B126" s="2">
        <v>2400</v>
      </c>
      <c r="C126" s="2">
        <v>2</v>
      </c>
      <c r="D126" s="2" t="s">
        <v>36</v>
      </c>
      <c r="E126" s="3">
        <v>44303</v>
      </c>
      <c r="F126" s="2" t="s">
        <v>78</v>
      </c>
      <c r="G126" s="2" t="s">
        <v>429</v>
      </c>
      <c r="H126" s="2" t="s">
        <v>49</v>
      </c>
      <c r="I126" s="4">
        <v>21181</v>
      </c>
    </row>
    <row r="127" spans="1:9" x14ac:dyDescent="0.25">
      <c r="A127" s="2" t="s">
        <v>5</v>
      </c>
      <c r="B127" s="2">
        <v>1750</v>
      </c>
      <c r="C127" s="2">
        <v>1</v>
      </c>
      <c r="D127" s="2" t="s">
        <v>29</v>
      </c>
      <c r="E127" s="3">
        <v>44256</v>
      </c>
      <c r="F127" s="2" t="s">
        <v>98</v>
      </c>
      <c r="G127" s="2" t="s">
        <v>511</v>
      </c>
      <c r="H127" s="2" t="s">
        <v>44</v>
      </c>
      <c r="I127" s="4">
        <v>30253</v>
      </c>
    </row>
    <row r="128" spans="1:9" x14ac:dyDescent="0.25">
      <c r="A128" s="2" t="s">
        <v>22</v>
      </c>
      <c r="B128" s="2">
        <v>5200</v>
      </c>
      <c r="C128" s="2">
        <v>3</v>
      </c>
      <c r="D128" s="2" t="s">
        <v>40</v>
      </c>
      <c r="E128" s="3">
        <v>44383</v>
      </c>
      <c r="F128" s="2" t="s">
        <v>551</v>
      </c>
      <c r="G128" s="2" t="s">
        <v>526</v>
      </c>
      <c r="H128" s="2" t="s">
        <v>44</v>
      </c>
      <c r="I128" s="4">
        <v>34549</v>
      </c>
    </row>
    <row r="129" spans="1:9" x14ac:dyDescent="0.25">
      <c r="A129" s="2" t="s">
        <v>25</v>
      </c>
      <c r="B129" s="2">
        <v>2500</v>
      </c>
      <c r="C129" s="2">
        <v>2</v>
      </c>
      <c r="D129" s="2" t="s">
        <v>31</v>
      </c>
      <c r="E129" s="3">
        <v>44386</v>
      </c>
      <c r="F129" s="2" t="s">
        <v>270</v>
      </c>
      <c r="G129" s="2" t="s">
        <v>63</v>
      </c>
      <c r="H129" s="2" t="s">
        <v>44</v>
      </c>
      <c r="I129" s="4">
        <v>32206</v>
      </c>
    </row>
    <row r="130" spans="1:9" x14ac:dyDescent="0.25">
      <c r="A130" s="2" t="s">
        <v>7</v>
      </c>
      <c r="B130" s="2">
        <v>750</v>
      </c>
      <c r="C130" s="2">
        <v>3</v>
      </c>
      <c r="D130" s="2" t="s">
        <v>38</v>
      </c>
      <c r="E130" s="3">
        <v>44227</v>
      </c>
      <c r="F130" s="2" t="s">
        <v>177</v>
      </c>
      <c r="G130" s="2" t="s">
        <v>178</v>
      </c>
      <c r="H130" s="2" t="s">
        <v>49</v>
      </c>
      <c r="I130" s="4">
        <v>33080</v>
      </c>
    </row>
    <row r="131" spans="1:9" x14ac:dyDescent="0.25">
      <c r="A131" s="2" t="s">
        <v>15</v>
      </c>
      <c r="B131" s="2">
        <v>1900</v>
      </c>
      <c r="C131" s="2">
        <v>5</v>
      </c>
      <c r="D131" s="2" t="s">
        <v>32</v>
      </c>
      <c r="E131" s="3">
        <v>44366</v>
      </c>
      <c r="F131" s="2" t="s">
        <v>293</v>
      </c>
      <c r="G131" s="2" t="s">
        <v>55</v>
      </c>
      <c r="H131" s="2" t="s">
        <v>49</v>
      </c>
      <c r="I131" s="4">
        <v>27381</v>
      </c>
    </row>
    <row r="132" spans="1:9" x14ac:dyDescent="0.25">
      <c r="A132" s="2" t="s">
        <v>9</v>
      </c>
      <c r="B132" s="2">
        <v>1500</v>
      </c>
      <c r="C132" s="2">
        <v>3</v>
      </c>
      <c r="D132" s="2" t="s">
        <v>30</v>
      </c>
      <c r="E132" s="3">
        <v>44471</v>
      </c>
      <c r="F132" s="2" t="s">
        <v>120</v>
      </c>
      <c r="G132" s="2" t="s">
        <v>549</v>
      </c>
      <c r="H132" s="2" t="s">
        <v>44</v>
      </c>
      <c r="I132" s="4">
        <v>21751</v>
      </c>
    </row>
    <row r="133" spans="1:9" x14ac:dyDescent="0.25">
      <c r="A133" s="2" t="s">
        <v>12</v>
      </c>
      <c r="B133" s="2">
        <v>6500</v>
      </c>
      <c r="C133" s="2">
        <v>3</v>
      </c>
      <c r="D133" s="2" t="s">
        <v>34</v>
      </c>
      <c r="E133" s="3">
        <v>44414</v>
      </c>
      <c r="F133" s="2" t="s">
        <v>98</v>
      </c>
      <c r="G133" s="2" t="s">
        <v>619</v>
      </c>
      <c r="H133" s="2" t="s">
        <v>44</v>
      </c>
      <c r="I133" s="4">
        <v>26250</v>
      </c>
    </row>
    <row r="134" spans="1:9" x14ac:dyDescent="0.25">
      <c r="A134" s="2" t="s">
        <v>25</v>
      </c>
      <c r="B134" s="2">
        <v>2500</v>
      </c>
      <c r="C134" s="2">
        <v>1</v>
      </c>
      <c r="D134" s="2" t="s">
        <v>31</v>
      </c>
      <c r="E134" s="3">
        <v>44402</v>
      </c>
      <c r="F134" s="2" t="s">
        <v>173</v>
      </c>
      <c r="G134" s="2" t="s">
        <v>99</v>
      </c>
      <c r="H134" s="2" t="s">
        <v>44</v>
      </c>
      <c r="I134" s="4">
        <v>19280</v>
      </c>
    </row>
    <row r="135" spans="1:9" x14ac:dyDescent="0.25">
      <c r="A135" s="2" t="s">
        <v>28</v>
      </c>
      <c r="B135" s="2">
        <v>1400</v>
      </c>
      <c r="C135" s="2">
        <v>4</v>
      </c>
      <c r="D135" s="2" t="s">
        <v>41</v>
      </c>
      <c r="E135" s="3">
        <v>44257</v>
      </c>
      <c r="F135" s="2" t="s">
        <v>70</v>
      </c>
      <c r="G135" s="2" t="s">
        <v>378</v>
      </c>
      <c r="H135" s="2" t="s">
        <v>44</v>
      </c>
      <c r="I135" s="4">
        <v>25605</v>
      </c>
    </row>
    <row r="136" spans="1:9" x14ac:dyDescent="0.25">
      <c r="A136" s="2" t="s">
        <v>6</v>
      </c>
      <c r="B136" s="2">
        <v>1200</v>
      </c>
      <c r="C136" s="2">
        <v>2</v>
      </c>
      <c r="D136" s="2" t="s">
        <v>40</v>
      </c>
      <c r="E136" s="3">
        <v>44377</v>
      </c>
      <c r="F136" s="2" t="s">
        <v>107</v>
      </c>
      <c r="G136" s="2" t="s">
        <v>108</v>
      </c>
      <c r="H136" s="2" t="s">
        <v>49</v>
      </c>
      <c r="I136" s="4">
        <v>32775</v>
      </c>
    </row>
    <row r="137" spans="1:9" x14ac:dyDescent="0.25">
      <c r="A137" s="2" t="s">
        <v>6</v>
      </c>
      <c r="B137" s="2">
        <v>1200</v>
      </c>
      <c r="C137" s="2">
        <v>3</v>
      </c>
      <c r="D137" s="2" t="s">
        <v>38</v>
      </c>
      <c r="E137" s="3">
        <v>44268</v>
      </c>
      <c r="F137" s="2" t="s">
        <v>140</v>
      </c>
      <c r="G137" s="2" t="s">
        <v>244</v>
      </c>
      <c r="H137" s="2" t="s">
        <v>49</v>
      </c>
      <c r="I137" s="4">
        <v>18491</v>
      </c>
    </row>
    <row r="138" spans="1:9" x14ac:dyDescent="0.25">
      <c r="A138" s="2" t="s">
        <v>11</v>
      </c>
      <c r="B138" s="2">
        <v>4500</v>
      </c>
      <c r="C138" s="2">
        <v>2</v>
      </c>
      <c r="D138" s="2" t="s">
        <v>34</v>
      </c>
      <c r="E138" s="3">
        <v>44549</v>
      </c>
      <c r="F138" s="2" t="s">
        <v>153</v>
      </c>
      <c r="G138" s="2" t="s">
        <v>154</v>
      </c>
      <c r="H138" s="2" t="s">
        <v>44</v>
      </c>
      <c r="I138" s="4">
        <v>30459</v>
      </c>
    </row>
    <row r="139" spans="1:9" x14ac:dyDescent="0.25">
      <c r="A139" s="2" t="s">
        <v>15</v>
      </c>
      <c r="B139" s="2">
        <v>1900</v>
      </c>
      <c r="C139" s="2">
        <v>5</v>
      </c>
      <c r="D139" s="2" t="s">
        <v>31</v>
      </c>
      <c r="E139" s="3">
        <v>44415</v>
      </c>
      <c r="F139" s="2" t="s">
        <v>62</v>
      </c>
      <c r="G139" s="2" t="s">
        <v>63</v>
      </c>
      <c r="H139" s="2" t="s">
        <v>49</v>
      </c>
      <c r="I139" s="4">
        <v>19305</v>
      </c>
    </row>
    <row r="140" spans="1:9" x14ac:dyDescent="0.25">
      <c r="A140" s="2" t="s">
        <v>28</v>
      </c>
      <c r="B140" s="2">
        <v>1400</v>
      </c>
      <c r="C140" s="2">
        <v>2</v>
      </c>
      <c r="D140" s="2" t="s">
        <v>36</v>
      </c>
      <c r="E140" s="3">
        <v>44383</v>
      </c>
      <c r="F140" s="2" t="s">
        <v>239</v>
      </c>
      <c r="G140" s="2" t="s">
        <v>152</v>
      </c>
      <c r="H140" s="2" t="s">
        <v>49</v>
      </c>
      <c r="I140" s="4">
        <v>32841</v>
      </c>
    </row>
    <row r="141" spans="1:9" x14ac:dyDescent="0.25">
      <c r="A141" s="2" t="s">
        <v>23</v>
      </c>
      <c r="B141" s="2">
        <v>1500</v>
      </c>
      <c r="C141" s="2">
        <v>5</v>
      </c>
      <c r="D141" s="2" t="s">
        <v>35</v>
      </c>
      <c r="E141" s="3">
        <v>44322</v>
      </c>
      <c r="F141" s="2" t="s">
        <v>190</v>
      </c>
      <c r="G141" s="2" t="s">
        <v>174</v>
      </c>
      <c r="H141" s="2" t="s">
        <v>44</v>
      </c>
      <c r="I141" s="4">
        <v>22981</v>
      </c>
    </row>
    <row r="142" spans="1:9" x14ac:dyDescent="0.25">
      <c r="A142" s="2" t="s">
        <v>17</v>
      </c>
      <c r="B142" s="2">
        <v>1550</v>
      </c>
      <c r="C142" s="2">
        <v>2</v>
      </c>
      <c r="D142" s="2" t="s">
        <v>32</v>
      </c>
      <c r="E142" s="3">
        <v>44297</v>
      </c>
      <c r="F142" s="2" t="s">
        <v>390</v>
      </c>
      <c r="G142" s="2" t="s">
        <v>229</v>
      </c>
      <c r="H142" s="2" t="s">
        <v>49</v>
      </c>
      <c r="I142" s="4">
        <v>30740</v>
      </c>
    </row>
    <row r="143" spans="1:9" x14ac:dyDescent="0.25">
      <c r="A143" s="2" t="s">
        <v>26</v>
      </c>
      <c r="B143" s="2">
        <v>1100</v>
      </c>
      <c r="C143" s="2">
        <v>3</v>
      </c>
      <c r="D143" s="2" t="s">
        <v>40</v>
      </c>
      <c r="E143" s="3">
        <v>44262</v>
      </c>
      <c r="F143" s="2" t="s">
        <v>551</v>
      </c>
      <c r="G143" s="2" t="s">
        <v>526</v>
      </c>
      <c r="H143" s="2" t="s">
        <v>44</v>
      </c>
      <c r="I143" s="4">
        <v>34549</v>
      </c>
    </row>
    <row r="144" spans="1:9" x14ac:dyDescent="0.25">
      <c r="A144" s="2" t="s">
        <v>16</v>
      </c>
      <c r="B144" s="2">
        <v>1400</v>
      </c>
      <c r="C144" s="2">
        <v>4</v>
      </c>
      <c r="D144" s="2" t="s">
        <v>41</v>
      </c>
      <c r="E144" s="3">
        <v>44342</v>
      </c>
      <c r="F144" s="2" t="s">
        <v>304</v>
      </c>
      <c r="G144" s="2" t="s">
        <v>305</v>
      </c>
      <c r="H144" s="2" t="s">
        <v>44</v>
      </c>
      <c r="I144" s="4">
        <v>20289</v>
      </c>
    </row>
    <row r="145" spans="1:9" x14ac:dyDescent="0.25">
      <c r="A145" s="2" t="s">
        <v>24</v>
      </c>
      <c r="B145" s="2">
        <v>2000</v>
      </c>
      <c r="C145" s="2">
        <v>5</v>
      </c>
      <c r="D145" s="2" t="s">
        <v>29</v>
      </c>
      <c r="E145" s="3">
        <v>44537</v>
      </c>
      <c r="F145" s="2" t="s">
        <v>301</v>
      </c>
      <c r="G145" s="2" t="s">
        <v>449</v>
      </c>
      <c r="H145" s="2" t="s">
        <v>49</v>
      </c>
      <c r="I145" s="4">
        <v>33640</v>
      </c>
    </row>
    <row r="146" spans="1:9" x14ac:dyDescent="0.25">
      <c r="A146" s="2" t="s">
        <v>26</v>
      </c>
      <c r="B146" s="2">
        <v>1100</v>
      </c>
      <c r="C146" s="2">
        <v>4</v>
      </c>
      <c r="D146" s="2" t="s">
        <v>29</v>
      </c>
      <c r="E146" s="3">
        <v>44251</v>
      </c>
      <c r="F146" s="2" t="s">
        <v>426</v>
      </c>
      <c r="G146" s="2" t="s">
        <v>75</v>
      </c>
      <c r="H146" s="2" t="s">
        <v>49</v>
      </c>
      <c r="I146" s="4">
        <v>33756</v>
      </c>
    </row>
    <row r="147" spans="1:9" x14ac:dyDescent="0.25">
      <c r="A147" s="2" t="s">
        <v>15</v>
      </c>
      <c r="B147" s="2">
        <v>1900</v>
      </c>
      <c r="C147" s="2">
        <v>2</v>
      </c>
      <c r="D147" s="2" t="s">
        <v>36</v>
      </c>
      <c r="E147" s="3">
        <v>44492</v>
      </c>
      <c r="F147" s="2" t="s">
        <v>148</v>
      </c>
      <c r="G147" s="2" t="s">
        <v>322</v>
      </c>
      <c r="H147" s="2" t="s">
        <v>49</v>
      </c>
      <c r="I147" s="4">
        <v>18988</v>
      </c>
    </row>
    <row r="148" spans="1:9" x14ac:dyDescent="0.25">
      <c r="A148" s="2" t="s">
        <v>18</v>
      </c>
      <c r="B148" s="2">
        <v>3000</v>
      </c>
      <c r="C148" s="2">
        <v>2</v>
      </c>
      <c r="D148" s="2" t="s">
        <v>33</v>
      </c>
      <c r="E148" s="3">
        <v>44227</v>
      </c>
      <c r="F148" s="2" t="s">
        <v>78</v>
      </c>
      <c r="G148" s="2" t="s">
        <v>83</v>
      </c>
      <c r="H148" s="2" t="s">
        <v>49</v>
      </c>
      <c r="I148" s="4">
        <v>19821</v>
      </c>
    </row>
    <row r="149" spans="1:9" x14ac:dyDescent="0.25">
      <c r="A149" s="2" t="s">
        <v>15</v>
      </c>
      <c r="B149" s="2">
        <v>1900</v>
      </c>
      <c r="C149" s="2">
        <v>5</v>
      </c>
      <c r="D149" s="2" t="s">
        <v>29</v>
      </c>
      <c r="E149" s="3">
        <v>44426</v>
      </c>
      <c r="F149" s="2" t="s">
        <v>131</v>
      </c>
      <c r="G149" s="2" t="s">
        <v>436</v>
      </c>
      <c r="H149" s="2" t="s">
        <v>44</v>
      </c>
      <c r="I149" s="4">
        <v>28563</v>
      </c>
    </row>
    <row r="150" spans="1:9" x14ac:dyDescent="0.25">
      <c r="A150" s="2" t="s">
        <v>17</v>
      </c>
      <c r="B150" s="2">
        <v>1550</v>
      </c>
      <c r="C150" s="2">
        <v>5</v>
      </c>
      <c r="D150" s="2" t="s">
        <v>36</v>
      </c>
      <c r="E150" s="3">
        <v>44260</v>
      </c>
      <c r="F150" s="2" t="s">
        <v>66</v>
      </c>
      <c r="G150" s="2" t="s">
        <v>123</v>
      </c>
      <c r="H150" s="2" t="s">
        <v>44</v>
      </c>
      <c r="I150" s="4">
        <v>18687</v>
      </c>
    </row>
    <row r="151" spans="1:9" x14ac:dyDescent="0.25">
      <c r="A151" s="2" t="s">
        <v>12</v>
      </c>
      <c r="B151" s="2">
        <v>6500</v>
      </c>
      <c r="C151" s="2">
        <v>4</v>
      </c>
      <c r="D151" s="2" t="s">
        <v>36</v>
      </c>
      <c r="E151" s="3">
        <v>44383</v>
      </c>
      <c r="F151" s="2" t="s">
        <v>74</v>
      </c>
      <c r="G151" s="2" t="s">
        <v>169</v>
      </c>
      <c r="H151" s="2" t="s">
        <v>44</v>
      </c>
      <c r="I151" s="4">
        <v>34026</v>
      </c>
    </row>
    <row r="152" spans="1:9" x14ac:dyDescent="0.25">
      <c r="A152" s="2" t="s">
        <v>13</v>
      </c>
      <c r="B152" s="2">
        <v>2300</v>
      </c>
      <c r="C152" s="2">
        <v>4</v>
      </c>
      <c r="D152" s="2" t="s">
        <v>32</v>
      </c>
      <c r="E152" s="3">
        <v>44431</v>
      </c>
      <c r="F152" s="2" t="s">
        <v>72</v>
      </c>
      <c r="G152" s="2" t="s">
        <v>73</v>
      </c>
      <c r="H152" s="2" t="s">
        <v>49</v>
      </c>
      <c r="I152" s="4">
        <v>30167</v>
      </c>
    </row>
    <row r="153" spans="1:9" x14ac:dyDescent="0.25">
      <c r="A153" s="2" t="s">
        <v>26</v>
      </c>
      <c r="B153" s="2">
        <v>1100</v>
      </c>
      <c r="C153" s="2">
        <v>3</v>
      </c>
      <c r="D153" s="2" t="s">
        <v>34</v>
      </c>
      <c r="E153" s="3">
        <v>44512</v>
      </c>
      <c r="F153" s="2" t="s">
        <v>87</v>
      </c>
      <c r="G153" s="2" t="s">
        <v>404</v>
      </c>
      <c r="H153" s="2" t="s">
        <v>44</v>
      </c>
      <c r="I153" s="4">
        <v>23343</v>
      </c>
    </row>
    <row r="154" spans="1:9" x14ac:dyDescent="0.25">
      <c r="A154" s="2" t="s">
        <v>14</v>
      </c>
      <c r="B154" s="2">
        <v>2000</v>
      </c>
      <c r="C154" s="2">
        <v>2</v>
      </c>
      <c r="D154" s="2" t="s">
        <v>29</v>
      </c>
      <c r="E154" s="3">
        <v>44315</v>
      </c>
      <c r="F154" s="2" t="s">
        <v>118</v>
      </c>
      <c r="G154" s="2" t="s">
        <v>391</v>
      </c>
      <c r="H154" s="2" t="s">
        <v>49</v>
      </c>
      <c r="I154" s="4">
        <v>35366</v>
      </c>
    </row>
    <row r="155" spans="1:9" x14ac:dyDescent="0.25">
      <c r="A155" s="2" t="s">
        <v>13</v>
      </c>
      <c r="B155" s="2">
        <v>2300</v>
      </c>
      <c r="C155" s="2">
        <v>4</v>
      </c>
      <c r="D155" s="2" t="s">
        <v>30</v>
      </c>
      <c r="E155" s="3">
        <v>44328</v>
      </c>
      <c r="F155" s="2" t="s">
        <v>45</v>
      </c>
      <c r="G155" s="2" t="s">
        <v>46</v>
      </c>
      <c r="H155" s="2" t="s">
        <v>44</v>
      </c>
      <c r="I155" s="4">
        <v>32614</v>
      </c>
    </row>
    <row r="156" spans="1:9" x14ac:dyDescent="0.25">
      <c r="A156" s="2" t="s">
        <v>11</v>
      </c>
      <c r="B156" s="2">
        <v>4500</v>
      </c>
      <c r="C156" s="2">
        <v>5</v>
      </c>
      <c r="D156" s="2" t="s">
        <v>34</v>
      </c>
      <c r="E156" s="3">
        <v>44458</v>
      </c>
      <c r="F156" s="2" t="s">
        <v>364</v>
      </c>
      <c r="G156" s="2" t="s">
        <v>359</v>
      </c>
      <c r="H156" s="2" t="s">
        <v>44</v>
      </c>
      <c r="I156" s="4">
        <v>23330</v>
      </c>
    </row>
    <row r="157" spans="1:9" x14ac:dyDescent="0.25">
      <c r="A157" s="2" t="s">
        <v>11</v>
      </c>
      <c r="B157" s="2">
        <v>4500</v>
      </c>
      <c r="C157" s="2">
        <v>4</v>
      </c>
      <c r="D157" s="2" t="s">
        <v>37</v>
      </c>
      <c r="E157" s="3">
        <v>44339</v>
      </c>
      <c r="F157" s="2" t="s">
        <v>598</v>
      </c>
      <c r="G157" s="2" t="s">
        <v>195</v>
      </c>
      <c r="H157" s="2" t="s">
        <v>44</v>
      </c>
      <c r="I157" s="4">
        <v>23756</v>
      </c>
    </row>
    <row r="158" spans="1:9" x14ac:dyDescent="0.25">
      <c r="A158" s="2" t="s">
        <v>17</v>
      </c>
      <c r="B158" s="2">
        <v>1550</v>
      </c>
      <c r="C158" s="2">
        <v>2</v>
      </c>
      <c r="D158" s="2" t="s">
        <v>29</v>
      </c>
      <c r="E158" s="3">
        <v>44427</v>
      </c>
      <c r="F158" s="2" t="s">
        <v>256</v>
      </c>
      <c r="G158" s="2" t="s">
        <v>205</v>
      </c>
      <c r="H158" s="2" t="s">
        <v>44</v>
      </c>
      <c r="I158" s="4">
        <v>34901</v>
      </c>
    </row>
    <row r="159" spans="1:9" x14ac:dyDescent="0.25">
      <c r="A159" s="2" t="s">
        <v>16</v>
      </c>
      <c r="B159" s="2">
        <v>1400</v>
      </c>
      <c r="C159" s="2">
        <v>1</v>
      </c>
      <c r="D159" s="2" t="s">
        <v>29</v>
      </c>
      <c r="E159" s="3">
        <v>44265</v>
      </c>
      <c r="F159" s="2" t="s">
        <v>107</v>
      </c>
      <c r="G159" s="2" t="s">
        <v>384</v>
      </c>
      <c r="H159" s="2" t="s">
        <v>49</v>
      </c>
      <c r="I159" s="4">
        <v>27776</v>
      </c>
    </row>
    <row r="160" spans="1:9" x14ac:dyDescent="0.25">
      <c r="A160" s="2" t="s">
        <v>18</v>
      </c>
      <c r="B160" s="2">
        <v>3000</v>
      </c>
      <c r="C160" s="2">
        <v>2</v>
      </c>
      <c r="D160" s="2" t="s">
        <v>41</v>
      </c>
      <c r="E160" s="3">
        <v>44318</v>
      </c>
      <c r="F160" s="2" t="s">
        <v>385</v>
      </c>
      <c r="G160" s="2" t="s">
        <v>386</v>
      </c>
      <c r="H160" s="2" t="s">
        <v>44</v>
      </c>
      <c r="I160" s="4">
        <v>32940</v>
      </c>
    </row>
    <row r="161" spans="1:9" x14ac:dyDescent="0.25">
      <c r="A161" s="2" t="s">
        <v>28</v>
      </c>
      <c r="B161" s="2">
        <v>1400</v>
      </c>
      <c r="C161" s="2">
        <v>5</v>
      </c>
      <c r="D161" s="2" t="s">
        <v>35</v>
      </c>
      <c r="E161" s="3">
        <v>44381</v>
      </c>
      <c r="F161" s="2" t="s">
        <v>301</v>
      </c>
      <c r="G161" s="2" t="s">
        <v>360</v>
      </c>
      <c r="H161" s="2" t="s">
        <v>49</v>
      </c>
      <c r="I161" s="4">
        <v>34458</v>
      </c>
    </row>
    <row r="162" spans="1:9" x14ac:dyDescent="0.25">
      <c r="A162" s="2" t="s">
        <v>9</v>
      </c>
      <c r="B162" s="2">
        <v>1500</v>
      </c>
      <c r="C162" s="2">
        <v>3</v>
      </c>
      <c r="D162" s="2" t="s">
        <v>39</v>
      </c>
      <c r="E162" s="3">
        <v>44319</v>
      </c>
      <c r="F162" s="2" t="s">
        <v>131</v>
      </c>
      <c r="G162" s="2" t="s">
        <v>329</v>
      </c>
      <c r="H162" s="2" t="s">
        <v>44</v>
      </c>
      <c r="I162" s="4">
        <v>31228</v>
      </c>
    </row>
    <row r="163" spans="1:9" x14ac:dyDescent="0.25">
      <c r="A163" s="2" t="s">
        <v>27</v>
      </c>
      <c r="B163" s="2">
        <v>1500</v>
      </c>
      <c r="C163" s="2">
        <v>4</v>
      </c>
      <c r="D163" s="2" t="s">
        <v>37</v>
      </c>
      <c r="E163" s="3">
        <v>44351</v>
      </c>
      <c r="F163" s="2" t="s">
        <v>109</v>
      </c>
      <c r="G163" s="2" t="s">
        <v>143</v>
      </c>
      <c r="H163" s="2" t="s">
        <v>44</v>
      </c>
      <c r="I163" s="4">
        <v>28358</v>
      </c>
    </row>
    <row r="164" spans="1:9" x14ac:dyDescent="0.25">
      <c r="A164" s="2" t="s">
        <v>20</v>
      </c>
      <c r="B164" s="2">
        <v>2600</v>
      </c>
      <c r="C164" s="2">
        <v>5</v>
      </c>
      <c r="D164" s="2" t="s">
        <v>32</v>
      </c>
      <c r="E164" s="3">
        <v>44551</v>
      </c>
      <c r="F164" s="2" t="s">
        <v>137</v>
      </c>
      <c r="G164" s="2" t="s">
        <v>174</v>
      </c>
      <c r="H164" s="2" t="s">
        <v>49</v>
      </c>
      <c r="I164" s="4">
        <v>22798</v>
      </c>
    </row>
    <row r="165" spans="1:9" x14ac:dyDescent="0.25">
      <c r="A165" s="2" t="s">
        <v>26</v>
      </c>
      <c r="B165" s="2">
        <v>1100</v>
      </c>
      <c r="C165" s="2">
        <v>3</v>
      </c>
      <c r="D165" s="2" t="s">
        <v>40</v>
      </c>
      <c r="E165" s="3">
        <v>44256</v>
      </c>
      <c r="F165" s="2" t="s">
        <v>111</v>
      </c>
      <c r="G165" s="2" t="s">
        <v>63</v>
      </c>
      <c r="H165" s="2" t="s">
        <v>44</v>
      </c>
      <c r="I165" s="4">
        <v>34809</v>
      </c>
    </row>
    <row r="166" spans="1:9" x14ac:dyDescent="0.25">
      <c r="A166" s="2" t="s">
        <v>9</v>
      </c>
      <c r="B166" s="2">
        <v>1500</v>
      </c>
      <c r="C166" s="2">
        <v>2</v>
      </c>
      <c r="D166" s="2" t="s">
        <v>30</v>
      </c>
      <c r="E166" s="3">
        <v>44311</v>
      </c>
      <c r="F166" s="2" t="s">
        <v>94</v>
      </c>
      <c r="G166" s="2" t="s">
        <v>407</v>
      </c>
      <c r="H166" s="2" t="s">
        <v>49</v>
      </c>
      <c r="I166" s="4">
        <v>30610</v>
      </c>
    </row>
    <row r="167" spans="1:9" x14ac:dyDescent="0.25">
      <c r="A167" s="2" t="s">
        <v>20</v>
      </c>
      <c r="B167" s="2">
        <v>2600</v>
      </c>
      <c r="C167" s="2">
        <v>2</v>
      </c>
      <c r="D167" s="2" t="s">
        <v>35</v>
      </c>
      <c r="E167" s="3">
        <v>44340</v>
      </c>
      <c r="F167" s="2" t="s">
        <v>377</v>
      </c>
      <c r="G167" s="2" t="s">
        <v>378</v>
      </c>
      <c r="H167" s="2" t="s">
        <v>49</v>
      </c>
      <c r="I167" s="4">
        <v>21305</v>
      </c>
    </row>
    <row r="168" spans="1:9" x14ac:dyDescent="0.25">
      <c r="A168" s="2" t="s">
        <v>5</v>
      </c>
      <c r="B168" s="2">
        <v>1750</v>
      </c>
      <c r="C168" s="2">
        <v>5</v>
      </c>
      <c r="D168" s="2" t="s">
        <v>40</v>
      </c>
      <c r="E168" s="3">
        <v>44458</v>
      </c>
      <c r="F168" s="2" t="s">
        <v>124</v>
      </c>
      <c r="G168" s="2" t="s">
        <v>520</v>
      </c>
      <c r="H168" s="2" t="s">
        <v>44</v>
      </c>
      <c r="I168" s="4">
        <v>36819</v>
      </c>
    </row>
    <row r="169" spans="1:9" x14ac:dyDescent="0.25">
      <c r="A169" s="2" t="s">
        <v>11</v>
      </c>
      <c r="B169" s="2">
        <v>4500</v>
      </c>
      <c r="C169" s="2">
        <v>5</v>
      </c>
      <c r="D169" s="2" t="s">
        <v>29</v>
      </c>
      <c r="E169" s="3">
        <v>44525</v>
      </c>
      <c r="F169" s="2" t="s">
        <v>87</v>
      </c>
      <c r="G169" s="2" t="s">
        <v>77</v>
      </c>
      <c r="H169" s="2" t="s">
        <v>44</v>
      </c>
      <c r="I169" s="4">
        <v>21522</v>
      </c>
    </row>
    <row r="170" spans="1:9" x14ac:dyDescent="0.25">
      <c r="A170" s="2" t="s">
        <v>15</v>
      </c>
      <c r="B170" s="2">
        <v>1900</v>
      </c>
      <c r="C170" s="2">
        <v>1</v>
      </c>
      <c r="D170" s="2" t="s">
        <v>29</v>
      </c>
      <c r="E170" s="3">
        <v>44248</v>
      </c>
      <c r="F170" s="2" t="s">
        <v>562</v>
      </c>
      <c r="G170" s="2" t="s">
        <v>89</v>
      </c>
      <c r="H170" s="2" t="s">
        <v>49</v>
      </c>
      <c r="I170" s="4">
        <v>19516</v>
      </c>
    </row>
    <row r="171" spans="1:9" x14ac:dyDescent="0.25">
      <c r="A171" s="2" t="s">
        <v>14</v>
      </c>
      <c r="B171" s="2">
        <v>2000</v>
      </c>
      <c r="C171" s="2">
        <v>1</v>
      </c>
      <c r="D171" s="2" t="s">
        <v>29</v>
      </c>
      <c r="E171" s="3">
        <v>44458</v>
      </c>
      <c r="F171" s="2" t="s">
        <v>94</v>
      </c>
      <c r="G171" s="2" t="s">
        <v>95</v>
      </c>
      <c r="H171" s="2" t="s">
        <v>49</v>
      </c>
      <c r="I171" s="4">
        <v>31255</v>
      </c>
    </row>
    <row r="172" spans="1:9" x14ac:dyDescent="0.25">
      <c r="A172" s="2" t="s">
        <v>18</v>
      </c>
      <c r="B172" s="2">
        <v>3000</v>
      </c>
      <c r="C172" s="2">
        <v>2</v>
      </c>
      <c r="D172" s="2" t="s">
        <v>34</v>
      </c>
      <c r="E172" s="3">
        <v>44322</v>
      </c>
      <c r="F172" s="2" t="s">
        <v>452</v>
      </c>
      <c r="G172" s="2" t="s">
        <v>453</v>
      </c>
      <c r="H172" s="2" t="s">
        <v>44</v>
      </c>
      <c r="I172" s="4">
        <v>29510</v>
      </c>
    </row>
    <row r="173" spans="1:9" x14ac:dyDescent="0.25">
      <c r="A173" s="2" t="s">
        <v>7</v>
      </c>
      <c r="B173" s="2">
        <v>750</v>
      </c>
      <c r="C173" s="2">
        <v>3</v>
      </c>
      <c r="D173" s="2" t="s">
        <v>36</v>
      </c>
      <c r="E173" s="3">
        <v>44521</v>
      </c>
      <c r="F173" s="2" t="s">
        <v>137</v>
      </c>
      <c r="G173" s="2" t="s">
        <v>360</v>
      </c>
      <c r="H173" s="2" t="s">
        <v>49</v>
      </c>
      <c r="I173" s="4">
        <v>26038</v>
      </c>
    </row>
    <row r="174" spans="1:9" x14ac:dyDescent="0.25">
      <c r="A174" s="2" t="s">
        <v>7</v>
      </c>
      <c r="B174" s="2">
        <v>750</v>
      </c>
      <c r="C174" s="2">
        <v>4</v>
      </c>
      <c r="D174" s="2" t="s">
        <v>39</v>
      </c>
      <c r="E174" s="3">
        <v>44561</v>
      </c>
      <c r="F174" s="2" t="s">
        <v>224</v>
      </c>
      <c r="G174" s="2" t="s">
        <v>324</v>
      </c>
      <c r="H174" s="2" t="s">
        <v>44</v>
      </c>
      <c r="I174" s="4">
        <v>34650</v>
      </c>
    </row>
    <row r="175" spans="1:9" x14ac:dyDescent="0.25">
      <c r="A175" s="2" t="s">
        <v>7</v>
      </c>
      <c r="B175" s="2">
        <v>750</v>
      </c>
      <c r="C175" s="2">
        <v>4</v>
      </c>
      <c r="D175" s="2" t="s">
        <v>30</v>
      </c>
      <c r="E175" s="3">
        <v>44205</v>
      </c>
      <c r="F175" s="2" t="s">
        <v>74</v>
      </c>
      <c r="G175" s="2" t="s">
        <v>117</v>
      </c>
      <c r="H175" s="2" t="s">
        <v>44</v>
      </c>
      <c r="I175" s="4">
        <v>34289</v>
      </c>
    </row>
    <row r="176" spans="1:9" x14ac:dyDescent="0.25">
      <c r="A176" s="2" t="s">
        <v>18</v>
      </c>
      <c r="B176" s="2">
        <v>3000</v>
      </c>
      <c r="C176" s="2">
        <v>3</v>
      </c>
      <c r="D176" s="2" t="s">
        <v>36</v>
      </c>
      <c r="E176" s="3">
        <v>44203</v>
      </c>
      <c r="F176" s="2" t="s">
        <v>328</v>
      </c>
      <c r="G176" s="2" t="s">
        <v>430</v>
      </c>
      <c r="H176" s="2" t="s">
        <v>49</v>
      </c>
      <c r="I176" s="4">
        <v>34792</v>
      </c>
    </row>
    <row r="177" spans="1:9" x14ac:dyDescent="0.25">
      <c r="A177" s="2" t="s">
        <v>22</v>
      </c>
      <c r="B177" s="2">
        <v>5200</v>
      </c>
      <c r="C177" s="2">
        <v>1</v>
      </c>
      <c r="D177" s="2" t="s">
        <v>29</v>
      </c>
      <c r="E177" s="3">
        <v>44366</v>
      </c>
      <c r="F177" s="2" t="s">
        <v>211</v>
      </c>
      <c r="G177" s="2" t="s">
        <v>212</v>
      </c>
      <c r="H177" s="2" t="s">
        <v>49</v>
      </c>
      <c r="I177" s="4">
        <v>25413</v>
      </c>
    </row>
    <row r="178" spans="1:9" x14ac:dyDescent="0.25">
      <c r="A178" s="2" t="s">
        <v>15</v>
      </c>
      <c r="B178" s="2">
        <v>1900</v>
      </c>
      <c r="C178" s="2">
        <v>2</v>
      </c>
      <c r="D178" s="2" t="s">
        <v>33</v>
      </c>
      <c r="E178" s="3">
        <v>44213</v>
      </c>
      <c r="F178" s="2" t="s">
        <v>87</v>
      </c>
      <c r="G178" s="2" t="s">
        <v>160</v>
      </c>
      <c r="H178" s="2" t="s">
        <v>44</v>
      </c>
      <c r="I178" s="4">
        <v>28196</v>
      </c>
    </row>
    <row r="179" spans="1:9" x14ac:dyDescent="0.25">
      <c r="A179" s="2" t="s">
        <v>28</v>
      </c>
      <c r="B179" s="2">
        <v>1400</v>
      </c>
      <c r="C179" s="2">
        <v>5</v>
      </c>
      <c r="D179" s="2" t="s">
        <v>39</v>
      </c>
      <c r="E179" s="3">
        <v>44336</v>
      </c>
      <c r="F179" s="2" t="s">
        <v>98</v>
      </c>
      <c r="G179" s="2" t="s">
        <v>608</v>
      </c>
      <c r="H179" s="2" t="s">
        <v>44</v>
      </c>
      <c r="I179" s="4">
        <v>31158</v>
      </c>
    </row>
    <row r="180" spans="1:9" x14ac:dyDescent="0.25">
      <c r="A180" s="2" t="s">
        <v>24</v>
      </c>
      <c r="B180" s="2">
        <v>2000</v>
      </c>
      <c r="C180" s="2">
        <v>2</v>
      </c>
      <c r="D180" s="2" t="s">
        <v>38</v>
      </c>
      <c r="E180" s="3">
        <v>44212</v>
      </c>
      <c r="F180" s="2" t="s">
        <v>165</v>
      </c>
      <c r="G180" s="2" t="s">
        <v>166</v>
      </c>
      <c r="H180" s="2" t="s">
        <v>49</v>
      </c>
      <c r="I180" s="4">
        <v>30933</v>
      </c>
    </row>
    <row r="181" spans="1:9" x14ac:dyDescent="0.25">
      <c r="A181" s="2" t="s">
        <v>18</v>
      </c>
      <c r="B181" s="2">
        <v>3000</v>
      </c>
      <c r="C181" s="2">
        <v>1</v>
      </c>
      <c r="D181" s="2" t="s">
        <v>29</v>
      </c>
      <c r="E181" s="3">
        <v>44532</v>
      </c>
      <c r="F181" s="2" t="s">
        <v>394</v>
      </c>
      <c r="G181" s="2" t="s">
        <v>526</v>
      </c>
      <c r="H181" s="2" t="s">
        <v>49</v>
      </c>
      <c r="I181" s="4">
        <v>28317</v>
      </c>
    </row>
    <row r="182" spans="1:9" x14ac:dyDescent="0.25">
      <c r="A182" s="2" t="s">
        <v>12</v>
      </c>
      <c r="B182" s="2">
        <v>6500</v>
      </c>
      <c r="C182" s="2">
        <v>1</v>
      </c>
      <c r="D182" s="2" t="s">
        <v>30</v>
      </c>
      <c r="E182" s="3">
        <v>44257</v>
      </c>
      <c r="F182" s="2" t="s">
        <v>52</v>
      </c>
      <c r="G182" s="2" t="s">
        <v>325</v>
      </c>
      <c r="H182" s="2" t="s">
        <v>44</v>
      </c>
      <c r="I182" s="4">
        <v>35093</v>
      </c>
    </row>
    <row r="183" spans="1:9" x14ac:dyDescent="0.25">
      <c r="A183" s="2" t="s">
        <v>15</v>
      </c>
      <c r="B183" s="2">
        <v>1900</v>
      </c>
      <c r="C183" s="2">
        <v>3</v>
      </c>
      <c r="D183" s="2" t="s">
        <v>40</v>
      </c>
      <c r="E183" s="3">
        <v>44296</v>
      </c>
      <c r="F183" s="2" t="s">
        <v>461</v>
      </c>
      <c r="G183" s="2" t="s">
        <v>83</v>
      </c>
      <c r="H183" s="2" t="s">
        <v>49</v>
      </c>
      <c r="I183" s="4">
        <v>35735</v>
      </c>
    </row>
    <row r="184" spans="1:9" x14ac:dyDescent="0.25">
      <c r="A184" s="2" t="s">
        <v>22</v>
      </c>
      <c r="B184" s="2">
        <v>5200</v>
      </c>
      <c r="C184" s="2">
        <v>4</v>
      </c>
      <c r="D184" s="2" t="s">
        <v>34</v>
      </c>
      <c r="E184" s="3">
        <v>44519</v>
      </c>
      <c r="F184" s="2" t="s">
        <v>50</v>
      </c>
      <c r="G184" s="2" t="s">
        <v>346</v>
      </c>
      <c r="H184" s="2" t="s">
        <v>49</v>
      </c>
      <c r="I184" s="4">
        <v>31799</v>
      </c>
    </row>
    <row r="185" spans="1:9" x14ac:dyDescent="0.25">
      <c r="A185" s="2" t="s">
        <v>7</v>
      </c>
      <c r="B185" s="2">
        <v>750</v>
      </c>
      <c r="C185" s="2">
        <v>1</v>
      </c>
      <c r="D185" s="2" t="s">
        <v>36</v>
      </c>
      <c r="E185" s="3">
        <v>44477</v>
      </c>
      <c r="F185" s="2" t="s">
        <v>163</v>
      </c>
      <c r="G185" s="2" t="s">
        <v>164</v>
      </c>
      <c r="H185" s="2" t="s">
        <v>49</v>
      </c>
      <c r="I185" s="4">
        <v>36652</v>
      </c>
    </row>
    <row r="186" spans="1:9" x14ac:dyDescent="0.25">
      <c r="A186" s="2" t="s">
        <v>10</v>
      </c>
      <c r="B186" s="2">
        <v>1450</v>
      </c>
      <c r="C186" s="2">
        <v>1</v>
      </c>
      <c r="D186" s="2" t="s">
        <v>30</v>
      </c>
      <c r="E186" s="3">
        <v>44493</v>
      </c>
      <c r="F186" s="2" t="s">
        <v>131</v>
      </c>
      <c r="G186" s="2" t="s">
        <v>160</v>
      </c>
      <c r="H186" s="2" t="s">
        <v>44</v>
      </c>
      <c r="I186" s="4">
        <v>21872</v>
      </c>
    </row>
    <row r="187" spans="1:9" x14ac:dyDescent="0.25">
      <c r="A187" s="2" t="s">
        <v>9</v>
      </c>
      <c r="B187" s="2">
        <v>1500</v>
      </c>
      <c r="C187" s="2">
        <v>5</v>
      </c>
      <c r="D187" s="2" t="s">
        <v>41</v>
      </c>
      <c r="E187" s="3">
        <v>44431</v>
      </c>
      <c r="F187" s="2" t="s">
        <v>51</v>
      </c>
      <c r="G187" s="2" t="s">
        <v>75</v>
      </c>
      <c r="H187" s="2" t="s">
        <v>44</v>
      </c>
      <c r="I187" s="4">
        <v>22498</v>
      </c>
    </row>
    <row r="188" spans="1:9" x14ac:dyDescent="0.25">
      <c r="A188" s="2" t="s">
        <v>22</v>
      </c>
      <c r="B188" s="2">
        <v>5200</v>
      </c>
      <c r="C188" s="2">
        <v>1</v>
      </c>
      <c r="D188" s="2" t="s">
        <v>30</v>
      </c>
      <c r="E188" s="3">
        <v>44321</v>
      </c>
      <c r="F188" s="2" t="s">
        <v>118</v>
      </c>
      <c r="G188" s="2" t="s">
        <v>119</v>
      </c>
      <c r="H188" s="2" t="s">
        <v>49</v>
      </c>
      <c r="I188" s="4">
        <v>33028</v>
      </c>
    </row>
    <row r="189" spans="1:9" x14ac:dyDescent="0.25">
      <c r="A189" s="2" t="s">
        <v>17</v>
      </c>
      <c r="B189" s="2">
        <v>1550</v>
      </c>
      <c r="C189" s="2">
        <v>5</v>
      </c>
      <c r="D189" s="2" t="s">
        <v>37</v>
      </c>
      <c r="E189" s="3">
        <v>44484</v>
      </c>
      <c r="F189" s="2" t="s">
        <v>202</v>
      </c>
      <c r="G189" s="2" t="s">
        <v>203</v>
      </c>
      <c r="H189" s="2" t="s">
        <v>49</v>
      </c>
      <c r="I189" s="4">
        <v>30193</v>
      </c>
    </row>
    <row r="190" spans="1:9" x14ac:dyDescent="0.25">
      <c r="A190" s="2" t="s">
        <v>16</v>
      </c>
      <c r="B190" s="2">
        <v>1400</v>
      </c>
      <c r="C190" s="2">
        <v>4</v>
      </c>
      <c r="D190" s="2" t="s">
        <v>40</v>
      </c>
      <c r="E190" s="3">
        <v>44468</v>
      </c>
      <c r="F190" s="2" t="s">
        <v>142</v>
      </c>
      <c r="G190" s="2" t="s">
        <v>143</v>
      </c>
      <c r="H190" s="2" t="s">
        <v>49</v>
      </c>
      <c r="I190" s="4">
        <v>26686</v>
      </c>
    </row>
    <row r="191" spans="1:9" x14ac:dyDescent="0.25">
      <c r="A191" s="2" t="s">
        <v>15</v>
      </c>
      <c r="B191" s="2">
        <v>1900</v>
      </c>
      <c r="C191" s="2">
        <v>5</v>
      </c>
      <c r="D191" s="2" t="s">
        <v>29</v>
      </c>
      <c r="E191" s="3">
        <v>44420</v>
      </c>
      <c r="F191" s="2" t="s">
        <v>70</v>
      </c>
      <c r="G191" s="2" t="s">
        <v>410</v>
      </c>
      <c r="H191" s="2" t="s">
        <v>44</v>
      </c>
      <c r="I191" s="4">
        <v>31006</v>
      </c>
    </row>
    <row r="192" spans="1:9" x14ac:dyDescent="0.25">
      <c r="A192" s="2" t="s">
        <v>14</v>
      </c>
      <c r="B192" s="2">
        <v>2000</v>
      </c>
      <c r="C192" s="2">
        <v>3</v>
      </c>
      <c r="D192" s="2" t="s">
        <v>31</v>
      </c>
      <c r="E192" s="3">
        <v>44551</v>
      </c>
      <c r="F192" s="2" t="s">
        <v>173</v>
      </c>
      <c r="G192" s="2" t="s">
        <v>99</v>
      </c>
      <c r="H192" s="2" t="s">
        <v>44</v>
      </c>
      <c r="I192" s="4">
        <v>19280</v>
      </c>
    </row>
    <row r="193" spans="1:9" x14ac:dyDescent="0.25">
      <c r="A193" s="2" t="s">
        <v>18</v>
      </c>
      <c r="B193" s="2">
        <v>3000</v>
      </c>
      <c r="C193" s="2">
        <v>2</v>
      </c>
      <c r="D193" s="2" t="s">
        <v>37</v>
      </c>
      <c r="E193" s="3">
        <v>44537</v>
      </c>
      <c r="F193" s="2" t="s">
        <v>155</v>
      </c>
      <c r="G193" s="2" t="s">
        <v>229</v>
      </c>
      <c r="H193" s="2" t="s">
        <v>44</v>
      </c>
      <c r="I193" s="4">
        <v>30486</v>
      </c>
    </row>
    <row r="194" spans="1:9" x14ac:dyDescent="0.25">
      <c r="A194" s="2" t="s">
        <v>17</v>
      </c>
      <c r="B194" s="2">
        <v>1550</v>
      </c>
      <c r="C194" s="2">
        <v>1</v>
      </c>
      <c r="D194" s="2" t="s">
        <v>39</v>
      </c>
      <c r="E194" s="3">
        <v>44464</v>
      </c>
      <c r="F194" s="2" t="s">
        <v>333</v>
      </c>
      <c r="G194" s="2" t="s">
        <v>472</v>
      </c>
      <c r="H194" s="2" t="s">
        <v>44</v>
      </c>
      <c r="I194" s="4">
        <v>30148</v>
      </c>
    </row>
    <row r="195" spans="1:9" x14ac:dyDescent="0.25">
      <c r="A195" s="2" t="s">
        <v>11</v>
      </c>
      <c r="B195" s="2">
        <v>4500</v>
      </c>
      <c r="C195" s="2">
        <v>1</v>
      </c>
      <c r="D195" s="2" t="s">
        <v>37</v>
      </c>
      <c r="E195" s="3">
        <v>44348</v>
      </c>
      <c r="F195" s="2" t="s">
        <v>469</v>
      </c>
      <c r="G195" s="2" t="s">
        <v>97</v>
      </c>
      <c r="H195" s="2" t="s">
        <v>44</v>
      </c>
      <c r="I195" s="4">
        <v>24316</v>
      </c>
    </row>
    <row r="196" spans="1:9" x14ac:dyDescent="0.25">
      <c r="A196" s="2" t="s">
        <v>21</v>
      </c>
      <c r="B196" s="2">
        <v>2400</v>
      </c>
      <c r="C196" s="2">
        <v>1</v>
      </c>
      <c r="D196" s="2" t="s">
        <v>31</v>
      </c>
      <c r="E196" s="3">
        <v>44303</v>
      </c>
      <c r="F196" s="2" t="s">
        <v>179</v>
      </c>
      <c r="G196" s="2" t="s">
        <v>599</v>
      </c>
      <c r="H196" s="2" t="s">
        <v>44</v>
      </c>
      <c r="I196" s="4">
        <v>30863</v>
      </c>
    </row>
    <row r="197" spans="1:9" x14ac:dyDescent="0.25">
      <c r="A197" s="2" t="s">
        <v>14</v>
      </c>
      <c r="B197" s="2">
        <v>2000</v>
      </c>
      <c r="C197" s="2">
        <v>1</v>
      </c>
      <c r="D197" s="2" t="s">
        <v>31</v>
      </c>
      <c r="E197" s="3">
        <v>44223</v>
      </c>
      <c r="F197" s="2" t="s">
        <v>343</v>
      </c>
      <c r="G197" s="2" t="s">
        <v>519</v>
      </c>
      <c r="H197" s="2" t="s">
        <v>49</v>
      </c>
      <c r="I197" s="4">
        <v>35727</v>
      </c>
    </row>
    <row r="198" spans="1:9" x14ac:dyDescent="0.25">
      <c r="A198" s="2" t="s">
        <v>8</v>
      </c>
      <c r="B198" s="2">
        <v>5500</v>
      </c>
      <c r="C198" s="2">
        <v>4</v>
      </c>
      <c r="D198" s="2" t="s">
        <v>29</v>
      </c>
      <c r="E198" s="3">
        <v>44280</v>
      </c>
      <c r="F198" s="2" t="s">
        <v>318</v>
      </c>
      <c r="G198" s="2" t="s">
        <v>578</v>
      </c>
      <c r="H198" s="2" t="s">
        <v>44</v>
      </c>
      <c r="I198" s="4">
        <v>19024</v>
      </c>
    </row>
    <row r="199" spans="1:9" x14ac:dyDescent="0.25">
      <c r="A199" s="2" t="s">
        <v>28</v>
      </c>
      <c r="B199" s="2">
        <v>1400</v>
      </c>
      <c r="C199" s="2">
        <v>2</v>
      </c>
      <c r="D199" s="2" t="s">
        <v>35</v>
      </c>
      <c r="E199" s="3">
        <v>44410</v>
      </c>
      <c r="F199" s="2" t="s">
        <v>158</v>
      </c>
      <c r="G199" s="2" t="s">
        <v>411</v>
      </c>
      <c r="H199" s="2" t="s">
        <v>49</v>
      </c>
      <c r="I199" s="4">
        <v>32270</v>
      </c>
    </row>
    <row r="200" spans="1:9" x14ac:dyDescent="0.25">
      <c r="A200" s="2" t="s">
        <v>23</v>
      </c>
      <c r="B200" s="2">
        <v>1500</v>
      </c>
      <c r="C200" s="2">
        <v>2</v>
      </c>
      <c r="D200" s="2" t="s">
        <v>38</v>
      </c>
      <c r="E200" s="3">
        <v>44455</v>
      </c>
      <c r="F200" s="2" t="s">
        <v>179</v>
      </c>
      <c r="G200" s="2" t="s">
        <v>83</v>
      </c>
      <c r="H200" s="2" t="s">
        <v>44</v>
      </c>
      <c r="I200" s="4">
        <v>35697</v>
      </c>
    </row>
    <row r="201" spans="1:9" x14ac:dyDescent="0.25">
      <c r="A201" s="2" t="s">
        <v>20</v>
      </c>
      <c r="B201" s="2">
        <v>2600</v>
      </c>
      <c r="C201" s="2">
        <v>1</v>
      </c>
      <c r="D201" s="2" t="s">
        <v>29</v>
      </c>
      <c r="E201" s="3">
        <v>44502</v>
      </c>
      <c r="F201" s="2" t="s">
        <v>247</v>
      </c>
      <c r="G201" s="2" t="s">
        <v>130</v>
      </c>
      <c r="H201" s="2" t="s">
        <v>44</v>
      </c>
      <c r="I201" s="4">
        <v>33342</v>
      </c>
    </row>
    <row r="202" spans="1:9" x14ac:dyDescent="0.25">
      <c r="A202" s="2" t="s">
        <v>20</v>
      </c>
      <c r="B202" s="2">
        <v>2600</v>
      </c>
      <c r="C202" s="2">
        <v>1</v>
      </c>
      <c r="D202" s="2" t="s">
        <v>34</v>
      </c>
      <c r="E202" s="3">
        <v>44299</v>
      </c>
      <c r="F202" s="2" t="s">
        <v>98</v>
      </c>
      <c r="G202" s="2" t="s">
        <v>619</v>
      </c>
      <c r="H202" s="2" t="s">
        <v>44</v>
      </c>
      <c r="I202" s="4">
        <v>26250</v>
      </c>
    </row>
    <row r="203" spans="1:9" x14ac:dyDescent="0.25">
      <c r="A203" s="2" t="s">
        <v>27</v>
      </c>
      <c r="B203" s="2">
        <v>1500</v>
      </c>
      <c r="C203" s="2">
        <v>2</v>
      </c>
      <c r="D203" s="2" t="s">
        <v>38</v>
      </c>
      <c r="E203" s="3">
        <v>44203</v>
      </c>
      <c r="F203" s="2" t="s">
        <v>190</v>
      </c>
      <c r="G203" s="2" t="s">
        <v>297</v>
      </c>
      <c r="H203" s="2" t="s">
        <v>44</v>
      </c>
      <c r="I203" s="4">
        <v>24883</v>
      </c>
    </row>
    <row r="204" spans="1:9" x14ac:dyDescent="0.25">
      <c r="A204" s="2" t="s">
        <v>6</v>
      </c>
      <c r="B204" s="2">
        <v>1200</v>
      </c>
      <c r="C204" s="2">
        <v>5</v>
      </c>
      <c r="D204" s="2" t="s">
        <v>33</v>
      </c>
      <c r="E204" s="3">
        <v>44364</v>
      </c>
      <c r="F204" s="2" t="s">
        <v>301</v>
      </c>
      <c r="G204" s="2" t="s">
        <v>246</v>
      </c>
      <c r="H204" s="2" t="s">
        <v>49</v>
      </c>
      <c r="I204" s="4">
        <v>34527</v>
      </c>
    </row>
    <row r="205" spans="1:9" x14ac:dyDescent="0.25">
      <c r="A205" s="2" t="s">
        <v>25</v>
      </c>
      <c r="B205" s="2">
        <v>2500</v>
      </c>
      <c r="C205" s="2">
        <v>1</v>
      </c>
      <c r="D205" s="2" t="s">
        <v>31</v>
      </c>
      <c r="E205" s="3">
        <v>44260</v>
      </c>
      <c r="F205" s="2" t="s">
        <v>170</v>
      </c>
      <c r="G205" s="2" t="s">
        <v>152</v>
      </c>
      <c r="H205" s="2" t="s">
        <v>44</v>
      </c>
      <c r="I205" s="4">
        <v>19458</v>
      </c>
    </row>
    <row r="206" spans="1:9" x14ac:dyDescent="0.25">
      <c r="A206" s="2" t="s">
        <v>10</v>
      </c>
      <c r="B206" s="2">
        <v>1450</v>
      </c>
      <c r="C206" s="2">
        <v>5</v>
      </c>
      <c r="D206" s="2" t="s">
        <v>30</v>
      </c>
      <c r="E206" s="3">
        <v>44417</v>
      </c>
      <c r="F206" s="2" t="s">
        <v>87</v>
      </c>
      <c r="G206" s="2" t="s">
        <v>171</v>
      </c>
      <c r="H206" s="2" t="s">
        <v>44</v>
      </c>
      <c r="I206" s="4">
        <v>28244</v>
      </c>
    </row>
    <row r="207" spans="1:9" x14ac:dyDescent="0.25">
      <c r="A207" s="2" t="s">
        <v>25</v>
      </c>
      <c r="B207" s="2">
        <v>2500</v>
      </c>
      <c r="C207" s="2">
        <v>1</v>
      </c>
      <c r="D207" s="2" t="s">
        <v>32</v>
      </c>
      <c r="E207" s="3">
        <v>44517</v>
      </c>
      <c r="F207" s="2" t="s">
        <v>109</v>
      </c>
      <c r="G207" s="2" t="s">
        <v>152</v>
      </c>
      <c r="H207" s="2" t="s">
        <v>44</v>
      </c>
      <c r="I207" s="4">
        <v>31883</v>
      </c>
    </row>
    <row r="208" spans="1:9" x14ac:dyDescent="0.25">
      <c r="A208" s="2" t="s">
        <v>13</v>
      </c>
      <c r="B208" s="2">
        <v>2300</v>
      </c>
      <c r="C208" s="2">
        <v>4</v>
      </c>
      <c r="D208" s="2" t="s">
        <v>29</v>
      </c>
      <c r="E208" s="3">
        <v>44264</v>
      </c>
      <c r="F208" s="2" t="s">
        <v>433</v>
      </c>
      <c r="G208" s="2" t="s">
        <v>81</v>
      </c>
      <c r="H208" s="2" t="s">
        <v>44</v>
      </c>
      <c r="I208" s="4">
        <v>33868</v>
      </c>
    </row>
    <row r="209" spans="1:9" x14ac:dyDescent="0.25">
      <c r="A209" s="2" t="s">
        <v>10</v>
      </c>
      <c r="B209" s="2">
        <v>1450</v>
      </c>
      <c r="C209" s="2">
        <v>2</v>
      </c>
      <c r="D209" s="2" t="s">
        <v>36</v>
      </c>
      <c r="E209" s="3">
        <v>44287</v>
      </c>
      <c r="F209" s="2" t="s">
        <v>258</v>
      </c>
      <c r="G209" s="2" t="s">
        <v>174</v>
      </c>
      <c r="H209" s="2" t="s">
        <v>49</v>
      </c>
      <c r="I209" s="4">
        <v>33289</v>
      </c>
    </row>
    <row r="210" spans="1:9" x14ac:dyDescent="0.25">
      <c r="A210" s="2" t="s">
        <v>6</v>
      </c>
      <c r="B210" s="2">
        <v>1200</v>
      </c>
      <c r="C210" s="2">
        <v>1</v>
      </c>
      <c r="D210" s="2" t="s">
        <v>39</v>
      </c>
      <c r="E210" s="3">
        <v>44359</v>
      </c>
      <c r="F210" s="2" t="s">
        <v>224</v>
      </c>
      <c r="G210" s="2" t="s">
        <v>324</v>
      </c>
      <c r="H210" s="2" t="s">
        <v>44</v>
      </c>
      <c r="I210" s="4">
        <v>34650</v>
      </c>
    </row>
    <row r="211" spans="1:9" x14ac:dyDescent="0.25">
      <c r="A211" s="2" t="s">
        <v>11</v>
      </c>
      <c r="B211" s="2">
        <v>4500</v>
      </c>
      <c r="C211" s="2">
        <v>1</v>
      </c>
      <c r="D211" s="2" t="s">
        <v>33</v>
      </c>
      <c r="E211" s="3">
        <v>44475</v>
      </c>
      <c r="F211" s="2" t="s">
        <v>87</v>
      </c>
      <c r="G211" s="2" t="s">
        <v>89</v>
      </c>
      <c r="H211" s="2" t="s">
        <v>44</v>
      </c>
      <c r="I211" s="4">
        <v>28442</v>
      </c>
    </row>
    <row r="212" spans="1:9" x14ac:dyDescent="0.25">
      <c r="A212" s="2" t="s">
        <v>27</v>
      </c>
      <c r="B212" s="2">
        <v>1500</v>
      </c>
      <c r="C212" s="2">
        <v>4</v>
      </c>
      <c r="D212" s="2" t="s">
        <v>33</v>
      </c>
      <c r="E212" s="3">
        <v>44214</v>
      </c>
      <c r="F212" s="2" t="s">
        <v>338</v>
      </c>
      <c r="G212" s="2" t="s">
        <v>171</v>
      </c>
      <c r="H212" s="2" t="s">
        <v>49</v>
      </c>
      <c r="I212" s="4">
        <v>34868</v>
      </c>
    </row>
    <row r="213" spans="1:9" x14ac:dyDescent="0.25">
      <c r="A213" s="2" t="s">
        <v>20</v>
      </c>
      <c r="B213" s="2">
        <v>2600</v>
      </c>
      <c r="C213" s="2">
        <v>5</v>
      </c>
      <c r="D213" s="2" t="s">
        <v>36</v>
      </c>
      <c r="E213" s="3">
        <v>44350</v>
      </c>
      <c r="F213" s="2" t="s">
        <v>64</v>
      </c>
      <c r="G213" s="2" t="s">
        <v>65</v>
      </c>
      <c r="H213" s="2" t="s">
        <v>44</v>
      </c>
      <c r="I213" s="4">
        <v>33748</v>
      </c>
    </row>
    <row r="214" spans="1:9" x14ac:dyDescent="0.25">
      <c r="A214" s="2" t="s">
        <v>17</v>
      </c>
      <c r="B214" s="2">
        <v>1550</v>
      </c>
      <c r="C214" s="2">
        <v>2</v>
      </c>
      <c r="D214" s="2" t="s">
        <v>29</v>
      </c>
      <c r="E214" s="3">
        <v>44294</v>
      </c>
      <c r="F214" s="2" t="s">
        <v>187</v>
      </c>
      <c r="G214" s="2" t="s">
        <v>188</v>
      </c>
      <c r="H214" s="2" t="s">
        <v>49</v>
      </c>
      <c r="I214" s="4">
        <v>20543</v>
      </c>
    </row>
    <row r="215" spans="1:9" x14ac:dyDescent="0.25">
      <c r="A215" s="2" t="s">
        <v>17</v>
      </c>
      <c r="B215" s="2">
        <v>1550</v>
      </c>
      <c r="C215" s="2">
        <v>1</v>
      </c>
      <c r="D215" s="2" t="s">
        <v>30</v>
      </c>
      <c r="E215" s="3">
        <v>44363</v>
      </c>
      <c r="F215" s="2" t="s">
        <v>120</v>
      </c>
      <c r="G215" s="2" t="s">
        <v>459</v>
      </c>
      <c r="H215" s="2" t="s">
        <v>44</v>
      </c>
      <c r="I215" s="4">
        <v>32868</v>
      </c>
    </row>
    <row r="216" spans="1:9" x14ac:dyDescent="0.25">
      <c r="A216" s="2" t="s">
        <v>18</v>
      </c>
      <c r="B216" s="2">
        <v>3000</v>
      </c>
      <c r="C216" s="2">
        <v>2</v>
      </c>
      <c r="D216" s="2" t="s">
        <v>33</v>
      </c>
      <c r="E216" s="3">
        <v>44211</v>
      </c>
      <c r="F216" s="2" t="s">
        <v>571</v>
      </c>
      <c r="G216" s="2" t="s">
        <v>474</v>
      </c>
      <c r="H216" s="2" t="s">
        <v>49</v>
      </c>
      <c r="I216" s="4">
        <v>21750</v>
      </c>
    </row>
    <row r="217" spans="1:9" x14ac:dyDescent="0.25">
      <c r="A217" s="2" t="s">
        <v>11</v>
      </c>
      <c r="B217" s="2">
        <v>4500</v>
      </c>
      <c r="C217" s="2">
        <v>5</v>
      </c>
      <c r="D217" s="2" t="s">
        <v>29</v>
      </c>
      <c r="E217" s="3">
        <v>44257</v>
      </c>
      <c r="F217" s="2" t="s">
        <v>333</v>
      </c>
      <c r="G217" s="2" t="s">
        <v>334</v>
      </c>
      <c r="H217" s="2" t="s">
        <v>44</v>
      </c>
      <c r="I217" s="4">
        <v>26869</v>
      </c>
    </row>
    <row r="218" spans="1:9" x14ac:dyDescent="0.25">
      <c r="A218" s="2" t="s">
        <v>6</v>
      </c>
      <c r="B218" s="2">
        <v>1200</v>
      </c>
      <c r="C218" s="2">
        <v>2</v>
      </c>
      <c r="D218" s="2" t="s">
        <v>29</v>
      </c>
      <c r="E218" s="3">
        <v>44431</v>
      </c>
      <c r="F218" s="2" t="s">
        <v>562</v>
      </c>
      <c r="G218" s="2" t="s">
        <v>89</v>
      </c>
      <c r="H218" s="2" t="s">
        <v>49</v>
      </c>
      <c r="I218" s="4">
        <v>19516</v>
      </c>
    </row>
    <row r="219" spans="1:9" x14ac:dyDescent="0.25">
      <c r="A219" s="2" t="s">
        <v>8</v>
      </c>
      <c r="B219" s="2">
        <v>5500</v>
      </c>
      <c r="C219" s="2">
        <v>1</v>
      </c>
      <c r="D219" s="2" t="s">
        <v>34</v>
      </c>
      <c r="E219" s="3">
        <v>44245</v>
      </c>
      <c r="F219" s="2" t="s">
        <v>173</v>
      </c>
      <c r="G219" s="2" t="s">
        <v>91</v>
      </c>
      <c r="H219" s="2" t="s">
        <v>44</v>
      </c>
      <c r="I219" s="4">
        <v>21271</v>
      </c>
    </row>
    <row r="220" spans="1:9" x14ac:dyDescent="0.25">
      <c r="A220" s="2" t="s">
        <v>28</v>
      </c>
      <c r="B220" s="2">
        <v>1400</v>
      </c>
      <c r="C220" s="2">
        <v>2</v>
      </c>
      <c r="D220" s="2" t="s">
        <v>29</v>
      </c>
      <c r="E220" s="3">
        <v>44520</v>
      </c>
      <c r="F220" s="2" t="s">
        <v>344</v>
      </c>
      <c r="G220" s="2" t="s">
        <v>345</v>
      </c>
      <c r="H220" s="2" t="s">
        <v>49</v>
      </c>
      <c r="I220" s="4">
        <v>31278</v>
      </c>
    </row>
    <row r="221" spans="1:9" x14ac:dyDescent="0.25">
      <c r="A221" s="2" t="s">
        <v>27</v>
      </c>
      <c r="B221" s="2">
        <v>1500</v>
      </c>
      <c r="C221" s="2">
        <v>1</v>
      </c>
      <c r="D221" s="2" t="s">
        <v>34</v>
      </c>
      <c r="E221" s="3">
        <v>44451</v>
      </c>
      <c r="F221" s="2" t="s">
        <v>42</v>
      </c>
      <c r="G221" s="2" t="s">
        <v>100</v>
      </c>
      <c r="H221" s="2" t="s">
        <v>44</v>
      </c>
      <c r="I221" s="4">
        <v>36495</v>
      </c>
    </row>
    <row r="222" spans="1:9" x14ac:dyDescent="0.25">
      <c r="A222" s="2" t="s">
        <v>20</v>
      </c>
      <c r="B222" s="2">
        <v>2600</v>
      </c>
      <c r="C222" s="2">
        <v>1</v>
      </c>
      <c r="D222" s="2" t="s">
        <v>31</v>
      </c>
      <c r="E222" s="3">
        <v>44300</v>
      </c>
      <c r="F222" s="2" t="s">
        <v>288</v>
      </c>
      <c r="G222" s="2" t="s">
        <v>362</v>
      </c>
      <c r="H222" s="2" t="s">
        <v>49</v>
      </c>
      <c r="I222" s="4">
        <v>24425</v>
      </c>
    </row>
    <row r="223" spans="1:9" x14ac:dyDescent="0.25">
      <c r="A223" s="2" t="s">
        <v>8</v>
      </c>
      <c r="B223" s="2">
        <v>5500</v>
      </c>
      <c r="C223" s="2">
        <v>2</v>
      </c>
      <c r="D223" s="2" t="s">
        <v>36</v>
      </c>
      <c r="E223" s="3">
        <v>44236</v>
      </c>
      <c r="F223" s="2" t="s">
        <v>170</v>
      </c>
      <c r="G223" s="2" t="s">
        <v>386</v>
      </c>
      <c r="H223" s="2" t="s">
        <v>44</v>
      </c>
      <c r="I223" s="4">
        <v>20620</v>
      </c>
    </row>
    <row r="224" spans="1:9" x14ac:dyDescent="0.25">
      <c r="A224" s="2" t="s">
        <v>16</v>
      </c>
      <c r="B224" s="2">
        <v>1400</v>
      </c>
      <c r="C224" s="2">
        <v>2</v>
      </c>
      <c r="D224" s="2" t="s">
        <v>39</v>
      </c>
      <c r="E224" s="3">
        <v>44209</v>
      </c>
      <c r="F224" s="2" t="s">
        <v>158</v>
      </c>
      <c r="G224" s="2" t="s">
        <v>487</v>
      </c>
      <c r="H224" s="2" t="s">
        <v>49</v>
      </c>
      <c r="I224" s="4">
        <v>18331</v>
      </c>
    </row>
    <row r="225" spans="1:9" x14ac:dyDescent="0.25">
      <c r="A225" s="2" t="s">
        <v>22</v>
      </c>
      <c r="B225" s="2">
        <v>5200</v>
      </c>
      <c r="C225" s="2">
        <v>1</v>
      </c>
      <c r="D225" s="2" t="s">
        <v>32</v>
      </c>
      <c r="E225" s="3">
        <v>44386</v>
      </c>
      <c r="F225" s="2" t="s">
        <v>190</v>
      </c>
      <c r="G225" s="2" t="s">
        <v>246</v>
      </c>
      <c r="H225" s="2" t="s">
        <v>44</v>
      </c>
      <c r="I225" s="4">
        <v>30077</v>
      </c>
    </row>
    <row r="226" spans="1:9" x14ac:dyDescent="0.25">
      <c r="A226" s="2" t="s">
        <v>27</v>
      </c>
      <c r="B226" s="2">
        <v>1500</v>
      </c>
      <c r="C226" s="2">
        <v>2</v>
      </c>
      <c r="D226" s="2" t="s">
        <v>38</v>
      </c>
      <c r="E226" s="3">
        <v>44336</v>
      </c>
      <c r="F226" s="2" t="s">
        <v>165</v>
      </c>
      <c r="G226" s="2" t="s">
        <v>166</v>
      </c>
      <c r="H226" s="2" t="s">
        <v>49</v>
      </c>
      <c r="I226" s="4">
        <v>30933</v>
      </c>
    </row>
    <row r="227" spans="1:9" x14ac:dyDescent="0.25">
      <c r="A227" s="2" t="s">
        <v>20</v>
      </c>
      <c r="B227" s="2">
        <v>2600</v>
      </c>
      <c r="C227" s="2">
        <v>5</v>
      </c>
      <c r="D227" s="2" t="s">
        <v>35</v>
      </c>
      <c r="E227" s="3">
        <v>44290</v>
      </c>
      <c r="F227" s="2" t="s">
        <v>401</v>
      </c>
      <c r="G227" s="2" t="s">
        <v>222</v>
      </c>
      <c r="H227" s="2" t="s">
        <v>49</v>
      </c>
      <c r="I227" s="4">
        <v>35962</v>
      </c>
    </row>
    <row r="228" spans="1:9" x14ac:dyDescent="0.25">
      <c r="A228" s="2" t="s">
        <v>22</v>
      </c>
      <c r="B228" s="2">
        <v>5200</v>
      </c>
      <c r="C228" s="2">
        <v>4</v>
      </c>
      <c r="D228" s="2" t="s">
        <v>34</v>
      </c>
      <c r="E228" s="3">
        <v>44287</v>
      </c>
      <c r="F228" s="2" t="s">
        <v>445</v>
      </c>
      <c r="G228" s="2" t="s">
        <v>171</v>
      </c>
      <c r="H228" s="2" t="s">
        <v>49</v>
      </c>
      <c r="I228" s="4">
        <v>31940</v>
      </c>
    </row>
    <row r="229" spans="1:9" x14ac:dyDescent="0.25">
      <c r="A229" s="2" t="s">
        <v>28</v>
      </c>
      <c r="B229" s="2">
        <v>1400</v>
      </c>
      <c r="C229" s="2">
        <v>4</v>
      </c>
      <c r="D229" s="2" t="s">
        <v>39</v>
      </c>
      <c r="E229" s="3">
        <v>44322</v>
      </c>
      <c r="F229" s="2" t="s">
        <v>120</v>
      </c>
      <c r="G229" s="2" t="s">
        <v>229</v>
      </c>
      <c r="H229" s="2" t="s">
        <v>44</v>
      </c>
      <c r="I229" s="4">
        <v>35778</v>
      </c>
    </row>
    <row r="230" spans="1:9" x14ac:dyDescent="0.25">
      <c r="A230" s="2" t="s">
        <v>8</v>
      </c>
      <c r="B230" s="2">
        <v>5500</v>
      </c>
      <c r="C230" s="2">
        <v>4</v>
      </c>
      <c r="D230" s="2" t="s">
        <v>32</v>
      </c>
      <c r="E230" s="3">
        <v>44469</v>
      </c>
      <c r="F230" s="2" t="s">
        <v>446</v>
      </c>
      <c r="G230" s="2" t="s">
        <v>174</v>
      </c>
      <c r="H230" s="2" t="s">
        <v>44</v>
      </c>
      <c r="I230" s="4">
        <v>25704</v>
      </c>
    </row>
    <row r="231" spans="1:9" x14ac:dyDescent="0.25">
      <c r="A231" s="2" t="s">
        <v>25</v>
      </c>
      <c r="B231" s="2">
        <v>2500</v>
      </c>
      <c r="C231" s="2">
        <v>4</v>
      </c>
      <c r="D231" s="2" t="s">
        <v>39</v>
      </c>
      <c r="E231" s="3">
        <v>44198</v>
      </c>
      <c r="F231" s="2" t="s">
        <v>455</v>
      </c>
      <c r="G231" s="2" t="s">
        <v>63</v>
      </c>
      <c r="H231" s="2" t="s">
        <v>49</v>
      </c>
      <c r="I231" s="4">
        <v>23893</v>
      </c>
    </row>
    <row r="232" spans="1:9" x14ac:dyDescent="0.25">
      <c r="A232" s="2" t="s">
        <v>22</v>
      </c>
      <c r="B232" s="2">
        <v>5200</v>
      </c>
      <c r="C232" s="2">
        <v>5</v>
      </c>
      <c r="D232" s="2" t="s">
        <v>33</v>
      </c>
      <c r="E232" s="3">
        <v>44265</v>
      </c>
      <c r="F232" s="2" t="s">
        <v>399</v>
      </c>
      <c r="G232" s="2" t="s">
        <v>451</v>
      </c>
      <c r="H232" s="2" t="s">
        <v>44</v>
      </c>
      <c r="I232" s="4">
        <v>28614</v>
      </c>
    </row>
    <row r="233" spans="1:9" x14ac:dyDescent="0.25">
      <c r="A233" s="2" t="s">
        <v>17</v>
      </c>
      <c r="B233" s="2">
        <v>1550</v>
      </c>
      <c r="C233" s="2">
        <v>5</v>
      </c>
      <c r="D233" s="2" t="s">
        <v>40</v>
      </c>
      <c r="E233" s="3">
        <v>44306</v>
      </c>
      <c r="F233" s="2" t="s">
        <v>124</v>
      </c>
      <c r="G233" s="2" t="s">
        <v>520</v>
      </c>
      <c r="H233" s="2" t="s">
        <v>44</v>
      </c>
      <c r="I233" s="4">
        <v>36819</v>
      </c>
    </row>
    <row r="234" spans="1:9" x14ac:dyDescent="0.25">
      <c r="A234" s="2" t="s">
        <v>14</v>
      </c>
      <c r="B234" s="2">
        <v>2000</v>
      </c>
      <c r="C234" s="2">
        <v>2</v>
      </c>
      <c r="D234" s="2" t="s">
        <v>41</v>
      </c>
      <c r="E234" s="3">
        <v>44272</v>
      </c>
      <c r="F234" s="2" t="s">
        <v>295</v>
      </c>
      <c r="G234" s="2" t="s">
        <v>435</v>
      </c>
      <c r="H234" s="2" t="s">
        <v>49</v>
      </c>
      <c r="I234" s="4">
        <v>21667</v>
      </c>
    </row>
    <row r="235" spans="1:9" x14ac:dyDescent="0.25">
      <c r="A235" s="2" t="s">
        <v>21</v>
      </c>
      <c r="B235" s="2">
        <v>2400</v>
      </c>
      <c r="C235" s="2">
        <v>4</v>
      </c>
      <c r="D235" s="2" t="s">
        <v>37</v>
      </c>
      <c r="E235" s="3">
        <v>44402</v>
      </c>
      <c r="F235" s="2" t="s">
        <v>398</v>
      </c>
      <c r="G235" s="2" t="s">
        <v>232</v>
      </c>
      <c r="H235" s="2" t="s">
        <v>44</v>
      </c>
      <c r="I235" s="4">
        <v>22605</v>
      </c>
    </row>
    <row r="236" spans="1:9" x14ac:dyDescent="0.25">
      <c r="A236" s="2" t="s">
        <v>28</v>
      </c>
      <c r="B236" s="2">
        <v>1400</v>
      </c>
      <c r="C236" s="2">
        <v>2</v>
      </c>
      <c r="D236" s="2" t="s">
        <v>36</v>
      </c>
      <c r="E236" s="3">
        <v>44550</v>
      </c>
      <c r="F236" s="2" t="s">
        <v>259</v>
      </c>
      <c r="G236" s="2" t="s">
        <v>584</v>
      </c>
      <c r="H236" s="2" t="s">
        <v>49</v>
      </c>
      <c r="I236" s="4">
        <v>22500</v>
      </c>
    </row>
    <row r="237" spans="1:9" x14ac:dyDescent="0.25">
      <c r="A237" s="2" t="s">
        <v>10</v>
      </c>
      <c r="B237" s="2">
        <v>1450</v>
      </c>
      <c r="C237" s="2">
        <v>3</v>
      </c>
      <c r="D237" s="2" t="s">
        <v>31</v>
      </c>
      <c r="E237" s="3">
        <v>44373</v>
      </c>
      <c r="F237" s="2" t="s">
        <v>605</v>
      </c>
      <c r="G237" s="2" t="s">
        <v>380</v>
      </c>
      <c r="H237" s="2" t="s">
        <v>49</v>
      </c>
      <c r="I237" s="4">
        <v>33869</v>
      </c>
    </row>
    <row r="238" spans="1:9" x14ac:dyDescent="0.25">
      <c r="A238" s="2" t="s">
        <v>28</v>
      </c>
      <c r="B238" s="2">
        <v>1400</v>
      </c>
      <c r="C238" s="2">
        <v>3</v>
      </c>
      <c r="D238" s="2" t="s">
        <v>35</v>
      </c>
      <c r="E238" s="3">
        <v>44472</v>
      </c>
      <c r="F238" s="2" t="s">
        <v>377</v>
      </c>
      <c r="G238" s="2" t="s">
        <v>378</v>
      </c>
      <c r="H238" s="2" t="s">
        <v>49</v>
      </c>
      <c r="I238" s="4">
        <v>21305</v>
      </c>
    </row>
    <row r="239" spans="1:9" x14ac:dyDescent="0.25">
      <c r="A239" s="2" t="s">
        <v>16</v>
      </c>
      <c r="B239" s="2">
        <v>1400</v>
      </c>
      <c r="C239" s="2">
        <v>4</v>
      </c>
      <c r="D239" s="2" t="s">
        <v>40</v>
      </c>
      <c r="E239" s="3">
        <v>44274</v>
      </c>
      <c r="F239" s="2" t="s">
        <v>275</v>
      </c>
      <c r="G239" s="2" t="s">
        <v>308</v>
      </c>
      <c r="H239" s="2" t="s">
        <v>49</v>
      </c>
      <c r="I239" s="4">
        <v>36278</v>
      </c>
    </row>
    <row r="240" spans="1:9" x14ac:dyDescent="0.25">
      <c r="A240" s="2" t="s">
        <v>27</v>
      </c>
      <c r="B240" s="2">
        <v>1500</v>
      </c>
      <c r="C240" s="2">
        <v>5</v>
      </c>
      <c r="D240" s="2" t="s">
        <v>36</v>
      </c>
      <c r="E240" s="3">
        <v>44407</v>
      </c>
      <c r="F240" s="2" t="s">
        <v>595</v>
      </c>
      <c r="G240" s="2" t="s">
        <v>83</v>
      </c>
      <c r="H240" s="2" t="s">
        <v>49</v>
      </c>
      <c r="I240" s="4">
        <v>36243</v>
      </c>
    </row>
    <row r="241" spans="1:9" x14ac:dyDescent="0.25">
      <c r="A241" s="2" t="s">
        <v>28</v>
      </c>
      <c r="B241" s="2">
        <v>1400</v>
      </c>
      <c r="C241" s="2">
        <v>3</v>
      </c>
      <c r="D241" s="2" t="s">
        <v>30</v>
      </c>
      <c r="E241" s="3">
        <v>44207</v>
      </c>
      <c r="F241" s="2" t="s">
        <v>58</v>
      </c>
      <c r="G241" s="2" t="s">
        <v>59</v>
      </c>
      <c r="H241" s="2" t="s">
        <v>49</v>
      </c>
      <c r="I241" s="4">
        <v>23712</v>
      </c>
    </row>
    <row r="242" spans="1:9" x14ac:dyDescent="0.25">
      <c r="A242" s="2" t="s">
        <v>26</v>
      </c>
      <c r="B242" s="2">
        <v>1100</v>
      </c>
      <c r="C242" s="2">
        <v>1</v>
      </c>
      <c r="D242" s="2" t="s">
        <v>36</v>
      </c>
      <c r="E242" s="3">
        <v>44426</v>
      </c>
      <c r="F242" s="2" t="s">
        <v>579</v>
      </c>
      <c r="G242" s="2" t="s">
        <v>449</v>
      </c>
      <c r="H242" s="2" t="s">
        <v>49</v>
      </c>
      <c r="I242" s="4">
        <v>24093</v>
      </c>
    </row>
    <row r="243" spans="1:9" x14ac:dyDescent="0.25">
      <c r="A243" s="2" t="s">
        <v>23</v>
      </c>
      <c r="B243" s="2">
        <v>1500</v>
      </c>
      <c r="C243" s="2">
        <v>4</v>
      </c>
      <c r="D243" s="2" t="s">
        <v>40</v>
      </c>
      <c r="E243" s="3">
        <v>44287</v>
      </c>
      <c r="F243" s="2" t="s">
        <v>336</v>
      </c>
      <c r="G243" s="2" t="s">
        <v>75</v>
      </c>
      <c r="H243" s="2" t="s">
        <v>44</v>
      </c>
      <c r="I243" s="4">
        <v>28887</v>
      </c>
    </row>
    <row r="244" spans="1:9" x14ac:dyDescent="0.25">
      <c r="A244" s="2" t="s">
        <v>9</v>
      </c>
      <c r="B244" s="2">
        <v>1500</v>
      </c>
      <c r="C244" s="2">
        <v>3</v>
      </c>
      <c r="D244" s="2" t="s">
        <v>29</v>
      </c>
      <c r="E244" s="3">
        <v>44214</v>
      </c>
      <c r="F244" s="2" t="s">
        <v>256</v>
      </c>
      <c r="G244" s="2" t="s">
        <v>292</v>
      </c>
      <c r="H244" s="2" t="s">
        <v>44</v>
      </c>
      <c r="I244" s="4">
        <v>25098</v>
      </c>
    </row>
    <row r="245" spans="1:9" x14ac:dyDescent="0.25">
      <c r="A245" s="2" t="s">
        <v>22</v>
      </c>
      <c r="B245" s="2">
        <v>5200</v>
      </c>
      <c r="C245" s="2">
        <v>2</v>
      </c>
      <c r="D245" s="2" t="s">
        <v>33</v>
      </c>
      <c r="E245" s="3">
        <v>44512</v>
      </c>
      <c r="F245" s="2" t="s">
        <v>70</v>
      </c>
      <c r="G245" s="2" t="s">
        <v>220</v>
      </c>
      <c r="H245" s="2" t="s">
        <v>44</v>
      </c>
      <c r="I245" s="4">
        <v>34838</v>
      </c>
    </row>
    <row r="246" spans="1:9" x14ac:dyDescent="0.25">
      <c r="A246" s="2" t="s">
        <v>26</v>
      </c>
      <c r="B246" s="2">
        <v>1100</v>
      </c>
      <c r="C246" s="2">
        <v>4</v>
      </c>
      <c r="D246" s="2" t="s">
        <v>30</v>
      </c>
      <c r="E246" s="3">
        <v>44303</v>
      </c>
      <c r="F246" s="2" t="s">
        <v>208</v>
      </c>
      <c r="G246" s="2" t="s">
        <v>209</v>
      </c>
      <c r="H246" s="2" t="s">
        <v>44</v>
      </c>
      <c r="I246" s="4">
        <v>20628</v>
      </c>
    </row>
    <row r="247" spans="1:9" x14ac:dyDescent="0.25">
      <c r="A247" s="2" t="s">
        <v>6</v>
      </c>
      <c r="B247" s="2">
        <v>1200</v>
      </c>
      <c r="C247" s="2">
        <v>1</v>
      </c>
      <c r="D247" s="2" t="s">
        <v>38</v>
      </c>
      <c r="E247" s="3">
        <v>44509</v>
      </c>
      <c r="F247" s="2" t="s">
        <v>137</v>
      </c>
      <c r="G247" s="2" t="s">
        <v>496</v>
      </c>
      <c r="H247" s="2" t="s">
        <v>49</v>
      </c>
      <c r="I247" s="4">
        <v>28582</v>
      </c>
    </row>
    <row r="248" spans="1:9" x14ac:dyDescent="0.25">
      <c r="A248" s="2" t="s">
        <v>18</v>
      </c>
      <c r="B248" s="2">
        <v>3000</v>
      </c>
      <c r="C248" s="2">
        <v>2</v>
      </c>
      <c r="D248" s="2" t="s">
        <v>37</v>
      </c>
      <c r="E248" s="3">
        <v>44461</v>
      </c>
      <c r="F248" s="2" t="s">
        <v>268</v>
      </c>
      <c r="G248" s="2" t="s">
        <v>269</v>
      </c>
      <c r="H248" s="2" t="s">
        <v>44</v>
      </c>
      <c r="I248" s="4">
        <v>28451</v>
      </c>
    </row>
    <row r="249" spans="1:9" x14ac:dyDescent="0.25">
      <c r="A249" s="2" t="s">
        <v>20</v>
      </c>
      <c r="B249" s="2">
        <v>2600</v>
      </c>
      <c r="C249" s="2">
        <v>3</v>
      </c>
      <c r="D249" s="2" t="s">
        <v>29</v>
      </c>
      <c r="E249" s="3">
        <v>44401</v>
      </c>
      <c r="F249" s="2" t="s">
        <v>277</v>
      </c>
      <c r="G249" s="2" t="s">
        <v>164</v>
      </c>
      <c r="H249" s="2" t="s">
        <v>49</v>
      </c>
      <c r="I249" s="4">
        <v>22472</v>
      </c>
    </row>
    <row r="250" spans="1:9" x14ac:dyDescent="0.25">
      <c r="A250" s="2" t="s">
        <v>12</v>
      </c>
      <c r="B250" s="2">
        <v>6500</v>
      </c>
      <c r="C250" s="2">
        <v>3</v>
      </c>
      <c r="D250" s="2" t="s">
        <v>30</v>
      </c>
      <c r="E250" s="3">
        <v>44288</v>
      </c>
      <c r="F250" s="2" t="s">
        <v>98</v>
      </c>
      <c r="G250" s="2" t="s">
        <v>139</v>
      </c>
      <c r="H250" s="2" t="s">
        <v>44</v>
      </c>
      <c r="I250" s="4">
        <v>24585</v>
      </c>
    </row>
    <row r="251" spans="1:9" x14ac:dyDescent="0.25">
      <c r="A251" s="2" t="s">
        <v>16</v>
      </c>
      <c r="B251" s="2">
        <v>1400</v>
      </c>
      <c r="C251" s="2">
        <v>1</v>
      </c>
      <c r="D251" s="2" t="s">
        <v>37</v>
      </c>
      <c r="E251" s="3">
        <v>44384</v>
      </c>
      <c r="F251" s="2" t="s">
        <v>202</v>
      </c>
      <c r="G251" s="2" t="s">
        <v>203</v>
      </c>
      <c r="H251" s="2" t="s">
        <v>49</v>
      </c>
      <c r="I251" s="4">
        <v>30193</v>
      </c>
    </row>
    <row r="252" spans="1:9" x14ac:dyDescent="0.25">
      <c r="A252" s="2" t="s">
        <v>8</v>
      </c>
      <c r="B252" s="2">
        <v>5500</v>
      </c>
      <c r="C252" s="2">
        <v>1</v>
      </c>
      <c r="D252" s="2" t="s">
        <v>30</v>
      </c>
      <c r="E252" s="3">
        <v>44534</v>
      </c>
      <c r="F252" s="2" t="s">
        <v>173</v>
      </c>
      <c r="G252" s="2" t="s">
        <v>174</v>
      </c>
      <c r="H252" s="2" t="s">
        <v>44</v>
      </c>
      <c r="I252" s="4">
        <v>28789</v>
      </c>
    </row>
    <row r="253" spans="1:9" x14ac:dyDescent="0.25">
      <c r="A253" s="2" t="s">
        <v>13</v>
      </c>
      <c r="B253" s="2">
        <v>2300</v>
      </c>
      <c r="C253" s="2">
        <v>3</v>
      </c>
      <c r="D253" s="2" t="s">
        <v>33</v>
      </c>
      <c r="E253" s="3">
        <v>44472</v>
      </c>
      <c r="F253" s="2" t="s">
        <v>365</v>
      </c>
      <c r="G253" s="2" t="s">
        <v>366</v>
      </c>
      <c r="H253" s="2" t="s">
        <v>49</v>
      </c>
      <c r="I253" s="4">
        <v>29401</v>
      </c>
    </row>
    <row r="254" spans="1:9" x14ac:dyDescent="0.25">
      <c r="A254" s="2" t="s">
        <v>18</v>
      </c>
      <c r="B254" s="2">
        <v>3000</v>
      </c>
      <c r="C254" s="2">
        <v>2</v>
      </c>
      <c r="D254" s="2" t="s">
        <v>31</v>
      </c>
      <c r="E254" s="3">
        <v>44372</v>
      </c>
      <c r="F254" s="2" t="s">
        <v>439</v>
      </c>
      <c r="G254" s="2" t="s">
        <v>77</v>
      </c>
      <c r="H254" s="2" t="s">
        <v>44</v>
      </c>
      <c r="I254" s="4">
        <v>34385</v>
      </c>
    </row>
    <row r="255" spans="1:9" x14ac:dyDescent="0.25">
      <c r="A255" s="2" t="s">
        <v>27</v>
      </c>
      <c r="B255" s="2">
        <v>1500</v>
      </c>
      <c r="C255" s="2">
        <v>2</v>
      </c>
      <c r="D255" s="2" t="s">
        <v>41</v>
      </c>
      <c r="E255" s="3">
        <v>44375</v>
      </c>
      <c r="F255" s="2" t="s">
        <v>403</v>
      </c>
      <c r="G255" s="2" t="s">
        <v>389</v>
      </c>
      <c r="H255" s="2" t="s">
        <v>49</v>
      </c>
      <c r="I255" s="4">
        <v>27050</v>
      </c>
    </row>
    <row r="256" spans="1:9" x14ac:dyDescent="0.25">
      <c r="A256" s="2" t="s">
        <v>8</v>
      </c>
      <c r="B256" s="2">
        <v>5500</v>
      </c>
      <c r="C256" s="2">
        <v>3</v>
      </c>
      <c r="D256" s="2" t="s">
        <v>41</v>
      </c>
      <c r="E256" s="3">
        <v>44214</v>
      </c>
      <c r="F256" s="2" t="s">
        <v>153</v>
      </c>
      <c r="G256" s="2" t="s">
        <v>198</v>
      </c>
      <c r="H256" s="2" t="s">
        <v>44</v>
      </c>
      <c r="I256" s="4">
        <v>31155</v>
      </c>
    </row>
    <row r="257" spans="1:9" x14ac:dyDescent="0.25">
      <c r="A257" s="2" t="s">
        <v>14</v>
      </c>
      <c r="B257" s="2">
        <v>2000</v>
      </c>
      <c r="C257" s="2">
        <v>4</v>
      </c>
      <c r="D257" s="2" t="s">
        <v>36</v>
      </c>
      <c r="E257" s="3">
        <v>44266</v>
      </c>
      <c r="F257" s="2" t="s">
        <v>374</v>
      </c>
      <c r="G257" s="2" t="s">
        <v>81</v>
      </c>
      <c r="H257" s="2" t="s">
        <v>49</v>
      </c>
      <c r="I257" s="4">
        <v>21262</v>
      </c>
    </row>
    <row r="258" spans="1:9" x14ac:dyDescent="0.25">
      <c r="A258" s="2" t="s">
        <v>7</v>
      </c>
      <c r="B258" s="2">
        <v>750</v>
      </c>
      <c r="C258" s="2">
        <v>1</v>
      </c>
      <c r="D258" s="2" t="s">
        <v>30</v>
      </c>
      <c r="E258" s="3">
        <v>44263</v>
      </c>
      <c r="F258" s="2" t="s">
        <v>45</v>
      </c>
      <c r="G258" s="2" t="s">
        <v>46</v>
      </c>
      <c r="H258" s="2" t="s">
        <v>44</v>
      </c>
      <c r="I258" s="4">
        <v>32614</v>
      </c>
    </row>
    <row r="259" spans="1:9" x14ac:dyDescent="0.25">
      <c r="A259" s="2" t="s">
        <v>16</v>
      </c>
      <c r="B259" s="2">
        <v>1400</v>
      </c>
      <c r="C259" s="2">
        <v>3</v>
      </c>
      <c r="D259" s="2" t="s">
        <v>33</v>
      </c>
      <c r="E259" s="3">
        <v>44415</v>
      </c>
      <c r="F259" s="2" t="s">
        <v>489</v>
      </c>
      <c r="G259" s="2" t="s">
        <v>99</v>
      </c>
      <c r="H259" s="2" t="s">
        <v>49</v>
      </c>
      <c r="I259" s="4">
        <v>34694</v>
      </c>
    </row>
    <row r="260" spans="1:9" x14ac:dyDescent="0.25">
      <c r="A260" s="2" t="s">
        <v>7</v>
      </c>
      <c r="B260" s="2">
        <v>750</v>
      </c>
      <c r="C260" s="2">
        <v>5</v>
      </c>
      <c r="D260" s="2" t="s">
        <v>39</v>
      </c>
      <c r="E260" s="3">
        <v>44467</v>
      </c>
      <c r="F260" s="2" t="s">
        <v>533</v>
      </c>
      <c r="G260" s="2" t="s">
        <v>534</v>
      </c>
      <c r="H260" s="2" t="s">
        <v>49</v>
      </c>
      <c r="I260" s="4">
        <v>29459</v>
      </c>
    </row>
    <row r="261" spans="1:9" x14ac:dyDescent="0.25">
      <c r="A261" s="2" t="s">
        <v>11</v>
      </c>
      <c r="B261" s="2">
        <v>4500</v>
      </c>
      <c r="C261" s="2">
        <v>3</v>
      </c>
      <c r="D261" s="2" t="s">
        <v>33</v>
      </c>
      <c r="E261" s="3">
        <v>44328</v>
      </c>
      <c r="F261" s="2" t="s">
        <v>527</v>
      </c>
      <c r="G261" s="2" t="s">
        <v>209</v>
      </c>
      <c r="H261" s="2" t="s">
        <v>49</v>
      </c>
      <c r="I261" s="4">
        <v>28647</v>
      </c>
    </row>
    <row r="262" spans="1:9" x14ac:dyDescent="0.25">
      <c r="A262" s="2" t="s">
        <v>24</v>
      </c>
      <c r="B262" s="2">
        <v>2000</v>
      </c>
      <c r="C262" s="2">
        <v>1</v>
      </c>
      <c r="D262" s="2" t="s">
        <v>41</v>
      </c>
      <c r="E262" s="3">
        <v>44450</v>
      </c>
      <c r="F262" s="2" t="s">
        <v>179</v>
      </c>
      <c r="G262" s="2" t="s">
        <v>193</v>
      </c>
      <c r="H262" s="2" t="s">
        <v>44</v>
      </c>
      <c r="I262" s="4">
        <v>26033</v>
      </c>
    </row>
    <row r="263" spans="1:9" x14ac:dyDescent="0.25">
      <c r="A263" s="2" t="s">
        <v>28</v>
      </c>
      <c r="B263" s="2">
        <v>1400</v>
      </c>
      <c r="C263" s="2">
        <v>3</v>
      </c>
      <c r="D263" s="2" t="s">
        <v>41</v>
      </c>
      <c r="E263" s="3">
        <v>44457</v>
      </c>
      <c r="F263" s="2" t="s">
        <v>624</v>
      </c>
      <c r="G263" s="2" t="s">
        <v>83</v>
      </c>
      <c r="H263" s="2" t="s">
        <v>44</v>
      </c>
      <c r="I263" s="4">
        <v>30045</v>
      </c>
    </row>
    <row r="264" spans="1:9" x14ac:dyDescent="0.25">
      <c r="A264" s="2" t="s">
        <v>10</v>
      </c>
      <c r="B264" s="2">
        <v>1450</v>
      </c>
      <c r="C264" s="2">
        <v>3</v>
      </c>
      <c r="D264" s="2" t="s">
        <v>39</v>
      </c>
      <c r="E264" s="3">
        <v>44224</v>
      </c>
      <c r="F264" s="2" t="s">
        <v>381</v>
      </c>
      <c r="G264" s="2" t="s">
        <v>382</v>
      </c>
      <c r="H264" s="2" t="s">
        <v>49</v>
      </c>
      <c r="I264" s="4">
        <v>32482</v>
      </c>
    </row>
    <row r="265" spans="1:9" x14ac:dyDescent="0.25">
      <c r="A265" s="2" t="s">
        <v>6</v>
      </c>
      <c r="B265" s="2">
        <v>1200</v>
      </c>
      <c r="C265" s="2">
        <v>1</v>
      </c>
      <c r="D265" s="2" t="s">
        <v>40</v>
      </c>
      <c r="E265" s="3">
        <v>44469</v>
      </c>
      <c r="F265" s="2" t="s">
        <v>190</v>
      </c>
      <c r="G265" s="2" t="s">
        <v>238</v>
      </c>
      <c r="H265" s="2" t="s">
        <v>44</v>
      </c>
      <c r="I265" s="4">
        <v>25439</v>
      </c>
    </row>
    <row r="266" spans="1:9" x14ac:dyDescent="0.25">
      <c r="A266" s="2" t="s">
        <v>25</v>
      </c>
      <c r="B266" s="2">
        <v>2500</v>
      </c>
      <c r="C266" s="2">
        <v>3</v>
      </c>
      <c r="D266" s="2" t="s">
        <v>40</v>
      </c>
      <c r="E266" s="3">
        <v>44299</v>
      </c>
      <c r="F266" s="2" t="s">
        <v>111</v>
      </c>
      <c r="G266" s="2" t="s">
        <v>63</v>
      </c>
      <c r="H266" s="2" t="s">
        <v>44</v>
      </c>
      <c r="I266" s="4">
        <v>34809</v>
      </c>
    </row>
    <row r="267" spans="1:9" x14ac:dyDescent="0.25">
      <c r="A267" s="2" t="s">
        <v>17</v>
      </c>
      <c r="B267" s="2">
        <v>1550</v>
      </c>
      <c r="C267" s="2">
        <v>2</v>
      </c>
      <c r="D267" s="2" t="s">
        <v>41</v>
      </c>
      <c r="E267" s="3">
        <v>44529</v>
      </c>
      <c r="F267" s="2" t="s">
        <v>267</v>
      </c>
      <c r="G267" s="2" t="s">
        <v>67</v>
      </c>
      <c r="H267" s="2" t="s">
        <v>44</v>
      </c>
      <c r="I267" s="4">
        <v>25000</v>
      </c>
    </row>
    <row r="268" spans="1:9" x14ac:dyDescent="0.25">
      <c r="A268" s="2" t="s">
        <v>27</v>
      </c>
      <c r="B268" s="2">
        <v>1500</v>
      </c>
      <c r="C268" s="2">
        <v>3</v>
      </c>
      <c r="D268" s="2" t="s">
        <v>36</v>
      </c>
      <c r="E268" s="3">
        <v>44342</v>
      </c>
      <c r="F268" s="2" t="s">
        <v>87</v>
      </c>
      <c r="G268" s="2" t="s">
        <v>588</v>
      </c>
      <c r="H268" s="2" t="s">
        <v>44</v>
      </c>
      <c r="I268" s="4">
        <v>28528</v>
      </c>
    </row>
    <row r="269" spans="1:9" x14ac:dyDescent="0.25">
      <c r="A269" s="2" t="s">
        <v>21</v>
      </c>
      <c r="B269" s="2">
        <v>2400</v>
      </c>
      <c r="C269" s="2">
        <v>1</v>
      </c>
      <c r="D269" s="2" t="s">
        <v>34</v>
      </c>
      <c r="E269" s="3">
        <v>44425</v>
      </c>
      <c r="F269" s="2" t="s">
        <v>88</v>
      </c>
      <c r="G269" s="2" t="s">
        <v>89</v>
      </c>
      <c r="H269" s="2" t="s">
        <v>44</v>
      </c>
      <c r="I269" s="4">
        <v>20008</v>
      </c>
    </row>
    <row r="270" spans="1:9" x14ac:dyDescent="0.25">
      <c r="A270" s="2" t="s">
        <v>5</v>
      </c>
      <c r="B270" s="2">
        <v>1750</v>
      </c>
      <c r="C270" s="2">
        <v>1</v>
      </c>
      <c r="D270" s="2" t="s">
        <v>35</v>
      </c>
      <c r="E270" s="3">
        <v>44216</v>
      </c>
      <c r="F270" s="2" t="s">
        <v>137</v>
      </c>
      <c r="G270" s="2" t="s">
        <v>89</v>
      </c>
      <c r="H270" s="2" t="s">
        <v>49</v>
      </c>
      <c r="I270" s="4">
        <v>26554</v>
      </c>
    </row>
    <row r="271" spans="1:9" x14ac:dyDescent="0.25">
      <c r="A271" s="2" t="s">
        <v>25</v>
      </c>
      <c r="B271" s="2">
        <v>2500</v>
      </c>
      <c r="C271" s="2">
        <v>1</v>
      </c>
      <c r="D271" s="2" t="s">
        <v>36</v>
      </c>
      <c r="E271" s="3">
        <v>44341</v>
      </c>
      <c r="F271" s="2" t="s">
        <v>233</v>
      </c>
      <c r="G271" s="2" t="s">
        <v>63</v>
      </c>
      <c r="H271" s="2" t="s">
        <v>49</v>
      </c>
      <c r="I271" s="4">
        <v>31797</v>
      </c>
    </row>
    <row r="272" spans="1:9" x14ac:dyDescent="0.25">
      <c r="A272" s="2" t="s">
        <v>17</v>
      </c>
      <c r="B272" s="2">
        <v>1550</v>
      </c>
      <c r="C272" s="2">
        <v>4</v>
      </c>
      <c r="D272" s="2" t="s">
        <v>32</v>
      </c>
      <c r="E272" s="3">
        <v>44467</v>
      </c>
      <c r="F272" s="2" t="s">
        <v>109</v>
      </c>
      <c r="G272" s="2" t="s">
        <v>337</v>
      </c>
      <c r="H272" s="2" t="s">
        <v>44</v>
      </c>
      <c r="I272" s="4">
        <v>28472</v>
      </c>
    </row>
    <row r="273" spans="1:9" x14ac:dyDescent="0.25">
      <c r="A273" s="2" t="s">
        <v>20</v>
      </c>
      <c r="B273" s="2">
        <v>2600</v>
      </c>
      <c r="C273" s="2">
        <v>5</v>
      </c>
      <c r="D273" s="2" t="s">
        <v>35</v>
      </c>
      <c r="E273" s="3">
        <v>44323</v>
      </c>
      <c r="F273" s="2" t="s">
        <v>401</v>
      </c>
      <c r="G273" s="2" t="s">
        <v>213</v>
      </c>
      <c r="H273" s="2" t="s">
        <v>49</v>
      </c>
      <c r="I273" s="4">
        <v>25507</v>
      </c>
    </row>
    <row r="274" spans="1:9" x14ac:dyDescent="0.25">
      <c r="A274" s="2" t="s">
        <v>21</v>
      </c>
      <c r="B274" s="2">
        <v>2400</v>
      </c>
      <c r="C274" s="2">
        <v>2</v>
      </c>
      <c r="D274" s="2" t="s">
        <v>36</v>
      </c>
      <c r="E274" s="3">
        <v>44237</v>
      </c>
      <c r="F274" s="2" t="s">
        <v>122</v>
      </c>
      <c r="G274" s="2" t="s">
        <v>480</v>
      </c>
      <c r="H274" s="2" t="s">
        <v>49</v>
      </c>
      <c r="I274" s="4">
        <v>34198</v>
      </c>
    </row>
    <row r="275" spans="1:9" x14ac:dyDescent="0.25">
      <c r="A275" s="2" t="s">
        <v>18</v>
      </c>
      <c r="B275" s="2">
        <v>3000</v>
      </c>
      <c r="C275" s="2">
        <v>3</v>
      </c>
      <c r="D275" s="2" t="s">
        <v>40</v>
      </c>
      <c r="E275" s="3">
        <v>44388</v>
      </c>
      <c r="F275" s="2" t="s">
        <v>629</v>
      </c>
      <c r="G275" s="2" t="s">
        <v>346</v>
      </c>
      <c r="H275" s="2" t="s">
        <v>44</v>
      </c>
      <c r="I275" s="4">
        <v>32927</v>
      </c>
    </row>
    <row r="276" spans="1:9" x14ac:dyDescent="0.25">
      <c r="A276" s="2" t="s">
        <v>19</v>
      </c>
      <c r="B276" s="2">
        <v>700</v>
      </c>
      <c r="C276" s="2">
        <v>2</v>
      </c>
      <c r="D276" s="2" t="s">
        <v>41</v>
      </c>
      <c r="E276" s="3">
        <v>44553</v>
      </c>
      <c r="F276" s="2" t="s">
        <v>627</v>
      </c>
      <c r="G276" s="2" t="s">
        <v>308</v>
      </c>
      <c r="H276" s="2" t="s">
        <v>44</v>
      </c>
      <c r="I276" s="4">
        <v>31189</v>
      </c>
    </row>
    <row r="277" spans="1:9" x14ac:dyDescent="0.25">
      <c r="A277" s="2" t="s">
        <v>25</v>
      </c>
      <c r="B277" s="2">
        <v>2500</v>
      </c>
      <c r="C277" s="2">
        <v>2</v>
      </c>
      <c r="D277" s="2" t="s">
        <v>37</v>
      </c>
      <c r="E277" s="3">
        <v>44457</v>
      </c>
      <c r="F277" s="2" t="s">
        <v>120</v>
      </c>
      <c r="G277" s="2" t="s">
        <v>83</v>
      </c>
      <c r="H277" s="2" t="s">
        <v>44</v>
      </c>
      <c r="I277" s="4">
        <v>29779</v>
      </c>
    </row>
    <row r="278" spans="1:9" x14ac:dyDescent="0.25">
      <c r="A278" s="2" t="s">
        <v>18</v>
      </c>
      <c r="B278" s="2">
        <v>3000</v>
      </c>
      <c r="C278" s="2">
        <v>1</v>
      </c>
      <c r="D278" s="2" t="s">
        <v>38</v>
      </c>
      <c r="E278" s="3">
        <v>44310</v>
      </c>
      <c r="F278" s="2" t="s">
        <v>51</v>
      </c>
      <c r="G278" s="2" t="s">
        <v>412</v>
      </c>
      <c r="H278" s="2" t="s">
        <v>44</v>
      </c>
      <c r="I278" s="4">
        <v>32482</v>
      </c>
    </row>
    <row r="279" spans="1:9" x14ac:dyDescent="0.25">
      <c r="A279" s="2" t="s">
        <v>26</v>
      </c>
      <c r="B279" s="2">
        <v>1100</v>
      </c>
      <c r="C279" s="2">
        <v>4</v>
      </c>
      <c r="D279" s="2" t="s">
        <v>33</v>
      </c>
      <c r="E279" s="3">
        <v>44241</v>
      </c>
      <c r="F279" s="2" t="s">
        <v>601</v>
      </c>
      <c r="G279" s="2" t="s">
        <v>123</v>
      </c>
      <c r="H279" s="2" t="s">
        <v>44</v>
      </c>
      <c r="I279" s="4">
        <v>29735</v>
      </c>
    </row>
    <row r="280" spans="1:9" x14ac:dyDescent="0.25">
      <c r="A280" s="2" t="s">
        <v>6</v>
      </c>
      <c r="B280" s="2">
        <v>1200</v>
      </c>
      <c r="C280" s="2">
        <v>3</v>
      </c>
      <c r="D280" s="2" t="s">
        <v>29</v>
      </c>
      <c r="E280" s="3">
        <v>44287</v>
      </c>
      <c r="F280" s="2" t="s">
        <v>247</v>
      </c>
      <c r="G280" s="2" t="s">
        <v>130</v>
      </c>
      <c r="H280" s="2" t="s">
        <v>44</v>
      </c>
      <c r="I280" s="4">
        <v>33342</v>
      </c>
    </row>
    <row r="281" spans="1:9" x14ac:dyDescent="0.25">
      <c r="A281" s="2" t="s">
        <v>11</v>
      </c>
      <c r="B281" s="2">
        <v>4500</v>
      </c>
      <c r="C281" s="2">
        <v>3</v>
      </c>
      <c r="D281" s="2" t="s">
        <v>36</v>
      </c>
      <c r="E281" s="3">
        <v>44372</v>
      </c>
      <c r="F281" s="2" t="s">
        <v>85</v>
      </c>
      <c r="G281" s="2" t="s">
        <v>86</v>
      </c>
      <c r="H281" s="2" t="s">
        <v>49</v>
      </c>
      <c r="I281" s="4">
        <v>22416</v>
      </c>
    </row>
    <row r="282" spans="1:9" x14ac:dyDescent="0.25">
      <c r="A282" s="2" t="s">
        <v>25</v>
      </c>
      <c r="B282" s="2">
        <v>2500</v>
      </c>
      <c r="C282" s="2">
        <v>5</v>
      </c>
      <c r="D282" s="2" t="s">
        <v>36</v>
      </c>
      <c r="E282" s="3">
        <v>44561</v>
      </c>
      <c r="F282" s="2" t="s">
        <v>438</v>
      </c>
      <c r="G282" s="2" t="s">
        <v>453</v>
      </c>
      <c r="H282" s="2" t="s">
        <v>49</v>
      </c>
      <c r="I282" s="4">
        <v>23274</v>
      </c>
    </row>
    <row r="283" spans="1:9" x14ac:dyDescent="0.25">
      <c r="A283" s="2" t="s">
        <v>6</v>
      </c>
      <c r="B283" s="2">
        <v>1200</v>
      </c>
      <c r="C283" s="2">
        <v>4</v>
      </c>
      <c r="D283" s="2" t="s">
        <v>41</v>
      </c>
      <c r="E283" s="3">
        <v>44470</v>
      </c>
      <c r="F283" s="2" t="s">
        <v>111</v>
      </c>
      <c r="G283" s="2" t="s">
        <v>623</v>
      </c>
      <c r="H283" s="2" t="s">
        <v>44</v>
      </c>
      <c r="I283" s="4">
        <v>25704</v>
      </c>
    </row>
    <row r="284" spans="1:9" x14ac:dyDescent="0.25">
      <c r="A284" s="2" t="s">
        <v>10</v>
      </c>
      <c r="B284" s="2">
        <v>1450</v>
      </c>
      <c r="C284" s="2">
        <v>2</v>
      </c>
      <c r="D284" s="2" t="s">
        <v>39</v>
      </c>
      <c r="E284" s="3">
        <v>44561</v>
      </c>
      <c r="F284" s="2" t="s">
        <v>333</v>
      </c>
      <c r="G284" s="2" t="s">
        <v>472</v>
      </c>
      <c r="H284" s="2" t="s">
        <v>44</v>
      </c>
      <c r="I284" s="4">
        <v>30148</v>
      </c>
    </row>
    <row r="285" spans="1:9" x14ac:dyDescent="0.25">
      <c r="A285" s="2" t="s">
        <v>10</v>
      </c>
      <c r="B285" s="2">
        <v>1450</v>
      </c>
      <c r="C285" s="2">
        <v>2</v>
      </c>
      <c r="D285" s="2" t="s">
        <v>29</v>
      </c>
      <c r="E285" s="3">
        <v>44416</v>
      </c>
      <c r="F285" s="2" t="s">
        <v>111</v>
      </c>
      <c r="G285" s="2" t="s">
        <v>238</v>
      </c>
      <c r="H285" s="2" t="s">
        <v>44</v>
      </c>
      <c r="I285" s="4">
        <v>22611</v>
      </c>
    </row>
    <row r="286" spans="1:9" x14ac:dyDescent="0.25">
      <c r="A286" s="2" t="s">
        <v>20</v>
      </c>
      <c r="B286" s="2">
        <v>2600</v>
      </c>
      <c r="C286" s="2">
        <v>3</v>
      </c>
      <c r="D286" s="2" t="s">
        <v>41</v>
      </c>
      <c r="E286" s="3">
        <v>44286</v>
      </c>
      <c r="F286" s="2" t="s">
        <v>177</v>
      </c>
      <c r="G286" s="2" t="s">
        <v>543</v>
      </c>
      <c r="H286" s="2" t="s">
        <v>49</v>
      </c>
      <c r="I286" s="4">
        <v>34433</v>
      </c>
    </row>
    <row r="287" spans="1:9" x14ac:dyDescent="0.25">
      <c r="A287" s="2" t="s">
        <v>26</v>
      </c>
      <c r="B287" s="2">
        <v>1100</v>
      </c>
      <c r="C287" s="2">
        <v>4</v>
      </c>
      <c r="D287" s="2" t="s">
        <v>39</v>
      </c>
      <c r="E287" s="3">
        <v>44419</v>
      </c>
      <c r="F287" s="2" t="s">
        <v>173</v>
      </c>
      <c r="G287" s="2" t="s">
        <v>278</v>
      </c>
      <c r="H287" s="2" t="s">
        <v>44</v>
      </c>
      <c r="I287" s="4">
        <v>30474</v>
      </c>
    </row>
    <row r="288" spans="1:9" x14ac:dyDescent="0.25">
      <c r="A288" s="2" t="s">
        <v>25</v>
      </c>
      <c r="B288" s="2">
        <v>2500</v>
      </c>
      <c r="C288" s="2">
        <v>3</v>
      </c>
      <c r="D288" s="2" t="s">
        <v>34</v>
      </c>
      <c r="E288" s="3">
        <v>44540</v>
      </c>
      <c r="F288" s="2" t="s">
        <v>42</v>
      </c>
      <c r="G288" s="2" t="s">
        <v>100</v>
      </c>
      <c r="H288" s="2" t="s">
        <v>44</v>
      </c>
      <c r="I288" s="4">
        <v>36495</v>
      </c>
    </row>
    <row r="289" spans="1:9" x14ac:dyDescent="0.25">
      <c r="A289" s="2" t="s">
        <v>9</v>
      </c>
      <c r="B289" s="2">
        <v>1500</v>
      </c>
      <c r="C289" s="2">
        <v>3</v>
      </c>
      <c r="D289" s="2" t="s">
        <v>37</v>
      </c>
      <c r="E289" s="3">
        <v>44370</v>
      </c>
      <c r="F289" s="2" t="s">
        <v>202</v>
      </c>
      <c r="G289" s="2" t="s">
        <v>203</v>
      </c>
      <c r="H289" s="2" t="s">
        <v>49</v>
      </c>
      <c r="I289" s="4">
        <v>30193</v>
      </c>
    </row>
    <row r="290" spans="1:9" x14ac:dyDescent="0.25">
      <c r="A290" s="2" t="s">
        <v>14</v>
      </c>
      <c r="B290" s="2">
        <v>2000</v>
      </c>
      <c r="C290" s="2">
        <v>3</v>
      </c>
      <c r="D290" s="2" t="s">
        <v>38</v>
      </c>
      <c r="E290" s="3">
        <v>44485</v>
      </c>
      <c r="F290" s="2" t="s">
        <v>140</v>
      </c>
      <c r="G290" s="2" t="s">
        <v>310</v>
      </c>
      <c r="H290" s="2" t="s">
        <v>49</v>
      </c>
      <c r="I290" s="4">
        <v>30655</v>
      </c>
    </row>
    <row r="291" spans="1:9" x14ac:dyDescent="0.25">
      <c r="A291" s="2" t="s">
        <v>28</v>
      </c>
      <c r="B291" s="2">
        <v>1400</v>
      </c>
      <c r="C291" s="2">
        <v>2</v>
      </c>
      <c r="D291" s="2" t="s">
        <v>39</v>
      </c>
      <c r="E291" s="3">
        <v>44532</v>
      </c>
      <c r="F291" s="2" t="s">
        <v>158</v>
      </c>
      <c r="G291" s="2" t="s">
        <v>487</v>
      </c>
      <c r="H291" s="2" t="s">
        <v>49</v>
      </c>
      <c r="I291" s="4">
        <v>18331</v>
      </c>
    </row>
    <row r="292" spans="1:9" x14ac:dyDescent="0.25">
      <c r="A292" s="2" t="s">
        <v>7</v>
      </c>
      <c r="B292" s="2">
        <v>750</v>
      </c>
      <c r="C292" s="2">
        <v>5</v>
      </c>
      <c r="D292" s="2" t="s">
        <v>29</v>
      </c>
      <c r="E292" s="3">
        <v>44316</v>
      </c>
      <c r="F292" s="2" t="s">
        <v>173</v>
      </c>
      <c r="G292" s="2" t="s">
        <v>181</v>
      </c>
      <c r="H292" s="2" t="s">
        <v>44</v>
      </c>
      <c r="I292" s="4">
        <v>32179</v>
      </c>
    </row>
    <row r="293" spans="1:9" x14ac:dyDescent="0.25">
      <c r="A293" s="2" t="s">
        <v>24</v>
      </c>
      <c r="B293" s="2">
        <v>2000</v>
      </c>
      <c r="C293" s="2">
        <v>1</v>
      </c>
      <c r="D293" s="2" t="s">
        <v>38</v>
      </c>
      <c r="E293" s="3">
        <v>44400</v>
      </c>
      <c r="F293" s="2" t="s">
        <v>124</v>
      </c>
      <c r="G293" s="2" t="s">
        <v>509</v>
      </c>
      <c r="H293" s="2" t="s">
        <v>44</v>
      </c>
      <c r="I293" s="4">
        <v>26062</v>
      </c>
    </row>
    <row r="294" spans="1:9" x14ac:dyDescent="0.25">
      <c r="A294" s="2" t="s">
        <v>14</v>
      </c>
      <c r="B294" s="2">
        <v>2000</v>
      </c>
      <c r="C294" s="2">
        <v>1</v>
      </c>
      <c r="D294" s="2" t="s">
        <v>36</v>
      </c>
      <c r="E294" s="3">
        <v>44497</v>
      </c>
      <c r="F294" s="2" t="s">
        <v>264</v>
      </c>
      <c r="G294" s="2" t="s">
        <v>353</v>
      </c>
      <c r="H294" s="2" t="s">
        <v>49</v>
      </c>
      <c r="I294" s="4">
        <v>34434</v>
      </c>
    </row>
    <row r="295" spans="1:9" x14ac:dyDescent="0.25">
      <c r="A295" s="2" t="s">
        <v>26</v>
      </c>
      <c r="B295" s="2">
        <v>1100</v>
      </c>
      <c r="C295" s="2">
        <v>2</v>
      </c>
      <c r="D295" s="2" t="s">
        <v>30</v>
      </c>
      <c r="E295" s="3">
        <v>44197</v>
      </c>
      <c r="F295" s="2" t="s">
        <v>52</v>
      </c>
      <c r="G295" s="2" t="s">
        <v>325</v>
      </c>
      <c r="H295" s="2" t="s">
        <v>44</v>
      </c>
      <c r="I295" s="4">
        <v>35093</v>
      </c>
    </row>
    <row r="296" spans="1:9" x14ac:dyDescent="0.25">
      <c r="A296" s="2" t="s">
        <v>21</v>
      </c>
      <c r="B296" s="2">
        <v>2400</v>
      </c>
      <c r="C296" s="2">
        <v>4</v>
      </c>
      <c r="D296" s="2" t="s">
        <v>40</v>
      </c>
      <c r="E296" s="3">
        <v>44299</v>
      </c>
      <c r="F296" s="2" t="s">
        <v>470</v>
      </c>
      <c r="G296" s="2" t="s">
        <v>83</v>
      </c>
      <c r="H296" s="2" t="s">
        <v>49</v>
      </c>
      <c r="I296" s="4">
        <v>26920</v>
      </c>
    </row>
    <row r="297" spans="1:9" x14ac:dyDescent="0.25">
      <c r="A297" s="2" t="s">
        <v>10</v>
      </c>
      <c r="B297" s="2">
        <v>1450</v>
      </c>
      <c r="C297" s="2">
        <v>2</v>
      </c>
      <c r="D297" s="2" t="s">
        <v>29</v>
      </c>
      <c r="E297" s="3">
        <v>44401</v>
      </c>
      <c r="F297" s="2" t="s">
        <v>173</v>
      </c>
      <c r="G297" s="2" t="s">
        <v>181</v>
      </c>
      <c r="H297" s="2" t="s">
        <v>44</v>
      </c>
      <c r="I297" s="4">
        <v>32179</v>
      </c>
    </row>
    <row r="298" spans="1:9" x14ac:dyDescent="0.25">
      <c r="A298" s="2" t="s">
        <v>20</v>
      </c>
      <c r="B298" s="2">
        <v>2600</v>
      </c>
      <c r="C298" s="2">
        <v>3</v>
      </c>
      <c r="D298" s="2" t="s">
        <v>33</v>
      </c>
      <c r="E298" s="3">
        <v>44537</v>
      </c>
      <c r="F298" s="2" t="s">
        <v>109</v>
      </c>
      <c r="G298" s="2" t="s">
        <v>182</v>
      </c>
      <c r="H298" s="2" t="s">
        <v>44</v>
      </c>
      <c r="I298" s="4">
        <v>30803</v>
      </c>
    </row>
    <row r="299" spans="1:9" x14ac:dyDescent="0.25">
      <c r="A299" s="2" t="s">
        <v>8</v>
      </c>
      <c r="B299" s="2">
        <v>5500</v>
      </c>
      <c r="C299" s="2">
        <v>2</v>
      </c>
      <c r="D299" s="2" t="s">
        <v>41</v>
      </c>
      <c r="E299" s="3">
        <v>44444</v>
      </c>
      <c r="F299" s="2" t="s">
        <v>190</v>
      </c>
      <c r="G299" s="2" t="s">
        <v>545</v>
      </c>
      <c r="H299" s="2" t="s">
        <v>44</v>
      </c>
      <c r="I299" s="4">
        <v>20285</v>
      </c>
    </row>
    <row r="300" spans="1:9" x14ac:dyDescent="0.25">
      <c r="A300" s="2" t="s">
        <v>23</v>
      </c>
      <c r="B300" s="2">
        <v>1500</v>
      </c>
      <c r="C300" s="2">
        <v>5</v>
      </c>
      <c r="D300" s="2" t="s">
        <v>37</v>
      </c>
      <c r="E300" s="3">
        <v>44445</v>
      </c>
      <c r="F300" s="2" t="s">
        <v>401</v>
      </c>
      <c r="G300" s="2" t="s">
        <v>310</v>
      </c>
      <c r="H300" s="2" t="s">
        <v>49</v>
      </c>
      <c r="I300" s="4">
        <v>33535</v>
      </c>
    </row>
    <row r="301" spans="1:9" x14ac:dyDescent="0.25">
      <c r="A301" s="2" t="s">
        <v>25</v>
      </c>
      <c r="B301" s="2">
        <v>2500</v>
      </c>
      <c r="C301" s="2">
        <v>4</v>
      </c>
      <c r="D301" s="2" t="s">
        <v>38</v>
      </c>
      <c r="E301" s="3">
        <v>44197</v>
      </c>
      <c r="F301" s="2" t="s">
        <v>552</v>
      </c>
      <c r="G301" s="2" t="s">
        <v>553</v>
      </c>
      <c r="H301" s="2" t="s">
        <v>49</v>
      </c>
      <c r="I301" s="4">
        <v>23179</v>
      </c>
    </row>
    <row r="302" spans="1:9" x14ac:dyDescent="0.25">
      <c r="A302" s="2" t="s">
        <v>7</v>
      </c>
      <c r="B302" s="2">
        <v>750</v>
      </c>
      <c r="C302" s="2">
        <v>4</v>
      </c>
      <c r="D302" s="2" t="s">
        <v>30</v>
      </c>
      <c r="E302" s="3">
        <v>44421</v>
      </c>
      <c r="F302" s="2" t="s">
        <v>401</v>
      </c>
      <c r="G302" s="2" t="s">
        <v>558</v>
      </c>
      <c r="H302" s="2" t="s">
        <v>49</v>
      </c>
      <c r="I302" s="4">
        <v>21217</v>
      </c>
    </row>
    <row r="303" spans="1:9" x14ac:dyDescent="0.25">
      <c r="A303" s="2" t="s">
        <v>8</v>
      </c>
      <c r="B303" s="2">
        <v>5500</v>
      </c>
      <c r="C303" s="2">
        <v>1</v>
      </c>
      <c r="D303" s="2" t="s">
        <v>31</v>
      </c>
      <c r="E303" s="3">
        <v>44342</v>
      </c>
      <c r="F303" s="2" t="s">
        <v>56</v>
      </c>
      <c r="G303" s="2" t="s">
        <v>138</v>
      </c>
      <c r="H303" s="2" t="s">
        <v>44</v>
      </c>
      <c r="I303" s="4">
        <v>26742</v>
      </c>
    </row>
    <row r="304" spans="1:9" x14ac:dyDescent="0.25">
      <c r="A304" s="2" t="s">
        <v>18</v>
      </c>
      <c r="B304" s="2">
        <v>3000</v>
      </c>
      <c r="C304" s="2">
        <v>2</v>
      </c>
      <c r="D304" s="2" t="s">
        <v>31</v>
      </c>
      <c r="E304" s="3">
        <v>44354</v>
      </c>
      <c r="F304" s="2" t="s">
        <v>260</v>
      </c>
      <c r="G304" s="2" t="s">
        <v>203</v>
      </c>
      <c r="H304" s="2" t="s">
        <v>49</v>
      </c>
      <c r="I304" s="4">
        <v>29734</v>
      </c>
    </row>
    <row r="305" spans="1:9" x14ac:dyDescent="0.25">
      <c r="A305" s="2" t="s">
        <v>22</v>
      </c>
      <c r="B305" s="2">
        <v>5200</v>
      </c>
      <c r="C305" s="2">
        <v>4</v>
      </c>
      <c r="D305" s="2" t="s">
        <v>38</v>
      </c>
      <c r="E305" s="3">
        <v>44337</v>
      </c>
      <c r="F305" s="2" t="s">
        <v>258</v>
      </c>
      <c r="G305" s="2" t="s">
        <v>81</v>
      </c>
      <c r="H305" s="2" t="s">
        <v>49</v>
      </c>
      <c r="I305" s="4">
        <v>33726</v>
      </c>
    </row>
    <row r="306" spans="1:9" x14ac:dyDescent="0.25">
      <c r="A306" s="2" t="s">
        <v>27</v>
      </c>
      <c r="B306" s="2">
        <v>1500</v>
      </c>
      <c r="C306" s="2">
        <v>2</v>
      </c>
      <c r="D306" s="2" t="s">
        <v>29</v>
      </c>
      <c r="E306" s="3">
        <v>44499</v>
      </c>
      <c r="F306" s="2" t="s">
        <v>124</v>
      </c>
      <c r="G306" s="2" t="s">
        <v>574</v>
      </c>
      <c r="H306" s="2" t="s">
        <v>44</v>
      </c>
      <c r="I306" s="4">
        <v>28058</v>
      </c>
    </row>
    <row r="307" spans="1:9" x14ac:dyDescent="0.25">
      <c r="A307" s="2" t="s">
        <v>19</v>
      </c>
      <c r="B307" s="2">
        <v>700</v>
      </c>
      <c r="C307" s="2">
        <v>1</v>
      </c>
      <c r="D307" s="2" t="s">
        <v>34</v>
      </c>
      <c r="E307" s="3">
        <v>44415</v>
      </c>
      <c r="F307" s="2" t="s">
        <v>88</v>
      </c>
      <c r="G307" s="2" t="s">
        <v>89</v>
      </c>
      <c r="H307" s="2" t="s">
        <v>44</v>
      </c>
      <c r="I307" s="4">
        <v>20008</v>
      </c>
    </row>
    <row r="308" spans="1:9" x14ac:dyDescent="0.25">
      <c r="A308" s="2" t="s">
        <v>9</v>
      </c>
      <c r="B308" s="2">
        <v>1500</v>
      </c>
      <c r="C308" s="2">
        <v>5</v>
      </c>
      <c r="D308" s="2" t="s">
        <v>36</v>
      </c>
      <c r="E308" s="3">
        <v>44402</v>
      </c>
      <c r="F308" s="2" t="s">
        <v>173</v>
      </c>
      <c r="G308" s="2" t="s">
        <v>359</v>
      </c>
      <c r="H308" s="2" t="s">
        <v>44</v>
      </c>
      <c r="I308" s="4">
        <v>33395</v>
      </c>
    </row>
    <row r="309" spans="1:9" x14ac:dyDescent="0.25">
      <c r="A309" s="2" t="s">
        <v>25</v>
      </c>
      <c r="B309" s="2">
        <v>2500</v>
      </c>
      <c r="C309" s="2">
        <v>4</v>
      </c>
      <c r="D309" s="2" t="s">
        <v>33</v>
      </c>
      <c r="E309" s="3">
        <v>44439</v>
      </c>
      <c r="F309" s="2" t="s">
        <v>109</v>
      </c>
      <c r="G309" s="2" t="s">
        <v>220</v>
      </c>
      <c r="H309" s="2" t="s">
        <v>44</v>
      </c>
      <c r="I309" s="4">
        <v>33043</v>
      </c>
    </row>
    <row r="310" spans="1:9" x14ac:dyDescent="0.25">
      <c r="A310" s="2" t="s">
        <v>9</v>
      </c>
      <c r="B310" s="2">
        <v>1500</v>
      </c>
      <c r="C310" s="2">
        <v>3</v>
      </c>
      <c r="D310" s="2" t="s">
        <v>38</v>
      </c>
      <c r="E310" s="3">
        <v>44477</v>
      </c>
      <c r="F310" s="2" t="s">
        <v>140</v>
      </c>
      <c r="G310" s="2" t="s">
        <v>310</v>
      </c>
      <c r="H310" s="2" t="s">
        <v>49</v>
      </c>
      <c r="I310" s="4">
        <v>30655</v>
      </c>
    </row>
    <row r="311" spans="1:9" x14ac:dyDescent="0.25">
      <c r="A311" s="2" t="s">
        <v>8</v>
      </c>
      <c r="B311" s="2">
        <v>5500</v>
      </c>
      <c r="C311" s="2">
        <v>3</v>
      </c>
      <c r="D311" s="2" t="s">
        <v>29</v>
      </c>
      <c r="E311" s="3">
        <v>44266</v>
      </c>
      <c r="F311" s="2" t="s">
        <v>301</v>
      </c>
      <c r="G311" s="2" t="s">
        <v>449</v>
      </c>
      <c r="H311" s="2" t="s">
        <v>49</v>
      </c>
      <c r="I311" s="4">
        <v>33640</v>
      </c>
    </row>
    <row r="312" spans="1:9" x14ac:dyDescent="0.25">
      <c r="A312" s="2" t="s">
        <v>14</v>
      </c>
      <c r="B312" s="2">
        <v>2000</v>
      </c>
      <c r="C312" s="2">
        <v>2</v>
      </c>
      <c r="D312" s="2" t="s">
        <v>39</v>
      </c>
      <c r="E312" s="3">
        <v>44415</v>
      </c>
      <c r="F312" s="2" t="s">
        <v>155</v>
      </c>
      <c r="G312" s="2" t="s">
        <v>459</v>
      </c>
      <c r="H312" s="2" t="s">
        <v>44</v>
      </c>
      <c r="I312" s="4">
        <v>21339</v>
      </c>
    </row>
    <row r="313" spans="1:9" x14ac:dyDescent="0.25">
      <c r="A313" s="2" t="s">
        <v>26</v>
      </c>
      <c r="B313" s="2">
        <v>1100</v>
      </c>
      <c r="C313" s="2">
        <v>1</v>
      </c>
      <c r="D313" s="2" t="s">
        <v>29</v>
      </c>
      <c r="E313" s="3">
        <v>44531</v>
      </c>
      <c r="F313" s="2" t="s">
        <v>136</v>
      </c>
      <c r="G313" s="2" t="s">
        <v>75</v>
      </c>
      <c r="H313" s="2" t="s">
        <v>49</v>
      </c>
      <c r="I313" s="4">
        <v>19190</v>
      </c>
    </row>
    <row r="314" spans="1:9" x14ac:dyDescent="0.25">
      <c r="A314" s="2" t="s">
        <v>8</v>
      </c>
      <c r="B314" s="2">
        <v>5500</v>
      </c>
      <c r="C314" s="2">
        <v>2</v>
      </c>
      <c r="D314" s="2" t="s">
        <v>38</v>
      </c>
      <c r="E314" s="3">
        <v>44242</v>
      </c>
      <c r="F314" s="2" t="s">
        <v>84</v>
      </c>
      <c r="G314" s="2" t="s">
        <v>63</v>
      </c>
      <c r="H314" s="2" t="s">
        <v>44</v>
      </c>
      <c r="I314" s="4">
        <v>23490</v>
      </c>
    </row>
    <row r="315" spans="1:9" x14ac:dyDescent="0.25">
      <c r="A315" s="2" t="s">
        <v>16</v>
      </c>
      <c r="B315" s="2">
        <v>1400</v>
      </c>
      <c r="C315" s="2">
        <v>1</v>
      </c>
      <c r="D315" s="2" t="s">
        <v>36</v>
      </c>
      <c r="E315" s="3">
        <v>44276</v>
      </c>
      <c r="F315" s="2" t="s">
        <v>264</v>
      </c>
      <c r="G315" s="2" t="s">
        <v>125</v>
      </c>
      <c r="H315" s="2" t="s">
        <v>49</v>
      </c>
      <c r="I315" s="4">
        <v>26247</v>
      </c>
    </row>
    <row r="316" spans="1:9" x14ac:dyDescent="0.25">
      <c r="A316" s="2" t="s">
        <v>26</v>
      </c>
      <c r="B316" s="2">
        <v>1100</v>
      </c>
      <c r="C316" s="2">
        <v>1</v>
      </c>
      <c r="D316" s="2" t="s">
        <v>29</v>
      </c>
      <c r="E316" s="3">
        <v>44283</v>
      </c>
      <c r="F316" s="2" t="s">
        <v>344</v>
      </c>
      <c r="G316" s="2" t="s">
        <v>345</v>
      </c>
      <c r="H316" s="2" t="s">
        <v>49</v>
      </c>
      <c r="I316" s="4">
        <v>31278</v>
      </c>
    </row>
    <row r="317" spans="1:9" x14ac:dyDescent="0.25">
      <c r="A317" s="2" t="s">
        <v>17</v>
      </c>
      <c r="B317" s="2">
        <v>1550</v>
      </c>
      <c r="C317" s="2">
        <v>2</v>
      </c>
      <c r="D317" s="2" t="s">
        <v>32</v>
      </c>
      <c r="E317" s="3">
        <v>44296</v>
      </c>
      <c r="F317" s="2" t="s">
        <v>51</v>
      </c>
      <c r="G317" s="2" t="s">
        <v>99</v>
      </c>
      <c r="H317" s="2" t="s">
        <v>44</v>
      </c>
      <c r="I317" s="4">
        <v>18276</v>
      </c>
    </row>
    <row r="318" spans="1:9" x14ac:dyDescent="0.25">
      <c r="A318" s="2" t="s">
        <v>9</v>
      </c>
      <c r="B318" s="2">
        <v>1500</v>
      </c>
      <c r="C318" s="2">
        <v>2</v>
      </c>
      <c r="D318" s="2" t="s">
        <v>37</v>
      </c>
      <c r="E318" s="3">
        <v>44359</v>
      </c>
      <c r="F318" s="2" t="s">
        <v>70</v>
      </c>
      <c r="G318" s="2" t="s">
        <v>71</v>
      </c>
      <c r="H318" s="2" t="s">
        <v>44</v>
      </c>
      <c r="I318" s="4">
        <v>22633</v>
      </c>
    </row>
    <row r="319" spans="1:9" x14ac:dyDescent="0.25">
      <c r="A319" s="2" t="s">
        <v>6</v>
      </c>
      <c r="B319" s="2">
        <v>1200</v>
      </c>
      <c r="C319" s="2">
        <v>2</v>
      </c>
      <c r="D319" s="2" t="s">
        <v>30</v>
      </c>
      <c r="E319" s="3">
        <v>44362</v>
      </c>
      <c r="F319" s="2" t="s">
        <v>87</v>
      </c>
      <c r="G319" s="2" t="s">
        <v>171</v>
      </c>
      <c r="H319" s="2" t="s">
        <v>44</v>
      </c>
      <c r="I319" s="4">
        <v>28244</v>
      </c>
    </row>
    <row r="320" spans="1:9" x14ac:dyDescent="0.25">
      <c r="A320" s="2" t="s">
        <v>15</v>
      </c>
      <c r="B320" s="2">
        <v>1900</v>
      </c>
      <c r="C320" s="2">
        <v>2</v>
      </c>
      <c r="D320" s="2" t="s">
        <v>32</v>
      </c>
      <c r="E320" s="3">
        <v>44286</v>
      </c>
      <c r="F320" s="2" t="s">
        <v>70</v>
      </c>
      <c r="G320" s="2" t="s">
        <v>319</v>
      </c>
      <c r="H320" s="2" t="s">
        <v>44</v>
      </c>
      <c r="I320" s="4">
        <v>32945</v>
      </c>
    </row>
    <row r="321" spans="1:9" x14ac:dyDescent="0.25">
      <c r="A321" s="2" t="s">
        <v>12</v>
      </c>
      <c r="B321" s="2">
        <v>6500</v>
      </c>
      <c r="C321" s="2">
        <v>2</v>
      </c>
      <c r="D321" s="2" t="s">
        <v>41</v>
      </c>
      <c r="E321" s="3">
        <v>44496</v>
      </c>
      <c r="F321" s="2" t="s">
        <v>396</v>
      </c>
      <c r="G321" s="2" t="s">
        <v>397</v>
      </c>
      <c r="H321" s="2" t="s">
        <v>49</v>
      </c>
      <c r="I321" s="4">
        <v>18731</v>
      </c>
    </row>
    <row r="322" spans="1:9" x14ac:dyDescent="0.25">
      <c r="A322" s="2" t="s">
        <v>14</v>
      </c>
      <c r="B322" s="2">
        <v>2000</v>
      </c>
      <c r="C322" s="2">
        <v>5</v>
      </c>
      <c r="D322" s="2" t="s">
        <v>34</v>
      </c>
      <c r="E322" s="3">
        <v>44378</v>
      </c>
      <c r="F322" s="2" t="s">
        <v>275</v>
      </c>
      <c r="G322" s="2" t="s">
        <v>276</v>
      </c>
      <c r="H322" s="2" t="s">
        <v>49</v>
      </c>
      <c r="I322" s="4">
        <v>21396</v>
      </c>
    </row>
    <row r="323" spans="1:9" x14ac:dyDescent="0.25">
      <c r="A323" s="2" t="s">
        <v>27</v>
      </c>
      <c r="B323" s="2">
        <v>1500</v>
      </c>
      <c r="C323" s="2">
        <v>3</v>
      </c>
      <c r="D323" s="2" t="s">
        <v>41</v>
      </c>
      <c r="E323" s="3">
        <v>44393</v>
      </c>
      <c r="F323" s="2" t="s">
        <v>379</v>
      </c>
      <c r="G323" s="2" t="s">
        <v>205</v>
      </c>
      <c r="H323" s="2" t="s">
        <v>44</v>
      </c>
      <c r="I323" s="4">
        <v>31424</v>
      </c>
    </row>
    <row r="324" spans="1:9" x14ac:dyDescent="0.25">
      <c r="A324" s="2" t="s">
        <v>13</v>
      </c>
      <c r="B324" s="2">
        <v>2300</v>
      </c>
      <c r="C324" s="2">
        <v>4</v>
      </c>
      <c r="D324" s="2" t="s">
        <v>30</v>
      </c>
      <c r="E324" s="3">
        <v>44268</v>
      </c>
      <c r="F324" s="2" t="s">
        <v>98</v>
      </c>
      <c r="G324" s="2" t="s">
        <v>530</v>
      </c>
      <c r="H324" s="2" t="s">
        <v>44</v>
      </c>
      <c r="I324" s="4">
        <v>27687</v>
      </c>
    </row>
    <row r="325" spans="1:9" x14ac:dyDescent="0.25">
      <c r="A325" s="2" t="s">
        <v>15</v>
      </c>
      <c r="B325" s="2">
        <v>1900</v>
      </c>
      <c r="C325" s="2">
        <v>5</v>
      </c>
      <c r="D325" s="2" t="s">
        <v>33</v>
      </c>
      <c r="E325" s="3">
        <v>44406</v>
      </c>
      <c r="F325" s="2" t="s">
        <v>217</v>
      </c>
      <c r="G325" s="2" t="s">
        <v>297</v>
      </c>
      <c r="H325" s="2" t="s">
        <v>44</v>
      </c>
      <c r="I325" s="4">
        <v>27883</v>
      </c>
    </row>
    <row r="326" spans="1:9" x14ac:dyDescent="0.25">
      <c r="A326" s="2" t="s">
        <v>14</v>
      </c>
      <c r="B326" s="2">
        <v>2000</v>
      </c>
      <c r="C326" s="2">
        <v>4</v>
      </c>
      <c r="D326" s="2" t="s">
        <v>38</v>
      </c>
      <c r="E326" s="3">
        <v>44548</v>
      </c>
      <c r="F326" s="2" t="s">
        <v>167</v>
      </c>
      <c r="G326" s="2" t="s">
        <v>168</v>
      </c>
      <c r="H326" s="2" t="s">
        <v>44</v>
      </c>
      <c r="I326" s="4">
        <v>32536</v>
      </c>
    </row>
    <row r="327" spans="1:9" x14ac:dyDescent="0.25">
      <c r="A327" s="2" t="s">
        <v>6</v>
      </c>
      <c r="B327" s="2">
        <v>1200</v>
      </c>
      <c r="C327" s="2">
        <v>3</v>
      </c>
      <c r="D327" s="2" t="s">
        <v>35</v>
      </c>
      <c r="E327" s="3">
        <v>44408</v>
      </c>
      <c r="F327" s="2" t="s">
        <v>364</v>
      </c>
      <c r="G327" s="2" t="s">
        <v>625</v>
      </c>
      <c r="H327" s="2" t="s">
        <v>44</v>
      </c>
      <c r="I327" s="4">
        <v>24444</v>
      </c>
    </row>
    <row r="328" spans="1:9" x14ac:dyDescent="0.25">
      <c r="A328" s="2" t="s">
        <v>19</v>
      </c>
      <c r="B328" s="2">
        <v>700</v>
      </c>
      <c r="C328" s="2">
        <v>4</v>
      </c>
      <c r="D328" s="2" t="s">
        <v>30</v>
      </c>
      <c r="E328" s="3">
        <v>44441</v>
      </c>
      <c r="F328" s="2" t="s">
        <v>78</v>
      </c>
      <c r="G328" s="2" t="s">
        <v>549</v>
      </c>
      <c r="H328" s="2" t="s">
        <v>49</v>
      </c>
      <c r="I328" s="4">
        <v>29417</v>
      </c>
    </row>
    <row r="329" spans="1:9" x14ac:dyDescent="0.25">
      <c r="A329" s="2" t="s">
        <v>10</v>
      </c>
      <c r="B329" s="2">
        <v>1450</v>
      </c>
      <c r="C329" s="2">
        <v>4</v>
      </c>
      <c r="D329" s="2" t="s">
        <v>30</v>
      </c>
      <c r="E329" s="3">
        <v>44377</v>
      </c>
      <c r="F329" s="2" t="s">
        <v>98</v>
      </c>
      <c r="G329" s="2" t="s">
        <v>139</v>
      </c>
      <c r="H329" s="2" t="s">
        <v>44</v>
      </c>
      <c r="I329" s="4">
        <v>24585</v>
      </c>
    </row>
    <row r="330" spans="1:9" x14ac:dyDescent="0.25">
      <c r="A330" s="2" t="s">
        <v>20</v>
      </c>
      <c r="B330" s="2">
        <v>2600</v>
      </c>
      <c r="C330" s="2">
        <v>4</v>
      </c>
      <c r="D330" s="2" t="s">
        <v>40</v>
      </c>
      <c r="E330" s="3">
        <v>44547</v>
      </c>
      <c r="F330" s="2" t="s">
        <v>405</v>
      </c>
      <c r="G330" s="2" t="s">
        <v>238</v>
      </c>
      <c r="H330" s="2" t="s">
        <v>44</v>
      </c>
      <c r="I330" s="4">
        <v>24301</v>
      </c>
    </row>
    <row r="331" spans="1:9" x14ac:dyDescent="0.25">
      <c r="A331" s="2" t="s">
        <v>25</v>
      </c>
      <c r="B331" s="2">
        <v>2500</v>
      </c>
      <c r="C331" s="2">
        <v>5</v>
      </c>
      <c r="D331" s="2" t="s">
        <v>31</v>
      </c>
      <c r="E331" s="3">
        <v>44520</v>
      </c>
      <c r="F331" s="2" t="s">
        <v>51</v>
      </c>
      <c r="G331" s="2" t="s">
        <v>596</v>
      </c>
      <c r="H331" s="2" t="s">
        <v>44</v>
      </c>
      <c r="I331" s="4">
        <v>26563</v>
      </c>
    </row>
    <row r="332" spans="1:9" x14ac:dyDescent="0.25">
      <c r="A332" s="2" t="s">
        <v>28</v>
      </c>
      <c r="B332" s="2">
        <v>1400</v>
      </c>
      <c r="C332" s="2">
        <v>1</v>
      </c>
      <c r="D332" s="2" t="s">
        <v>35</v>
      </c>
      <c r="E332" s="3">
        <v>44338</v>
      </c>
      <c r="F332" s="2" t="s">
        <v>190</v>
      </c>
      <c r="G332" s="2" t="s">
        <v>174</v>
      </c>
      <c r="H332" s="2" t="s">
        <v>44</v>
      </c>
      <c r="I332" s="4">
        <v>22981</v>
      </c>
    </row>
    <row r="333" spans="1:9" x14ac:dyDescent="0.25">
      <c r="A333" s="2" t="s">
        <v>23</v>
      </c>
      <c r="B333" s="2">
        <v>1500</v>
      </c>
      <c r="C333" s="2">
        <v>2</v>
      </c>
      <c r="D333" s="2" t="s">
        <v>39</v>
      </c>
      <c r="E333" s="3">
        <v>44208</v>
      </c>
      <c r="F333" s="2" t="s">
        <v>289</v>
      </c>
      <c r="G333" s="2" t="s">
        <v>83</v>
      </c>
      <c r="H333" s="2" t="s">
        <v>44</v>
      </c>
      <c r="I333" s="4">
        <v>20233</v>
      </c>
    </row>
    <row r="334" spans="1:9" x14ac:dyDescent="0.25">
      <c r="A334" s="2" t="s">
        <v>27</v>
      </c>
      <c r="B334" s="2">
        <v>1500</v>
      </c>
      <c r="C334" s="2">
        <v>4</v>
      </c>
      <c r="D334" s="2" t="s">
        <v>35</v>
      </c>
      <c r="E334" s="3">
        <v>44219</v>
      </c>
      <c r="F334" s="2" t="s">
        <v>120</v>
      </c>
      <c r="G334" s="2" t="s">
        <v>440</v>
      </c>
      <c r="H334" s="2" t="s">
        <v>44</v>
      </c>
      <c r="I334" s="4">
        <v>25875</v>
      </c>
    </row>
    <row r="335" spans="1:9" x14ac:dyDescent="0.25">
      <c r="A335" s="2" t="s">
        <v>7</v>
      </c>
      <c r="B335" s="2">
        <v>750</v>
      </c>
      <c r="C335" s="2">
        <v>5</v>
      </c>
      <c r="D335" s="2" t="s">
        <v>40</v>
      </c>
      <c r="E335" s="3">
        <v>44495</v>
      </c>
      <c r="F335" s="2" t="s">
        <v>150</v>
      </c>
      <c r="G335" s="2" t="s">
        <v>151</v>
      </c>
      <c r="H335" s="2" t="s">
        <v>44</v>
      </c>
      <c r="I335" s="4">
        <v>36228</v>
      </c>
    </row>
    <row r="336" spans="1:9" x14ac:dyDescent="0.25">
      <c r="A336" s="2" t="s">
        <v>5</v>
      </c>
      <c r="B336" s="2">
        <v>1750</v>
      </c>
      <c r="C336" s="2">
        <v>2</v>
      </c>
      <c r="D336" s="2" t="s">
        <v>31</v>
      </c>
      <c r="E336" s="3">
        <v>44410</v>
      </c>
      <c r="F336" s="2" t="s">
        <v>137</v>
      </c>
      <c r="G336" s="2" t="s">
        <v>400</v>
      </c>
      <c r="H336" s="2" t="s">
        <v>49</v>
      </c>
      <c r="I336" s="4">
        <v>35174</v>
      </c>
    </row>
    <row r="337" spans="1:9" x14ac:dyDescent="0.25">
      <c r="A337" s="2" t="s">
        <v>24</v>
      </c>
      <c r="B337" s="2">
        <v>2000</v>
      </c>
      <c r="C337" s="2">
        <v>3</v>
      </c>
      <c r="D337" s="2" t="s">
        <v>38</v>
      </c>
      <c r="E337" s="3">
        <v>44240</v>
      </c>
      <c r="F337" s="2" t="s">
        <v>196</v>
      </c>
      <c r="G337" s="2" t="s">
        <v>346</v>
      </c>
      <c r="H337" s="2" t="s">
        <v>44</v>
      </c>
      <c r="I337" s="4">
        <v>20383</v>
      </c>
    </row>
    <row r="338" spans="1:9" x14ac:dyDescent="0.25">
      <c r="A338" s="2" t="s">
        <v>25</v>
      </c>
      <c r="B338" s="2">
        <v>2500</v>
      </c>
      <c r="C338" s="2">
        <v>1</v>
      </c>
      <c r="D338" s="2" t="s">
        <v>37</v>
      </c>
      <c r="E338" s="3">
        <v>44229</v>
      </c>
      <c r="F338" s="2" t="s">
        <v>155</v>
      </c>
      <c r="G338" s="2" t="s">
        <v>229</v>
      </c>
      <c r="H338" s="2" t="s">
        <v>44</v>
      </c>
      <c r="I338" s="4">
        <v>30486</v>
      </c>
    </row>
    <row r="339" spans="1:9" x14ac:dyDescent="0.25">
      <c r="A339" s="2" t="s">
        <v>14</v>
      </c>
      <c r="B339" s="2">
        <v>2000</v>
      </c>
      <c r="C339" s="2">
        <v>2</v>
      </c>
      <c r="D339" s="2" t="s">
        <v>35</v>
      </c>
      <c r="E339" s="3">
        <v>44412</v>
      </c>
      <c r="F339" s="2" t="s">
        <v>158</v>
      </c>
      <c r="G339" s="2" t="s">
        <v>330</v>
      </c>
      <c r="H339" s="2" t="s">
        <v>49</v>
      </c>
      <c r="I339" s="4">
        <v>29314</v>
      </c>
    </row>
    <row r="340" spans="1:9" x14ac:dyDescent="0.25">
      <c r="A340" s="2" t="s">
        <v>16</v>
      </c>
      <c r="B340" s="2">
        <v>1400</v>
      </c>
      <c r="C340" s="2">
        <v>1</v>
      </c>
      <c r="D340" s="2" t="s">
        <v>31</v>
      </c>
      <c r="E340" s="3">
        <v>44267</v>
      </c>
      <c r="F340" s="2" t="s">
        <v>155</v>
      </c>
      <c r="G340" s="2" t="s">
        <v>55</v>
      </c>
      <c r="H340" s="2" t="s">
        <v>44</v>
      </c>
      <c r="I340" s="4">
        <v>31729</v>
      </c>
    </row>
    <row r="341" spans="1:9" x14ac:dyDescent="0.25">
      <c r="A341" s="2" t="s">
        <v>13</v>
      </c>
      <c r="B341" s="2">
        <v>2300</v>
      </c>
      <c r="C341" s="2">
        <v>3</v>
      </c>
      <c r="D341" s="2" t="s">
        <v>38</v>
      </c>
      <c r="E341" s="3">
        <v>44450</v>
      </c>
      <c r="F341" s="2" t="s">
        <v>272</v>
      </c>
      <c r="G341" s="2" t="s">
        <v>273</v>
      </c>
      <c r="H341" s="2" t="s">
        <v>49</v>
      </c>
      <c r="I341" s="4">
        <v>30689</v>
      </c>
    </row>
    <row r="342" spans="1:9" x14ac:dyDescent="0.25">
      <c r="A342" s="2" t="s">
        <v>9</v>
      </c>
      <c r="B342" s="2">
        <v>1500</v>
      </c>
      <c r="C342" s="2">
        <v>4</v>
      </c>
      <c r="D342" s="2" t="s">
        <v>39</v>
      </c>
      <c r="E342" s="3">
        <v>44424</v>
      </c>
      <c r="F342" s="2" t="s">
        <v>64</v>
      </c>
      <c r="G342" s="2" t="s">
        <v>594</v>
      </c>
      <c r="H342" s="2" t="s">
        <v>44</v>
      </c>
      <c r="I342" s="4">
        <v>36419</v>
      </c>
    </row>
    <row r="343" spans="1:9" x14ac:dyDescent="0.25">
      <c r="A343" s="2" t="s">
        <v>13</v>
      </c>
      <c r="B343" s="2">
        <v>2300</v>
      </c>
      <c r="C343" s="2">
        <v>4</v>
      </c>
      <c r="D343" s="2" t="s">
        <v>34</v>
      </c>
      <c r="E343" s="3">
        <v>44388</v>
      </c>
      <c r="F343" s="2" t="s">
        <v>120</v>
      </c>
      <c r="G343" s="2" t="s">
        <v>169</v>
      </c>
      <c r="H343" s="2" t="s">
        <v>44</v>
      </c>
      <c r="I343" s="4">
        <v>33230</v>
      </c>
    </row>
    <row r="344" spans="1:9" x14ac:dyDescent="0.25">
      <c r="A344" s="2" t="s">
        <v>19</v>
      </c>
      <c r="B344" s="2">
        <v>700</v>
      </c>
      <c r="C344" s="2">
        <v>1</v>
      </c>
      <c r="D344" s="2" t="s">
        <v>40</v>
      </c>
      <c r="E344" s="3">
        <v>44396</v>
      </c>
      <c r="F344" s="2" t="s">
        <v>124</v>
      </c>
      <c r="G344" s="2" t="s">
        <v>520</v>
      </c>
      <c r="H344" s="2" t="s">
        <v>44</v>
      </c>
      <c r="I344" s="4">
        <v>36819</v>
      </c>
    </row>
    <row r="345" spans="1:9" x14ac:dyDescent="0.25">
      <c r="A345" s="2" t="s">
        <v>28</v>
      </c>
      <c r="B345" s="2">
        <v>1400</v>
      </c>
      <c r="C345" s="2">
        <v>5</v>
      </c>
      <c r="D345" s="2" t="s">
        <v>29</v>
      </c>
      <c r="E345" s="3">
        <v>44323</v>
      </c>
      <c r="F345" s="2" t="s">
        <v>190</v>
      </c>
      <c r="G345" s="2" t="s">
        <v>313</v>
      </c>
      <c r="H345" s="2" t="s">
        <v>44</v>
      </c>
      <c r="I345" s="4">
        <v>19708</v>
      </c>
    </row>
    <row r="346" spans="1:9" x14ac:dyDescent="0.25">
      <c r="A346" s="2" t="s">
        <v>7</v>
      </c>
      <c r="B346" s="2">
        <v>750</v>
      </c>
      <c r="C346" s="2">
        <v>5</v>
      </c>
      <c r="D346" s="2" t="s">
        <v>41</v>
      </c>
      <c r="E346" s="3">
        <v>44499</v>
      </c>
      <c r="F346" s="2" t="s">
        <v>299</v>
      </c>
      <c r="G346" s="2" t="s">
        <v>141</v>
      </c>
      <c r="H346" s="2" t="s">
        <v>44</v>
      </c>
      <c r="I346" s="4">
        <v>24769</v>
      </c>
    </row>
    <row r="347" spans="1:9" x14ac:dyDescent="0.25">
      <c r="A347" s="2" t="s">
        <v>10</v>
      </c>
      <c r="B347" s="2">
        <v>1450</v>
      </c>
      <c r="C347" s="2">
        <v>2</v>
      </c>
      <c r="D347" s="2" t="s">
        <v>37</v>
      </c>
      <c r="E347" s="3">
        <v>44483</v>
      </c>
      <c r="F347" s="2" t="s">
        <v>512</v>
      </c>
      <c r="G347" s="2" t="s">
        <v>198</v>
      </c>
      <c r="H347" s="2" t="s">
        <v>44</v>
      </c>
      <c r="I347" s="4">
        <v>32916</v>
      </c>
    </row>
    <row r="348" spans="1:9" x14ac:dyDescent="0.25">
      <c r="A348" s="2" t="s">
        <v>24</v>
      </c>
      <c r="B348" s="2">
        <v>2000</v>
      </c>
      <c r="C348" s="2">
        <v>3</v>
      </c>
      <c r="D348" s="2" t="s">
        <v>38</v>
      </c>
      <c r="E348" s="3">
        <v>44344</v>
      </c>
      <c r="F348" s="2" t="s">
        <v>87</v>
      </c>
      <c r="G348" s="2" t="s">
        <v>586</v>
      </c>
      <c r="H348" s="2" t="s">
        <v>44</v>
      </c>
      <c r="I348" s="4">
        <v>34625</v>
      </c>
    </row>
    <row r="349" spans="1:9" x14ac:dyDescent="0.25">
      <c r="A349" s="2" t="s">
        <v>21</v>
      </c>
      <c r="B349" s="2">
        <v>2400</v>
      </c>
      <c r="C349" s="2">
        <v>5</v>
      </c>
      <c r="D349" s="2" t="s">
        <v>35</v>
      </c>
      <c r="E349" s="3">
        <v>44553</v>
      </c>
      <c r="F349" s="2" t="s">
        <v>51</v>
      </c>
      <c r="G349" s="2" t="s">
        <v>524</v>
      </c>
      <c r="H349" s="2" t="s">
        <v>44</v>
      </c>
      <c r="I349" s="4">
        <v>24170</v>
      </c>
    </row>
    <row r="350" spans="1:9" x14ac:dyDescent="0.25">
      <c r="A350" s="2" t="s">
        <v>7</v>
      </c>
      <c r="B350" s="2">
        <v>750</v>
      </c>
      <c r="C350" s="2">
        <v>5</v>
      </c>
      <c r="D350" s="2" t="s">
        <v>40</v>
      </c>
      <c r="E350" s="3">
        <v>44389</v>
      </c>
      <c r="F350" s="2" t="s">
        <v>52</v>
      </c>
      <c r="G350" s="2" t="s">
        <v>198</v>
      </c>
      <c r="H350" s="2" t="s">
        <v>44</v>
      </c>
      <c r="I350" s="4">
        <v>24126</v>
      </c>
    </row>
    <row r="351" spans="1:9" x14ac:dyDescent="0.25">
      <c r="A351" s="2" t="s">
        <v>12</v>
      </c>
      <c r="B351" s="2">
        <v>6500</v>
      </c>
      <c r="C351" s="2">
        <v>5</v>
      </c>
      <c r="D351" s="2" t="s">
        <v>32</v>
      </c>
      <c r="E351" s="3">
        <v>44420</v>
      </c>
      <c r="F351" s="2" t="s">
        <v>271</v>
      </c>
      <c r="G351" s="2" t="s">
        <v>149</v>
      </c>
      <c r="H351" s="2" t="s">
        <v>49</v>
      </c>
      <c r="I351" s="4">
        <v>26195</v>
      </c>
    </row>
    <row r="352" spans="1:9" x14ac:dyDescent="0.25">
      <c r="A352" s="2" t="s">
        <v>21</v>
      </c>
      <c r="B352" s="2">
        <v>2400</v>
      </c>
      <c r="C352" s="2">
        <v>3</v>
      </c>
      <c r="D352" s="2" t="s">
        <v>41</v>
      </c>
      <c r="E352" s="3">
        <v>44420</v>
      </c>
      <c r="F352" s="2" t="s">
        <v>259</v>
      </c>
      <c r="G352" s="2" t="s">
        <v>346</v>
      </c>
      <c r="H352" s="2" t="s">
        <v>49</v>
      </c>
      <c r="I352" s="4">
        <v>20478</v>
      </c>
    </row>
    <row r="353" spans="1:9" x14ac:dyDescent="0.25">
      <c r="A353" s="2" t="s">
        <v>22</v>
      </c>
      <c r="B353" s="2">
        <v>5200</v>
      </c>
      <c r="C353" s="2">
        <v>3</v>
      </c>
      <c r="D353" s="2" t="s">
        <v>29</v>
      </c>
      <c r="E353" s="3">
        <v>44224</v>
      </c>
      <c r="F353" s="2" t="s">
        <v>211</v>
      </c>
      <c r="G353" s="2" t="s">
        <v>212</v>
      </c>
      <c r="H353" s="2" t="s">
        <v>49</v>
      </c>
      <c r="I353" s="4">
        <v>25413</v>
      </c>
    </row>
    <row r="354" spans="1:9" x14ac:dyDescent="0.25">
      <c r="A354" s="2" t="s">
        <v>21</v>
      </c>
      <c r="B354" s="2">
        <v>2400</v>
      </c>
      <c r="C354" s="2">
        <v>3</v>
      </c>
      <c r="D354" s="2" t="s">
        <v>33</v>
      </c>
      <c r="E354" s="3">
        <v>44452</v>
      </c>
      <c r="F354" s="2" t="s">
        <v>87</v>
      </c>
      <c r="G354" s="2" t="s">
        <v>160</v>
      </c>
      <c r="H354" s="2" t="s">
        <v>44</v>
      </c>
      <c r="I354" s="4">
        <v>28196</v>
      </c>
    </row>
    <row r="355" spans="1:9" x14ac:dyDescent="0.25">
      <c r="A355" s="2" t="s">
        <v>9</v>
      </c>
      <c r="B355" s="2">
        <v>1500</v>
      </c>
      <c r="C355" s="2">
        <v>4</v>
      </c>
      <c r="D355" s="2" t="s">
        <v>30</v>
      </c>
      <c r="E355" s="3">
        <v>44517</v>
      </c>
      <c r="F355" s="2" t="s">
        <v>486</v>
      </c>
      <c r="G355" s="2" t="s">
        <v>63</v>
      </c>
      <c r="H355" s="2" t="s">
        <v>44</v>
      </c>
      <c r="I355" s="4">
        <v>35609</v>
      </c>
    </row>
    <row r="356" spans="1:9" x14ac:dyDescent="0.25">
      <c r="A356" s="2" t="s">
        <v>12</v>
      </c>
      <c r="B356" s="2">
        <v>6500</v>
      </c>
      <c r="C356" s="2">
        <v>4</v>
      </c>
      <c r="D356" s="2" t="s">
        <v>37</v>
      </c>
      <c r="E356" s="3">
        <v>44428</v>
      </c>
      <c r="F356" s="2" t="s">
        <v>402</v>
      </c>
      <c r="G356" s="2" t="s">
        <v>416</v>
      </c>
      <c r="H356" s="2" t="s">
        <v>49</v>
      </c>
      <c r="I356" s="4">
        <v>22765</v>
      </c>
    </row>
    <row r="357" spans="1:9" x14ac:dyDescent="0.25">
      <c r="A357" s="2" t="s">
        <v>12</v>
      </c>
      <c r="B357" s="2">
        <v>6500</v>
      </c>
      <c r="C357" s="2">
        <v>2</v>
      </c>
      <c r="D357" s="2" t="s">
        <v>37</v>
      </c>
      <c r="E357" s="3">
        <v>44221</v>
      </c>
      <c r="F357" s="2" t="s">
        <v>137</v>
      </c>
      <c r="G357" s="2" t="s">
        <v>286</v>
      </c>
      <c r="H357" s="2" t="s">
        <v>49</v>
      </c>
      <c r="I357" s="4">
        <v>23057</v>
      </c>
    </row>
    <row r="358" spans="1:9" x14ac:dyDescent="0.25">
      <c r="A358" s="2" t="s">
        <v>11</v>
      </c>
      <c r="B358" s="2">
        <v>4500</v>
      </c>
      <c r="C358" s="2">
        <v>4</v>
      </c>
      <c r="D358" s="2" t="s">
        <v>31</v>
      </c>
      <c r="E358" s="3">
        <v>44502</v>
      </c>
      <c r="F358" s="2" t="s">
        <v>101</v>
      </c>
      <c r="G358" s="2" t="s">
        <v>83</v>
      </c>
      <c r="H358" s="2" t="s">
        <v>49</v>
      </c>
      <c r="I358" s="4">
        <v>20172</v>
      </c>
    </row>
    <row r="359" spans="1:9" x14ac:dyDescent="0.25">
      <c r="A359" s="2" t="s">
        <v>16</v>
      </c>
      <c r="B359" s="2">
        <v>1400</v>
      </c>
      <c r="C359" s="2">
        <v>1</v>
      </c>
      <c r="D359" s="2" t="s">
        <v>39</v>
      </c>
      <c r="E359" s="3">
        <v>44561</v>
      </c>
      <c r="F359" s="2" t="s">
        <v>78</v>
      </c>
      <c r="G359" s="2" t="s">
        <v>123</v>
      </c>
      <c r="H359" s="2" t="s">
        <v>49</v>
      </c>
      <c r="I359" s="4">
        <v>32670</v>
      </c>
    </row>
    <row r="360" spans="1:9" x14ac:dyDescent="0.25">
      <c r="A360" s="2" t="s">
        <v>5</v>
      </c>
      <c r="B360" s="2">
        <v>1750</v>
      </c>
      <c r="C360" s="2">
        <v>5</v>
      </c>
      <c r="D360" s="2" t="s">
        <v>29</v>
      </c>
      <c r="E360" s="3">
        <v>44399</v>
      </c>
      <c r="F360" s="2" t="s">
        <v>256</v>
      </c>
      <c r="G360" s="2" t="s">
        <v>205</v>
      </c>
      <c r="H360" s="2" t="s">
        <v>44</v>
      </c>
      <c r="I360" s="4">
        <v>34901</v>
      </c>
    </row>
    <row r="361" spans="1:9" x14ac:dyDescent="0.25">
      <c r="A361" s="2" t="s">
        <v>12</v>
      </c>
      <c r="B361" s="2">
        <v>6500</v>
      </c>
      <c r="C361" s="2">
        <v>5</v>
      </c>
      <c r="D361" s="2" t="s">
        <v>38</v>
      </c>
      <c r="E361" s="3">
        <v>44305</v>
      </c>
      <c r="F361" s="2" t="s">
        <v>196</v>
      </c>
      <c r="G361" s="2" t="s">
        <v>346</v>
      </c>
      <c r="H361" s="2" t="s">
        <v>44</v>
      </c>
      <c r="I361" s="4">
        <v>20383</v>
      </c>
    </row>
    <row r="362" spans="1:9" x14ac:dyDescent="0.25">
      <c r="A362" s="2" t="s">
        <v>13</v>
      </c>
      <c r="B362" s="2">
        <v>2300</v>
      </c>
      <c r="C362" s="2">
        <v>3</v>
      </c>
      <c r="D362" s="2" t="s">
        <v>29</v>
      </c>
      <c r="E362" s="3">
        <v>44318</v>
      </c>
      <c r="F362" s="2" t="s">
        <v>288</v>
      </c>
      <c r="G362" s="2" t="s">
        <v>308</v>
      </c>
      <c r="H362" s="2" t="s">
        <v>49</v>
      </c>
      <c r="I362" s="4">
        <v>26060</v>
      </c>
    </row>
    <row r="363" spans="1:9" x14ac:dyDescent="0.25">
      <c r="A363" s="2" t="s">
        <v>11</v>
      </c>
      <c r="B363" s="2">
        <v>4500</v>
      </c>
      <c r="C363" s="2">
        <v>2</v>
      </c>
      <c r="D363" s="2" t="s">
        <v>31</v>
      </c>
      <c r="E363" s="3">
        <v>44481</v>
      </c>
      <c r="F363" s="2" t="s">
        <v>399</v>
      </c>
      <c r="G363" s="2" t="s">
        <v>128</v>
      </c>
      <c r="H363" s="2" t="s">
        <v>44</v>
      </c>
      <c r="I363" s="4">
        <v>34836</v>
      </c>
    </row>
    <row r="364" spans="1:9" x14ac:dyDescent="0.25">
      <c r="A364" s="2" t="s">
        <v>14</v>
      </c>
      <c r="B364" s="2">
        <v>2000</v>
      </c>
      <c r="C364" s="2">
        <v>2</v>
      </c>
      <c r="D364" s="2" t="s">
        <v>40</v>
      </c>
      <c r="E364" s="3">
        <v>44447</v>
      </c>
      <c r="F364" s="2" t="s">
        <v>464</v>
      </c>
      <c r="G364" s="2" t="s">
        <v>481</v>
      </c>
      <c r="H364" s="2" t="s">
        <v>49</v>
      </c>
      <c r="I364" s="4">
        <v>25973</v>
      </c>
    </row>
    <row r="365" spans="1:9" x14ac:dyDescent="0.25">
      <c r="A365" s="2" t="s">
        <v>8</v>
      </c>
      <c r="B365" s="2">
        <v>5500</v>
      </c>
      <c r="C365" s="2">
        <v>4</v>
      </c>
      <c r="D365" s="2" t="s">
        <v>37</v>
      </c>
      <c r="E365" s="3">
        <v>44516</v>
      </c>
      <c r="F365" s="2" t="s">
        <v>343</v>
      </c>
      <c r="G365" s="2" t="s">
        <v>132</v>
      </c>
      <c r="H365" s="2" t="s">
        <v>49</v>
      </c>
      <c r="I365" s="4">
        <v>20230</v>
      </c>
    </row>
    <row r="366" spans="1:9" x14ac:dyDescent="0.25">
      <c r="A366" s="2" t="s">
        <v>23</v>
      </c>
      <c r="B366" s="2">
        <v>1500</v>
      </c>
      <c r="C366" s="2">
        <v>3</v>
      </c>
      <c r="D366" s="2" t="s">
        <v>32</v>
      </c>
      <c r="E366" s="3">
        <v>44409</v>
      </c>
      <c r="F366" s="2" t="s">
        <v>254</v>
      </c>
      <c r="G366" s="2" t="s">
        <v>255</v>
      </c>
      <c r="H366" s="2" t="s">
        <v>49</v>
      </c>
      <c r="I366" s="4">
        <v>33057</v>
      </c>
    </row>
    <row r="367" spans="1:9" x14ac:dyDescent="0.25">
      <c r="A367" s="2" t="s">
        <v>12</v>
      </c>
      <c r="B367" s="2">
        <v>6500</v>
      </c>
      <c r="C367" s="2">
        <v>4</v>
      </c>
      <c r="D367" s="2" t="s">
        <v>29</v>
      </c>
      <c r="E367" s="3">
        <v>44554</v>
      </c>
      <c r="F367" s="2" t="s">
        <v>221</v>
      </c>
      <c r="G367" s="2" t="s">
        <v>467</v>
      </c>
      <c r="H367" s="2" t="s">
        <v>44</v>
      </c>
      <c r="I367" s="4">
        <v>35281</v>
      </c>
    </row>
    <row r="368" spans="1:9" x14ac:dyDescent="0.25">
      <c r="A368" s="2" t="s">
        <v>7</v>
      </c>
      <c r="B368" s="2">
        <v>750</v>
      </c>
      <c r="C368" s="2">
        <v>5</v>
      </c>
      <c r="D368" s="2" t="s">
        <v>29</v>
      </c>
      <c r="E368" s="3">
        <v>44505</v>
      </c>
      <c r="F368" s="2" t="s">
        <v>356</v>
      </c>
      <c r="G368" s="2" t="s">
        <v>357</v>
      </c>
      <c r="H368" s="2" t="s">
        <v>49</v>
      </c>
      <c r="I368" s="4">
        <v>26402</v>
      </c>
    </row>
    <row r="369" spans="1:9" x14ac:dyDescent="0.25">
      <c r="A369" s="2" t="s">
        <v>21</v>
      </c>
      <c r="B369" s="2">
        <v>2400</v>
      </c>
      <c r="C369" s="2">
        <v>3</v>
      </c>
      <c r="D369" s="2" t="s">
        <v>39</v>
      </c>
      <c r="E369" s="3">
        <v>44538</v>
      </c>
      <c r="F369" s="2" t="s">
        <v>64</v>
      </c>
      <c r="G369" s="2" t="s">
        <v>594</v>
      </c>
      <c r="H369" s="2" t="s">
        <v>44</v>
      </c>
      <c r="I369" s="4">
        <v>36419</v>
      </c>
    </row>
    <row r="370" spans="1:9" x14ac:dyDescent="0.25">
      <c r="A370" s="2" t="s">
        <v>14</v>
      </c>
      <c r="B370" s="2">
        <v>2000</v>
      </c>
      <c r="C370" s="2">
        <v>4</v>
      </c>
      <c r="D370" s="2" t="s">
        <v>31</v>
      </c>
      <c r="E370" s="3">
        <v>44526</v>
      </c>
      <c r="F370" s="2" t="s">
        <v>173</v>
      </c>
      <c r="G370" s="2" t="s">
        <v>99</v>
      </c>
      <c r="H370" s="2" t="s">
        <v>44</v>
      </c>
      <c r="I370" s="4">
        <v>19280</v>
      </c>
    </row>
    <row r="371" spans="1:9" x14ac:dyDescent="0.25">
      <c r="A371" s="2" t="s">
        <v>7</v>
      </c>
      <c r="B371" s="2">
        <v>750</v>
      </c>
      <c r="C371" s="2">
        <v>3</v>
      </c>
      <c r="D371" s="2" t="s">
        <v>37</v>
      </c>
      <c r="E371" s="3">
        <v>44273</v>
      </c>
      <c r="F371" s="2" t="s">
        <v>462</v>
      </c>
      <c r="G371" s="2" t="s">
        <v>569</v>
      </c>
      <c r="H371" s="2" t="s">
        <v>49</v>
      </c>
      <c r="I371" s="4">
        <v>36704</v>
      </c>
    </row>
    <row r="372" spans="1:9" x14ac:dyDescent="0.25">
      <c r="A372" s="2" t="s">
        <v>24</v>
      </c>
      <c r="B372" s="2">
        <v>2000</v>
      </c>
      <c r="C372" s="2">
        <v>2</v>
      </c>
      <c r="D372" s="2" t="s">
        <v>35</v>
      </c>
      <c r="E372" s="3">
        <v>44411</v>
      </c>
      <c r="F372" s="2" t="s">
        <v>531</v>
      </c>
      <c r="G372" s="2" t="s">
        <v>532</v>
      </c>
      <c r="H372" s="2" t="s">
        <v>44</v>
      </c>
      <c r="I372" s="4">
        <v>23498</v>
      </c>
    </row>
    <row r="373" spans="1:9" x14ac:dyDescent="0.25">
      <c r="A373" s="2" t="s">
        <v>28</v>
      </c>
      <c r="B373" s="2">
        <v>1400</v>
      </c>
      <c r="C373" s="2">
        <v>1</v>
      </c>
      <c r="D373" s="2" t="s">
        <v>38</v>
      </c>
      <c r="E373" s="3">
        <v>44547</v>
      </c>
      <c r="F373" s="2" t="s">
        <v>167</v>
      </c>
      <c r="G373" s="2" t="s">
        <v>168</v>
      </c>
      <c r="H373" s="2" t="s">
        <v>44</v>
      </c>
      <c r="I373" s="4">
        <v>32536</v>
      </c>
    </row>
    <row r="374" spans="1:9" x14ac:dyDescent="0.25">
      <c r="A374" s="2" t="s">
        <v>26</v>
      </c>
      <c r="B374" s="2">
        <v>1100</v>
      </c>
      <c r="C374" s="2">
        <v>2</v>
      </c>
      <c r="D374" s="2" t="s">
        <v>41</v>
      </c>
      <c r="E374" s="3">
        <v>44466</v>
      </c>
      <c r="F374" s="2" t="s">
        <v>616</v>
      </c>
      <c r="G374" s="2" t="s">
        <v>468</v>
      </c>
      <c r="H374" s="2" t="s">
        <v>44</v>
      </c>
      <c r="I374" s="4">
        <v>19798</v>
      </c>
    </row>
    <row r="375" spans="1:9" x14ac:dyDescent="0.25">
      <c r="A375" s="2" t="s">
        <v>19</v>
      </c>
      <c r="B375" s="2">
        <v>700</v>
      </c>
      <c r="C375" s="2">
        <v>3</v>
      </c>
      <c r="D375" s="2" t="s">
        <v>40</v>
      </c>
      <c r="E375" s="3">
        <v>44280</v>
      </c>
      <c r="F375" s="2" t="s">
        <v>267</v>
      </c>
      <c r="G375" s="2" t="s">
        <v>55</v>
      </c>
      <c r="H375" s="2" t="s">
        <v>44</v>
      </c>
      <c r="I375" s="4">
        <v>29760</v>
      </c>
    </row>
    <row r="376" spans="1:9" x14ac:dyDescent="0.25">
      <c r="A376" s="2" t="s">
        <v>18</v>
      </c>
      <c r="B376" s="2">
        <v>3000</v>
      </c>
      <c r="C376" s="2">
        <v>2</v>
      </c>
      <c r="D376" s="2" t="s">
        <v>40</v>
      </c>
      <c r="E376" s="3">
        <v>44285</v>
      </c>
      <c r="F376" s="2" t="s">
        <v>153</v>
      </c>
      <c r="G376" s="2" t="s">
        <v>317</v>
      </c>
      <c r="H376" s="2" t="s">
        <v>44</v>
      </c>
      <c r="I376" s="4">
        <v>20095</v>
      </c>
    </row>
    <row r="377" spans="1:9" x14ac:dyDescent="0.25">
      <c r="A377" s="2" t="s">
        <v>8</v>
      </c>
      <c r="B377" s="2">
        <v>5500</v>
      </c>
      <c r="C377" s="2">
        <v>1</v>
      </c>
      <c r="D377" s="2" t="s">
        <v>29</v>
      </c>
      <c r="E377" s="3">
        <v>44445</v>
      </c>
      <c r="F377" s="2" t="s">
        <v>439</v>
      </c>
      <c r="G377" s="2" t="s">
        <v>602</v>
      </c>
      <c r="H377" s="2" t="s">
        <v>44</v>
      </c>
      <c r="I377" s="4">
        <v>29842</v>
      </c>
    </row>
    <row r="378" spans="1:9" x14ac:dyDescent="0.25">
      <c r="A378" s="2" t="s">
        <v>19</v>
      </c>
      <c r="B378" s="2">
        <v>700</v>
      </c>
      <c r="C378" s="2">
        <v>4</v>
      </c>
      <c r="D378" s="2" t="s">
        <v>32</v>
      </c>
      <c r="E378" s="3">
        <v>44311</v>
      </c>
      <c r="F378" s="2" t="s">
        <v>70</v>
      </c>
      <c r="G378" s="2" t="s">
        <v>319</v>
      </c>
      <c r="H378" s="2" t="s">
        <v>44</v>
      </c>
      <c r="I378" s="4">
        <v>32945</v>
      </c>
    </row>
    <row r="379" spans="1:9" x14ac:dyDescent="0.25">
      <c r="A379" s="2" t="s">
        <v>20</v>
      </c>
      <c r="B379" s="2">
        <v>2600</v>
      </c>
      <c r="C379" s="2">
        <v>2</v>
      </c>
      <c r="D379" s="2" t="s">
        <v>29</v>
      </c>
      <c r="E379" s="3">
        <v>44483</v>
      </c>
      <c r="F379" s="2" t="s">
        <v>301</v>
      </c>
      <c r="G379" s="2" t="s">
        <v>478</v>
      </c>
      <c r="H379" s="2" t="s">
        <v>49</v>
      </c>
      <c r="I379" s="4">
        <v>19987</v>
      </c>
    </row>
    <row r="380" spans="1:9" x14ac:dyDescent="0.25">
      <c r="A380" s="2" t="s">
        <v>25</v>
      </c>
      <c r="B380" s="2">
        <v>2500</v>
      </c>
      <c r="C380" s="2">
        <v>3</v>
      </c>
      <c r="D380" s="2" t="s">
        <v>33</v>
      </c>
      <c r="E380" s="3">
        <v>44484</v>
      </c>
      <c r="F380" s="2" t="s">
        <v>87</v>
      </c>
      <c r="G380" s="2" t="s">
        <v>152</v>
      </c>
      <c r="H380" s="2" t="s">
        <v>44</v>
      </c>
      <c r="I380" s="4">
        <v>18510</v>
      </c>
    </row>
    <row r="381" spans="1:9" x14ac:dyDescent="0.25">
      <c r="A381" s="2" t="s">
        <v>18</v>
      </c>
      <c r="B381" s="2">
        <v>3000</v>
      </c>
      <c r="C381" s="2">
        <v>3</v>
      </c>
      <c r="D381" s="2" t="s">
        <v>32</v>
      </c>
      <c r="E381" s="3">
        <v>44226</v>
      </c>
      <c r="F381" s="2" t="s">
        <v>137</v>
      </c>
      <c r="G381" s="2" t="s">
        <v>174</v>
      </c>
      <c r="H381" s="2" t="s">
        <v>49</v>
      </c>
      <c r="I381" s="4">
        <v>22798</v>
      </c>
    </row>
    <row r="382" spans="1:9" x14ac:dyDescent="0.25">
      <c r="A382" s="2" t="s">
        <v>8</v>
      </c>
      <c r="B382" s="2">
        <v>5500</v>
      </c>
      <c r="C382" s="2">
        <v>3</v>
      </c>
      <c r="D382" s="2" t="s">
        <v>32</v>
      </c>
      <c r="E382" s="3">
        <v>44250</v>
      </c>
      <c r="F382" s="2" t="s">
        <v>256</v>
      </c>
      <c r="G382" s="2" t="s">
        <v>262</v>
      </c>
      <c r="H382" s="2" t="s">
        <v>44</v>
      </c>
      <c r="I382" s="4">
        <v>18583</v>
      </c>
    </row>
    <row r="383" spans="1:9" x14ac:dyDescent="0.25">
      <c r="A383" s="2" t="s">
        <v>14</v>
      </c>
      <c r="B383" s="2">
        <v>2000</v>
      </c>
      <c r="C383" s="2">
        <v>3</v>
      </c>
      <c r="D383" s="2" t="s">
        <v>33</v>
      </c>
      <c r="E383" s="3">
        <v>44355</v>
      </c>
      <c r="F383" s="2" t="s">
        <v>120</v>
      </c>
      <c r="G383" s="2" t="s">
        <v>226</v>
      </c>
      <c r="H383" s="2" t="s">
        <v>44</v>
      </c>
      <c r="I383" s="4">
        <v>31750</v>
      </c>
    </row>
    <row r="384" spans="1:9" x14ac:dyDescent="0.25">
      <c r="A384" s="2" t="s">
        <v>14</v>
      </c>
      <c r="B384" s="2">
        <v>2000</v>
      </c>
      <c r="C384" s="2">
        <v>2</v>
      </c>
      <c r="D384" s="2" t="s">
        <v>33</v>
      </c>
      <c r="E384" s="3">
        <v>44527</v>
      </c>
      <c r="F384" s="2" t="s">
        <v>140</v>
      </c>
      <c r="G384" s="2" t="s">
        <v>141</v>
      </c>
      <c r="H384" s="2" t="s">
        <v>49</v>
      </c>
      <c r="I384" s="4">
        <v>31366</v>
      </c>
    </row>
    <row r="385" spans="1:9" x14ac:dyDescent="0.25">
      <c r="A385" s="2" t="s">
        <v>24</v>
      </c>
      <c r="B385" s="2">
        <v>2000</v>
      </c>
      <c r="C385" s="2">
        <v>3</v>
      </c>
      <c r="D385" s="2" t="s">
        <v>41</v>
      </c>
      <c r="E385" s="3">
        <v>44381</v>
      </c>
      <c r="F385" s="2" t="s">
        <v>109</v>
      </c>
      <c r="G385" s="2" t="s">
        <v>323</v>
      </c>
      <c r="H385" s="2" t="s">
        <v>44</v>
      </c>
      <c r="I385" s="4">
        <v>26977</v>
      </c>
    </row>
    <row r="386" spans="1:9" x14ac:dyDescent="0.25">
      <c r="A386" s="2" t="s">
        <v>16</v>
      </c>
      <c r="B386" s="2">
        <v>1400</v>
      </c>
      <c r="C386" s="2">
        <v>1</v>
      </c>
      <c r="D386" s="2" t="s">
        <v>35</v>
      </c>
      <c r="E386" s="3">
        <v>44240</v>
      </c>
      <c r="F386" s="2" t="s">
        <v>158</v>
      </c>
      <c r="G386" s="2" t="s">
        <v>411</v>
      </c>
      <c r="H386" s="2" t="s">
        <v>49</v>
      </c>
      <c r="I386" s="4">
        <v>32270</v>
      </c>
    </row>
    <row r="387" spans="1:9" x14ac:dyDescent="0.25">
      <c r="A387" s="2" t="s">
        <v>17</v>
      </c>
      <c r="B387" s="2">
        <v>1550</v>
      </c>
      <c r="C387" s="2">
        <v>1</v>
      </c>
      <c r="D387" s="2" t="s">
        <v>31</v>
      </c>
      <c r="E387" s="3">
        <v>44552</v>
      </c>
      <c r="F387" s="2" t="s">
        <v>62</v>
      </c>
      <c r="G387" s="2" t="s">
        <v>63</v>
      </c>
      <c r="H387" s="2" t="s">
        <v>49</v>
      </c>
      <c r="I387" s="4">
        <v>19305</v>
      </c>
    </row>
    <row r="388" spans="1:9" x14ac:dyDescent="0.25">
      <c r="A388" s="2" t="s">
        <v>15</v>
      </c>
      <c r="B388" s="2">
        <v>1900</v>
      </c>
      <c r="C388" s="2">
        <v>1</v>
      </c>
      <c r="D388" s="2" t="s">
        <v>37</v>
      </c>
      <c r="E388" s="3">
        <v>44412</v>
      </c>
      <c r="F388" s="2" t="s">
        <v>551</v>
      </c>
      <c r="G388" s="2" t="s">
        <v>198</v>
      </c>
      <c r="H388" s="2" t="s">
        <v>44</v>
      </c>
      <c r="I388" s="4">
        <v>25456</v>
      </c>
    </row>
    <row r="389" spans="1:9" x14ac:dyDescent="0.25">
      <c r="A389" s="2" t="s">
        <v>18</v>
      </c>
      <c r="B389" s="2">
        <v>3000</v>
      </c>
      <c r="C389" s="2">
        <v>1</v>
      </c>
      <c r="D389" s="2" t="s">
        <v>36</v>
      </c>
      <c r="E389" s="3">
        <v>44197</v>
      </c>
      <c r="F389" s="2" t="s">
        <v>239</v>
      </c>
      <c r="G389" s="2" t="s">
        <v>157</v>
      </c>
      <c r="H389" s="2" t="s">
        <v>49</v>
      </c>
      <c r="I389" s="4">
        <v>28094</v>
      </c>
    </row>
    <row r="390" spans="1:9" x14ac:dyDescent="0.25">
      <c r="A390" s="2" t="s">
        <v>6</v>
      </c>
      <c r="B390" s="2">
        <v>1200</v>
      </c>
      <c r="C390" s="2">
        <v>5</v>
      </c>
      <c r="D390" s="2" t="s">
        <v>40</v>
      </c>
      <c r="E390" s="3">
        <v>44211</v>
      </c>
      <c r="F390" s="2" t="s">
        <v>461</v>
      </c>
      <c r="G390" s="2" t="s">
        <v>83</v>
      </c>
      <c r="H390" s="2" t="s">
        <v>49</v>
      </c>
      <c r="I390" s="4">
        <v>35735</v>
      </c>
    </row>
    <row r="391" spans="1:9" x14ac:dyDescent="0.25">
      <c r="A391" s="2" t="s">
        <v>12</v>
      </c>
      <c r="B391" s="2">
        <v>6500</v>
      </c>
      <c r="C391" s="2">
        <v>3</v>
      </c>
      <c r="D391" s="2" t="s">
        <v>29</v>
      </c>
      <c r="E391" s="3">
        <v>44227</v>
      </c>
      <c r="F391" s="2" t="s">
        <v>190</v>
      </c>
      <c r="G391" s="2" t="s">
        <v>475</v>
      </c>
      <c r="H391" s="2" t="s">
        <v>44</v>
      </c>
      <c r="I391" s="4">
        <v>28227</v>
      </c>
    </row>
    <row r="392" spans="1:9" x14ac:dyDescent="0.25">
      <c r="A392" s="2" t="s">
        <v>28</v>
      </c>
      <c r="B392" s="2">
        <v>1400</v>
      </c>
      <c r="C392" s="2">
        <v>1</v>
      </c>
      <c r="D392" s="2" t="s">
        <v>39</v>
      </c>
      <c r="E392" s="3">
        <v>44312</v>
      </c>
      <c r="F392" s="2" t="s">
        <v>533</v>
      </c>
      <c r="G392" s="2" t="s">
        <v>534</v>
      </c>
      <c r="H392" s="2" t="s">
        <v>49</v>
      </c>
      <c r="I392" s="4">
        <v>29459</v>
      </c>
    </row>
    <row r="393" spans="1:9" x14ac:dyDescent="0.25">
      <c r="A393" s="2" t="s">
        <v>10</v>
      </c>
      <c r="B393" s="2">
        <v>1450</v>
      </c>
      <c r="C393" s="2">
        <v>3</v>
      </c>
      <c r="D393" s="2" t="s">
        <v>36</v>
      </c>
      <c r="E393" s="3">
        <v>44339</v>
      </c>
      <c r="F393" s="2" t="s">
        <v>233</v>
      </c>
      <c r="G393" s="2" t="s">
        <v>63</v>
      </c>
      <c r="H393" s="2" t="s">
        <v>49</v>
      </c>
      <c r="I393" s="4">
        <v>31797</v>
      </c>
    </row>
    <row r="394" spans="1:9" x14ac:dyDescent="0.25">
      <c r="A394" s="2" t="s">
        <v>11</v>
      </c>
      <c r="B394" s="2">
        <v>4500</v>
      </c>
      <c r="C394" s="2">
        <v>4</v>
      </c>
      <c r="D394" s="2" t="s">
        <v>41</v>
      </c>
      <c r="E394" s="3">
        <v>44486</v>
      </c>
      <c r="F394" s="2" t="s">
        <v>173</v>
      </c>
      <c r="G394" s="2" t="s">
        <v>198</v>
      </c>
      <c r="H394" s="2" t="s">
        <v>44</v>
      </c>
      <c r="I394" s="4">
        <v>33421</v>
      </c>
    </row>
    <row r="395" spans="1:9" x14ac:dyDescent="0.25">
      <c r="A395" s="2" t="s">
        <v>17</v>
      </c>
      <c r="B395" s="2">
        <v>1550</v>
      </c>
      <c r="C395" s="2">
        <v>4</v>
      </c>
      <c r="D395" s="2" t="s">
        <v>40</v>
      </c>
      <c r="E395" s="3">
        <v>44215</v>
      </c>
      <c r="F395" s="2" t="s">
        <v>298</v>
      </c>
      <c r="G395" s="2" t="s">
        <v>287</v>
      </c>
      <c r="H395" s="2" t="s">
        <v>44</v>
      </c>
      <c r="I395" s="4">
        <v>32562</v>
      </c>
    </row>
    <row r="396" spans="1:9" x14ac:dyDescent="0.25">
      <c r="A396" s="2" t="s">
        <v>10</v>
      </c>
      <c r="B396" s="2">
        <v>1450</v>
      </c>
      <c r="C396" s="2">
        <v>3</v>
      </c>
      <c r="D396" s="2" t="s">
        <v>36</v>
      </c>
      <c r="E396" s="3">
        <v>44376</v>
      </c>
      <c r="F396" s="2" t="s">
        <v>374</v>
      </c>
      <c r="G396" s="2" t="s">
        <v>81</v>
      </c>
      <c r="H396" s="2" t="s">
        <v>49</v>
      </c>
      <c r="I396" s="4">
        <v>21262</v>
      </c>
    </row>
    <row r="397" spans="1:9" x14ac:dyDescent="0.25">
      <c r="A397" s="2" t="s">
        <v>24</v>
      </c>
      <c r="B397" s="2">
        <v>2000</v>
      </c>
      <c r="C397" s="2">
        <v>5</v>
      </c>
      <c r="D397" s="2" t="s">
        <v>29</v>
      </c>
      <c r="E397" s="3">
        <v>44468</v>
      </c>
      <c r="F397" s="2" t="s">
        <v>107</v>
      </c>
      <c r="G397" s="2" t="s">
        <v>384</v>
      </c>
      <c r="H397" s="2" t="s">
        <v>49</v>
      </c>
      <c r="I397" s="4">
        <v>27776</v>
      </c>
    </row>
    <row r="398" spans="1:9" x14ac:dyDescent="0.25">
      <c r="A398" s="2" t="s">
        <v>19</v>
      </c>
      <c r="B398" s="2">
        <v>700</v>
      </c>
      <c r="C398" s="2">
        <v>5</v>
      </c>
      <c r="D398" s="2" t="s">
        <v>37</v>
      </c>
      <c r="E398" s="3">
        <v>44375</v>
      </c>
      <c r="F398" s="2" t="s">
        <v>109</v>
      </c>
      <c r="G398" s="2" t="s">
        <v>567</v>
      </c>
      <c r="H398" s="2" t="s">
        <v>44</v>
      </c>
      <c r="I398" s="4">
        <v>30062</v>
      </c>
    </row>
    <row r="399" spans="1:9" x14ac:dyDescent="0.25">
      <c r="A399" s="2" t="s">
        <v>8</v>
      </c>
      <c r="B399" s="2">
        <v>5500</v>
      </c>
      <c r="C399" s="2">
        <v>4</v>
      </c>
      <c r="D399" s="2" t="s">
        <v>29</v>
      </c>
      <c r="E399" s="3">
        <v>44515</v>
      </c>
      <c r="F399" s="2" t="s">
        <v>131</v>
      </c>
      <c r="G399" s="2" t="s">
        <v>309</v>
      </c>
      <c r="H399" s="2" t="s">
        <v>44</v>
      </c>
      <c r="I399" s="4">
        <v>25888</v>
      </c>
    </row>
    <row r="400" spans="1:9" x14ac:dyDescent="0.25">
      <c r="A400" s="2" t="s">
        <v>13</v>
      </c>
      <c r="B400" s="2">
        <v>2300</v>
      </c>
      <c r="C400" s="2">
        <v>2</v>
      </c>
      <c r="D400" s="2" t="s">
        <v>34</v>
      </c>
      <c r="E400" s="3">
        <v>44314</v>
      </c>
      <c r="F400" s="2" t="s">
        <v>98</v>
      </c>
      <c r="G400" s="2" t="s">
        <v>99</v>
      </c>
      <c r="H400" s="2" t="s">
        <v>44</v>
      </c>
      <c r="I400" s="4">
        <v>34279</v>
      </c>
    </row>
    <row r="401" spans="1:9" x14ac:dyDescent="0.25">
      <c r="A401" s="2" t="s">
        <v>23</v>
      </c>
      <c r="B401" s="2">
        <v>1500</v>
      </c>
      <c r="C401" s="2">
        <v>4</v>
      </c>
      <c r="D401" s="2" t="s">
        <v>29</v>
      </c>
      <c r="E401" s="3">
        <v>44472</v>
      </c>
      <c r="F401" s="2" t="s">
        <v>394</v>
      </c>
      <c r="G401" s="2" t="s">
        <v>526</v>
      </c>
      <c r="H401" s="2" t="s">
        <v>49</v>
      </c>
      <c r="I401" s="4">
        <v>28317</v>
      </c>
    </row>
    <row r="402" spans="1:9" x14ac:dyDescent="0.25">
      <c r="A402" s="2" t="s">
        <v>27</v>
      </c>
      <c r="B402" s="2">
        <v>1500</v>
      </c>
      <c r="C402" s="2">
        <v>2</v>
      </c>
      <c r="D402" s="2" t="s">
        <v>40</v>
      </c>
      <c r="E402" s="3">
        <v>44479</v>
      </c>
      <c r="F402" s="2" t="s">
        <v>456</v>
      </c>
      <c r="G402" s="2" t="s">
        <v>198</v>
      </c>
      <c r="H402" s="2" t="s">
        <v>49</v>
      </c>
      <c r="I402" s="4">
        <v>25028</v>
      </c>
    </row>
    <row r="403" spans="1:9" x14ac:dyDescent="0.25">
      <c r="A403" s="2" t="s">
        <v>28</v>
      </c>
      <c r="B403" s="2">
        <v>1400</v>
      </c>
      <c r="C403" s="2">
        <v>2</v>
      </c>
      <c r="D403" s="2" t="s">
        <v>33</v>
      </c>
      <c r="E403" s="3">
        <v>44438</v>
      </c>
      <c r="F403" s="2" t="s">
        <v>109</v>
      </c>
      <c r="G403" s="2" t="s">
        <v>220</v>
      </c>
      <c r="H403" s="2" t="s">
        <v>44</v>
      </c>
      <c r="I403" s="4">
        <v>33043</v>
      </c>
    </row>
    <row r="404" spans="1:9" x14ac:dyDescent="0.25">
      <c r="A404" s="2" t="s">
        <v>7</v>
      </c>
      <c r="B404" s="2">
        <v>750</v>
      </c>
      <c r="C404" s="2">
        <v>2</v>
      </c>
      <c r="D404" s="2" t="s">
        <v>34</v>
      </c>
      <c r="E404" s="3">
        <v>44523</v>
      </c>
      <c r="F404" s="2" t="s">
        <v>437</v>
      </c>
      <c r="G404" s="2" t="s">
        <v>203</v>
      </c>
      <c r="H404" s="2" t="s">
        <v>44</v>
      </c>
      <c r="I404" s="4">
        <v>36608</v>
      </c>
    </row>
    <row r="405" spans="1:9" x14ac:dyDescent="0.25">
      <c r="A405" s="2" t="s">
        <v>18</v>
      </c>
      <c r="B405" s="2">
        <v>3000</v>
      </c>
      <c r="C405" s="2">
        <v>2</v>
      </c>
      <c r="D405" s="2" t="s">
        <v>33</v>
      </c>
      <c r="E405" s="3">
        <v>44497</v>
      </c>
      <c r="F405" s="2" t="s">
        <v>116</v>
      </c>
      <c r="G405" s="2" t="s">
        <v>117</v>
      </c>
      <c r="H405" s="2" t="s">
        <v>44</v>
      </c>
      <c r="I405" s="4">
        <v>27681</v>
      </c>
    </row>
    <row r="406" spans="1:9" x14ac:dyDescent="0.25">
      <c r="A406" s="2" t="s">
        <v>9</v>
      </c>
      <c r="B406" s="2">
        <v>1500</v>
      </c>
      <c r="C406" s="2">
        <v>2</v>
      </c>
      <c r="D406" s="2" t="s">
        <v>31</v>
      </c>
      <c r="E406" s="3">
        <v>44326</v>
      </c>
      <c r="F406" s="2" t="s">
        <v>577</v>
      </c>
      <c r="G406" s="2" t="s">
        <v>334</v>
      </c>
      <c r="H406" s="2" t="s">
        <v>44</v>
      </c>
      <c r="I406" s="4">
        <v>28734</v>
      </c>
    </row>
    <row r="407" spans="1:9" x14ac:dyDescent="0.25">
      <c r="A407" s="2" t="s">
        <v>18</v>
      </c>
      <c r="B407" s="2">
        <v>3000</v>
      </c>
      <c r="C407" s="2">
        <v>1</v>
      </c>
      <c r="D407" s="2" t="s">
        <v>37</v>
      </c>
      <c r="E407" s="3">
        <v>44295</v>
      </c>
      <c r="F407" s="2" t="s">
        <v>224</v>
      </c>
      <c r="G407" s="2" t="s">
        <v>171</v>
      </c>
      <c r="H407" s="2" t="s">
        <v>44</v>
      </c>
      <c r="I407" s="4">
        <v>22490</v>
      </c>
    </row>
    <row r="408" spans="1:9" x14ac:dyDescent="0.25">
      <c r="A408" s="2" t="s">
        <v>5</v>
      </c>
      <c r="B408" s="2">
        <v>1750</v>
      </c>
      <c r="C408" s="2">
        <v>2</v>
      </c>
      <c r="D408" s="2" t="s">
        <v>37</v>
      </c>
      <c r="E408" s="3">
        <v>44374</v>
      </c>
      <c r="F408" s="2" t="s">
        <v>469</v>
      </c>
      <c r="G408" s="2" t="s">
        <v>97</v>
      </c>
      <c r="H408" s="2" t="s">
        <v>44</v>
      </c>
      <c r="I408" s="4">
        <v>24316</v>
      </c>
    </row>
    <row r="409" spans="1:9" x14ac:dyDescent="0.25">
      <c r="A409" s="2" t="s">
        <v>6</v>
      </c>
      <c r="B409" s="2">
        <v>1200</v>
      </c>
      <c r="C409" s="2">
        <v>1</v>
      </c>
      <c r="D409" s="2" t="s">
        <v>36</v>
      </c>
      <c r="E409" s="3">
        <v>44528</v>
      </c>
      <c r="F409" s="2" t="s">
        <v>306</v>
      </c>
      <c r="G409" s="2" t="s">
        <v>307</v>
      </c>
      <c r="H409" s="2" t="s">
        <v>49</v>
      </c>
      <c r="I409" s="4">
        <v>29978</v>
      </c>
    </row>
    <row r="410" spans="1:9" x14ac:dyDescent="0.25">
      <c r="A410" s="2" t="s">
        <v>12</v>
      </c>
      <c r="B410" s="2">
        <v>6500</v>
      </c>
      <c r="C410" s="2">
        <v>4</v>
      </c>
      <c r="D410" s="2" t="s">
        <v>35</v>
      </c>
      <c r="E410" s="3">
        <v>44382</v>
      </c>
      <c r="F410" s="2" t="s">
        <v>401</v>
      </c>
      <c r="G410" s="2" t="s">
        <v>213</v>
      </c>
      <c r="H410" s="2" t="s">
        <v>49</v>
      </c>
      <c r="I410" s="4">
        <v>25507</v>
      </c>
    </row>
    <row r="411" spans="1:9" x14ac:dyDescent="0.25">
      <c r="A411" s="2" t="s">
        <v>27</v>
      </c>
      <c r="B411" s="2">
        <v>1500</v>
      </c>
      <c r="C411" s="2">
        <v>4</v>
      </c>
      <c r="D411" s="2" t="s">
        <v>41</v>
      </c>
      <c r="E411" s="3">
        <v>44249</v>
      </c>
      <c r="F411" s="2" t="s">
        <v>489</v>
      </c>
      <c r="G411" s="2" t="s">
        <v>517</v>
      </c>
      <c r="H411" s="2" t="s">
        <v>49</v>
      </c>
      <c r="I411" s="4">
        <v>30056</v>
      </c>
    </row>
    <row r="412" spans="1:9" x14ac:dyDescent="0.25">
      <c r="A412" s="2" t="s">
        <v>21</v>
      </c>
      <c r="B412" s="2">
        <v>2400</v>
      </c>
      <c r="C412" s="2">
        <v>5</v>
      </c>
      <c r="D412" s="2" t="s">
        <v>35</v>
      </c>
      <c r="E412" s="3">
        <v>44253</v>
      </c>
      <c r="F412" s="2" t="s">
        <v>250</v>
      </c>
      <c r="G412" s="2" t="s">
        <v>251</v>
      </c>
      <c r="H412" s="2" t="s">
        <v>44</v>
      </c>
      <c r="I412" s="4">
        <v>24008</v>
      </c>
    </row>
    <row r="413" spans="1:9" x14ac:dyDescent="0.25">
      <c r="A413" s="2" t="s">
        <v>16</v>
      </c>
      <c r="B413" s="2">
        <v>1400</v>
      </c>
      <c r="C413" s="2">
        <v>1</v>
      </c>
      <c r="D413" s="2" t="s">
        <v>40</v>
      </c>
      <c r="E413" s="3">
        <v>44197</v>
      </c>
      <c r="F413" s="2" t="s">
        <v>51</v>
      </c>
      <c r="G413" s="2" t="s">
        <v>515</v>
      </c>
      <c r="H413" s="2" t="s">
        <v>44</v>
      </c>
      <c r="I413" s="4">
        <v>27099</v>
      </c>
    </row>
    <row r="414" spans="1:9" x14ac:dyDescent="0.25">
      <c r="A414" s="2" t="s">
        <v>20</v>
      </c>
      <c r="B414" s="2">
        <v>2600</v>
      </c>
      <c r="C414" s="2">
        <v>1</v>
      </c>
      <c r="D414" s="2" t="s">
        <v>36</v>
      </c>
      <c r="E414" s="3">
        <v>44468</v>
      </c>
      <c r="F414" s="2" t="s">
        <v>45</v>
      </c>
      <c r="G414" s="2" t="s">
        <v>387</v>
      </c>
      <c r="H414" s="2" t="s">
        <v>44</v>
      </c>
      <c r="I414" s="4">
        <v>33230</v>
      </c>
    </row>
    <row r="415" spans="1:9" x14ac:dyDescent="0.25">
      <c r="A415" s="2" t="s">
        <v>5</v>
      </c>
      <c r="B415" s="2">
        <v>1750</v>
      </c>
      <c r="C415" s="2">
        <v>2</v>
      </c>
      <c r="D415" s="2" t="s">
        <v>30</v>
      </c>
      <c r="E415" s="3">
        <v>44285</v>
      </c>
      <c r="F415" s="2" t="s">
        <v>74</v>
      </c>
      <c r="G415" s="2" t="s">
        <v>117</v>
      </c>
      <c r="H415" s="2" t="s">
        <v>44</v>
      </c>
      <c r="I415" s="4">
        <v>34289</v>
      </c>
    </row>
    <row r="416" spans="1:9" x14ac:dyDescent="0.25">
      <c r="A416" s="2" t="s">
        <v>17</v>
      </c>
      <c r="B416" s="2">
        <v>1550</v>
      </c>
      <c r="C416" s="2">
        <v>2</v>
      </c>
      <c r="D416" s="2" t="s">
        <v>39</v>
      </c>
      <c r="E416" s="3">
        <v>44474</v>
      </c>
      <c r="F416" s="2" t="s">
        <v>98</v>
      </c>
      <c r="G416" s="2" t="s">
        <v>608</v>
      </c>
      <c r="H416" s="2" t="s">
        <v>44</v>
      </c>
      <c r="I416" s="4">
        <v>31158</v>
      </c>
    </row>
    <row r="417" spans="1:9" x14ac:dyDescent="0.25">
      <c r="A417" s="2" t="s">
        <v>14</v>
      </c>
      <c r="B417" s="2">
        <v>2000</v>
      </c>
      <c r="C417" s="2">
        <v>5</v>
      </c>
      <c r="D417" s="2" t="s">
        <v>40</v>
      </c>
      <c r="E417" s="3">
        <v>44229</v>
      </c>
      <c r="F417" s="2" t="s">
        <v>109</v>
      </c>
      <c r="G417" s="2" t="s">
        <v>168</v>
      </c>
      <c r="H417" s="2" t="s">
        <v>44</v>
      </c>
      <c r="I417" s="4">
        <v>18540</v>
      </c>
    </row>
    <row r="418" spans="1:9" x14ac:dyDescent="0.25">
      <c r="A418" s="2" t="s">
        <v>18</v>
      </c>
      <c r="B418" s="2">
        <v>3000</v>
      </c>
      <c r="C418" s="2">
        <v>1</v>
      </c>
      <c r="D418" s="2" t="s">
        <v>29</v>
      </c>
      <c r="E418" s="3">
        <v>44474</v>
      </c>
      <c r="F418" s="2" t="s">
        <v>522</v>
      </c>
      <c r="G418" s="2" t="s">
        <v>541</v>
      </c>
      <c r="H418" s="2" t="s">
        <v>44</v>
      </c>
      <c r="I418" s="4">
        <v>29115</v>
      </c>
    </row>
    <row r="419" spans="1:9" x14ac:dyDescent="0.25">
      <c r="A419" s="2" t="s">
        <v>11</v>
      </c>
      <c r="B419" s="2">
        <v>4500</v>
      </c>
      <c r="C419" s="2">
        <v>2</v>
      </c>
      <c r="D419" s="2" t="s">
        <v>40</v>
      </c>
      <c r="E419" s="3">
        <v>44536</v>
      </c>
      <c r="F419" s="2" t="s">
        <v>302</v>
      </c>
      <c r="G419" s="2" t="s">
        <v>303</v>
      </c>
      <c r="H419" s="2" t="s">
        <v>49</v>
      </c>
      <c r="I419" s="4">
        <v>23206</v>
      </c>
    </row>
    <row r="420" spans="1:9" x14ac:dyDescent="0.25">
      <c r="A420" s="2" t="s">
        <v>21</v>
      </c>
      <c r="B420" s="2">
        <v>2400</v>
      </c>
      <c r="C420" s="2">
        <v>2</v>
      </c>
      <c r="D420" s="2" t="s">
        <v>34</v>
      </c>
      <c r="E420" s="3">
        <v>44420</v>
      </c>
      <c r="F420" s="2" t="s">
        <v>98</v>
      </c>
      <c r="G420" s="2" t="s">
        <v>99</v>
      </c>
      <c r="H420" s="2" t="s">
        <v>44</v>
      </c>
      <c r="I420" s="4">
        <v>34279</v>
      </c>
    </row>
    <row r="421" spans="1:9" x14ac:dyDescent="0.25">
      <c r="A421" s="2" t="s">
        <v>18</v>
      </c>
      <c r="B421" s="2">
        <v>3000</v>
      </c>
      <c r="C421" s="2">
        <v>4</v>
      </c>
      <c r="D421" s="2" t="s">
        <v>40</v>
      </c>
      <c r="E421" s="3">
        <v>44296</v>
      </c>
      <c r="F421" s="2" t="s">
        <v>111</v>
      </c>
      <c r="G421" s="2" t="s">
        <v>63</v>
      </c>
      <c r="H421" s="2" t="s">
        <v>44</v>
      </c>
      <c r="I421" s="4">
        <v>34809</v>
      </c>
    </row>
    <row r="422" spans="1:9" x14ac:dyDescent="0.25">
      <c r="A422" s="2" t="s">
        <v>9</v>
      </c>
      <c r="B422" s="2">
        <v>1500</v>
      </c>
      <c r="C422" s="2">
        <v>5</v>
      </c>
      <c r="D422" s="2" t="s">
        <v>34</v>
      </c>
      <c r="E422" s="3">
        <v>44559</v>
      </c>
      <c r="F422" s="2" t="s">
        <v>445</v>
      </c>
      <c r="G422" s="2" t="s">
        <v>171</v>
      </c>
      <c r="H422" s="2" t="s">
        <v>49</v>
      </c>
      <c r="I422" s="4">
        <v>31940</v>
      </c>
    </row>
    <row r="423" spans="1:9" x14ac:dyDescent="0.25">
      <c r="A423" s="2" t="s">
        <v>19</v>
      </c>
      <c r="B423" s="2">
        <v>700</v>
      </c>
      <c r="C423" s="2">
        <v>4</v>
      </c>
      <c r="D423" s="2" t="s">
        <v>30</v>
      </c>
      <c r="E423" s="3">
        <v>44353</v>
      </c>
      <c r="F423" s="2" t="s">
        <v>45</v>
      </c>
      <c r="G423" s="2" t="s">
        <v>46</v>
      </c>
      <c r="H423" s="2" t="s">
        <v>44</v>
      </c>
      <c r="I423" s="4">
        <v>32614</v>
      </c>
    </row>
    <row r="424" spans="1:9" x14ac:dyDescent="0.25">
      <c r="A424" s="2" t="s">
        <v>15</v>
      </c>
      <c r="B424" s="2">
        <v>1900</v>
      </c>
      <c r="C424" s="2">
        <v>3</v>
      </c>
      <c r="D424" s="2" t="s">
        <v>40</v>
      </c>
      <c r="E424" s="3">
        <v>44374</v>
      </c>
      <c r="F424" s="2" t="s">
        <v>461</v>
      </c>
      <c r="G424" s="2" t="s">
        <v>83</v>
      </c>
      <c r="H424" s="2" t="s">
        <v>49</v>
      </c>
      <c r="I424" s="4">
        <v>35735</v>
      </c>
    </row>
    <row r="425" spans="1:9" x14ac:dyDescent="0.25">
      <c r="A425" s="2" t="s">
        <v>12</v>
      </c>
      <c r="B425" s="2">
        <v>6500</v>
      </c>
      <c r="C425" s="2">
        <v>5</v>
      </c>
      <c r="D425" s="2" t="s">
        <v>36</v>
      </c>
      <c r="E425" s="3">
        <v>44417</v>
      </c>
      <c r="F425" s="2" t="s">
        <v>388</v>
      </c>
      <c r="G425" s="2" t="s">
        <v>287</v>
      </c>
      <c r="H425" s="2" t="s">
        <v>44</v>
      </c>
      <c r="I425" s="4">
        <v>25429</v>
      </c>
    </row>
    <row r="426" spans="1:9" x14ac:dyDescent="0.25">
      <c r="A426" s="2" t="s">
        <v>8</v>
      </c>
      <c r="B426" s="2">
        <v>5500</v>
      </c>
      <c r="C426" s="2">
        <v>2</v>
      </c>
      <c r="D426" s="2" t="s">
        <v>32</v>
      </c>
      <c r="E426" s="3">
        <v>44251</v>
      </c>
      <c r="F426" s="2" t="s">
        <v>185</v>
      </c>
      <c r="G426" s="2" t="s">
        <v>186</v>
      </c>
      <c r="H426" s="2" t="s">
        <v>44</v>
      </c>
      <c r="I426" s="4">
        <v>21561</v>
      </c>
    </row>
    <row r="427" spans="1:9" x14ac:dyDescent="0.25">
      <c r="A427" s="2" t="s">
        <v>5</v>
      </c>
      <c r="B427" s="2">
        <v>1750</v>
      </c>
      <c r="C427" s="2">
        <v>1</v>
      </c>
      <c r="D427" s="2" t="s">
        <v>29</v>
      </c>
      <c r="E427" s="3">
        <v>44219</v>
      </c>
      <c r="F427" s="2" t="s">
        <v>247</v>
      </c>
      <c r="G427" s="2" t="s">
        <v>130</v>
      </c>
      <c r="H427" s="2" t="s">
        <v>44</v>
      </c>
      <c r="I427" s="4">
        <v>33342</v>
      </c>
    </row>
    <row r="428" spans="1:9" x14ac:dyDescent="0.25">
      <c r="A428" s="2" t="s">
        <v>11</v>
      </c>
      <c r="B428" s="2">
        <v>4500</v>
      </c>
      <c r="C428" s="2">
        <v>2</v>
      </c>
      <c r="D428" s="2" t="s">
        <v>40</v>
      </c>
      <c r="E428" s="3">
        <v>44521</v>
      </c>
      <c r="F428" s="2" t="s">
        <v>98</v>
      </c>
      <c r="G428" s="2" t="s">
        <v>308</v>
      </c>
      <c r="H428" s="2" t="s">
        <v>44</v>
      </c>
      <c r="I428" s="4">
        <v>32174</v>
      </c>
    </row>
    <row r="429" spans="1:9" x14ac:dyDescent="0.25">
      <c r="A429" s="2" t="s">
        <v>28</v>
      </c>
      <c r="B429" s="2">
        <v>1400</v>
      </c>
      <c r="C429" s="2">
        <v>2</v>
      </c>
      <c r="D429" s="2" t="s">
        <v>29</v>
      </c>
      <c r="E429" s="3">
        <v>44442</v>
      </c>
      <c r="F429" s="2" t="s">
        <v>70</v>
      </c>
      <c r="G429" s="2" t="s">
        <v>410</v>
      </c>
      <c r="H429" s="2" t="s">
        <v>44</v>
      </c>
      <c r="I429" s="4">
        <v>31006</v>
      </c>
    </row>
    <row r="430" spans="1:9" x14ac:dyDescent="0.25">
      <c r="A430" s="2" t="s">
        <v>24</v>
      </c>
      <c r="B430" s="2">
        <v>2000</v>
      </c>
      <c r="C430" s="2">
        <v>4</v>
      </c>
      <c r="D430" s="2" t="s">
        <v>33</v>
      </c>
      <c r="E430" s="3">
        <v>44516</v>
      </c>
      <c r="F430" s="2" t="s">
        <v>551</v>
      </c>
      <c r="G430" s="2" t="s">
        <v>59</v>
      </c>
      <c r="H430" s="2" t="s">
        <v>44</v>
      </c>
      <c r="I430" s="4">
        <v>25713</v>
      </c>
    </row>
    <row r="431" spans="1:9" x14ac:dyDescent="0.25">
      <c r="A431" s="2" t="s">
        <v>9</v>
      </c>
      <c r="B431" s="2">
        <v>1500</v>
      </c>
      <c r="C431" s="2">
        <v>4</v>
      </c>
      <c r="D431" s="2" t="s">
        <v>37</v>
      </c>
      <c r="E431" s="3">
        <v>44425</v>
      </c>
      <c r="F431" s="2" t="s">
        <v>137</v>
      </c>
      <c r="G431" s="2" t="s">
        <v>200</v>
      </c>
      <c r="H431" s="2" t="s">
        <v>49</v>
      </c>
      <c r="I431" s="4">
        <v>21494</v>
      </c>
    </row>
    <row r="432" spans="1:9" x14ac:dyDescent="0.25">
      <c r="A432" s="2" t="s">
        <v>8</v>
      </c>
      <c r="B432" s="2">
        <v>5500</v>
      </c>
      <c r="C432" s="2">
        <v>2</v>
      </c>
      <c r="D432" s="2" t="s">
        <v>40</v>
      </c>
      <c r="E432" s="3">
        <v>44200</v>
      </c>
      <c r="F432" s="2" t="s">
        <v>124</v>
      </c>
      <c r="G432" s="2" t="s">
        <v>520</v>
      </c>
      <c r="H432" s="2" t="s">
        <v>44</v>
      </c>
      <c r="I432" s="4">
        <v>36819</v>
      </c>
    </row>
    <row r="433" spans="1:9" x14ac:dyDescent="0.25">
      <c r="A433" s="2" t="s">
        <v>10</v>
      </c>
      <c r="B433" s="2">
        <v>1450</v>
      </c>
      <c r="C433" s="2">
        <v>5</v>
      </c>
      <c r="D433" s="2" t="s">
        <v>32</v>
      </c>
      <c r="E433" s="3">
        <v>44273</v>
      </c>
      <c r="F433" s="2" t="s">
        <v>124</v>
      </c>
      <c r="G433" s="2" t="s">
        <v>191</v>
      </c>
      <c r="H433" s="2" t="s">
        <v>44</v>
      </c>
      <c r="I433" s="4">
        <v>22483</v>
      </c>
    </row>
    <row r="434" spans="1:9" x14ac:dyDescent="0.25">
      <c r="A434" s="2" t="s">
        <v>7</v>
      </c>
      <c r="B434" s="2">
        <v>750</v>
      </c>
      <c r="C434" s="2">
        <v>2</v>
      </c>
      <c r="D434" s="2" t="s">
        <v>34</v>
      </c>
      <c r="E434" s="3">
        <v>44366</v>
      </c>
      <c r="F434" s="2" t="s">
        <v>42</v>
      </c>
      <c r="G434" s="2" t="s">
        <v>100</v>
      </c>
      <c r="H434" s="2" t="s">
        <v>44</v>
      </c>
      <c r="I434" s="4">
        <v>36495</v>
      </c>
    </row>
    <row r="435" spans="1:9" x14ac:dyDescent="0.25">
      <c r="A435" s="2" t="s">
        <v>23</v>
      </c>
      <c r="B435" s="2">
        <v>1500</v>
      </c>
      <c r="C435" s="2">
        <v>2</v>
      </c>
      <c r="D435" s="2" t="s">
        <v>32</v>
      </c>
      <c r="E435" s="3">
        <v>44264</v>
      </c>
      <c r="F435" s="2" t="s">
        <v>585</v>
      </c>
      <c r="G435" s="2" t="s">
        <v>276</v>
      </c>
      <c r="H435" s="2" t="s">
        <v>44</v>
      </c>
      <c r="I435" s="4">
        <v>19843</v>
      </c>
    </row>
    <row r="436" spans="1:9" x14ac:dyDescent="0.25">
      <c r="A436" s="2" t="s">
        <v>8</v>
      </c>
      <c r="B436" s="2">
        <v>5500</v>
      </c>
      <c r="C436" s="2">
        <v>4</v>
      </c>
      <c r="D436" s="2" t="s">
        <v>33</v>
      </c>
      <c r="E436" s="3">
        <v>44207</v>
      </c>
      <c r="F436" s="2" t="s">
        <v>312</v>
      </c>
      <c r="G436" s="2" t="s">
        <v>157</v>
      </c>
      <c r="H436" s="2" t="s">
        <v>49</v>
      </c>
      <c r="I436" s="4">
        <v>32655</v>
      </c>
    </row>
    <row r="437" spans="1:9" x14ac:dyDescent="0.25">
      <c r="A437" s="2" t="s">
        <v>25</v>
      </c>
      <c r="B437" s="2">
        <v>2500</v>
      </c>
      <c r="C437" s="2">
        <v>5</v>
      </c>
      <c r="D437" s="2" t="s">
        <v>41</v>
      </c>
      <c r="E437" s="3">
        <v>44467</v>
      </c>
      <c r="F437" s="2" t="s">
        <v>216</v>
      </c>
      <c r="G437" s="2" t="s">
        <v>485</v>
      </c>
      <c r="H437" s="2" t="s">
        <v>44</v>
      </c>
      <c r="I437" s="4">
        <v>32252</v>
      </c>
    </row>
    <row r="438" spans="1:9" x14ac:dyDescent="0.25">
      <c r="A438" s="2" t="s">
        <v>21</v>
      </c>
      <c r="B438" s="2">
        <v>2400</v>
      </c>
      <c r="C438" s="2">
        <v>2</v>
      </c>
      <c r="D438" s="2" t="s">
        <v>37</v>
      </c>
      <c r="E438" s="3">
        <v>44248</v>
      </c>
      <c r="F438" s="2" t="s">
        <v>109</v>
      </c>
      <c r="G438" s="2" t="s">
        <v>143</v>
      </c>
      <c r="H438" s="2" t="s">
        <v>44</v>
      </c>
      <c r="I438" s="4">
        <v>28358</v>
      </c>
    </row>
    <row r="439" spans="1:9" x14ac:dyDescent="0.25">
      <c r="A439" s="2" t="s">
        <v>15</v>
      </c>
      <c r="B439" s="2">
        <v>1900</v>
      </c>
      <c r="C439" s="2">
        <v>2</v>
      </c>
      <c r="D439" s="2" t="s">
        <v>34</v>
      </c>
      <c r="E439" s="3">
        <v>44259</v>
      </c>
      <c r="F439" s="2" t="s">
        <v>272</v>
      </c>
      <c r="G439" s="2" t="s">
        <v>495</v>
      </c>
      <c r="H439" s="2" t="s">
        <v>49</v>
      </c>
      <c r="I439" s="4">
        <v>34134</v>
      </c>
    </row>
    <row r="440" spans="1:9" x14ac:dyDescent="0.25">
      <c r="A440" s="2" t="s">
        <v>25</v>
      </c>
      <c r="B440" s="2">
        <v>2500</v>
      </c>
      <c r="C440" s="2">
        <v>3</v>
      </c>
      <c r="D440" s="2" t="s">
        <v>31</v>
      </c>
      <c r="E440" s="3">
        <v>44271</v>
      </c>
      <c r="F440" s="2" t="s">
        <v>173</v>
      </c>
      <c r="G440" s="2" t="s">
        <v>99</v>
      </c>
      <c r="H440" s="2" t="s">
        <v>44</v>
      </c>
      <c r="I440" s="4">
        <v>19280</v>
      </c>
    </row>
    <row r="441" spans="1:9" x14ac:dyDescent="0.25">
      <c r="A441" s="2" t="s">
        <v>17</v>
      </c>
      <c r="B441" s="2">
        <v>1550</v>
      </c>
      <c r="C441" s="2">
        <v>2</v>
      </c>
      <c r="D441" s="2" t="s">
        <v>30</v>
      </c>
      <c r="E441" s="3">
        <v>44538</v>
      </c>
      <c r="F441" s="2" t="s">
        <v>76</v>
      </c>
      <c r="G441" s="2" t="s">
        <v>369</v>
      </c>
      <c r="H441" s="2" t="s">
        <v>49</v>
      </c>
      <c r="I441" s="4">
        <v>25644</v>
      </c>
    </row>
    <row r="442" spans="1:9" x14ac:dyDescent="0.25">
      <c r="A442" s="2" t="s">
        <v>25</v>
      </c>
      <c r="B442" s="2">
        <v>2500</v>
      </c>
      <c r="C442" s="2">
        <v>2</v>
      </c>
      <c r="D442" s="2" t="s">
        <v>33</v>
      </c>
      <c r="E442" s="3">
        <v>44440</v>
      </c>
      <c r="F442" s="2" t="s">
        <v>140</v>
      </c>
      <c r="G442" s="2" t="s">
        <v>384</v>
      </c>
      <c r="H442" s="2" t="s">
        <v>49</v>
      </c>
      <c r="I442" s="4">
        <v>34409</v>
      </c>
    </row>
    <row r="443" spans="1:9" x14ac:dyDescent="0.25">
      <c r="A443" s="2" t="s">
        <v>16</v>
      </c>
      <c r="B443" s="2">
        <v>1400</v>
      </c>
      <c r="C443" s="2">
        <v>5</v>
      </c>
      <c r="D443" s="2" t="s">
        <v>36</v>
      </c>
      <c r="E443" s="3">
        <v>44498</v>
      </c>
      <c r="F443" s="2" t="s">
        <v>257</v>
      </c>
      <c r="G443" s="2" t="s">
        <v>273</v>
      </c>
      <c r="H443" s="2" t="s">
        <v>44</v>
      </c>
      <c r="I443" s="4">
        <v>24203</v>
      </c>
    </row>
    <row r="444" spans="1:9" x14ac:dyDescent="0.25">
      <c r="A444" s="2" t="s">
        <v>12</v>
      </c>
      <c r="B444" s="2">
        <v>6500</v>
      </c>
      <c r="C444" s="2">
        <v>5</v>
      </c>
      <c r="D444" s="2" t="s">
        <v>36</v>
      </c>
      <c r="E444" s="3">
        <v>44230</v>
      </c>
      <c r="F444" s="2" t="s">
        <v>239</v>
      </c>
      <c r="G444" s="2" t="s">
        <v>152</v>
      </c>
      <c r="H444" s="2" t="s">
        <v>49</v>
      </c>
      <c r="I444" s="4">
        <v>32841</v>
      </c>
    </row>
    <row r="445" spans="1:9" x14ac:dyDescent="0.25">
      <c r="A445" s="2" t="s">
        <v>28</v>
      </c>
      <c r="B445" s="2">
        <v>1400</v>
      </c>
      <c r="C445" s="2">
        <v>1</v>
      </c>
      <c r="D445" s="2" t="s">
        <v>37</v>
      </c>
      <c r="E445" s="3">
        <v>44203</v>
      </c>
      <c r="F445" s="2" t="s">
        <v>272</v>
      </c>
      <c r="G445" s="2" t="s">
        <v>537</v>
      </c>
      <c r="H445" s="2" t="s">
        <v>49</v>
      </c>
      <c r="I445" s="4">
        <v>27931</v>
      </c>
    </row>
    <row r="446" spans="1:9" x14ac:dyDescent="0.25">
      <c r="A446" s="2" t="s">
        <v>11</v>
      </c>
      <c r="B446" s="2">
        <v>4500</v>
      </c>
      <c r="C446" s="2">
        <v>4</v>
      </c>
      <c r="D446" s="2" t="s">
        <v>41</v>
      </c>
      <c r="E446" s="3">
        <v>44207</v>
      </c>
      <c r="F446" s="2" t="s">
        <v>521</v>
      </c>
      <c r="G446" s="2" t="s">
        <v>231</v>
      </c>
      <c r="H446" s="2" t="s">
        <v>49</v>
      </c>
      <c r="I446" s="4">
        <v>30181</v>
      </c>
    </row>
    <row r="447" spans="1:9" x14ac:dyDescent="0.25">
      <c r="A447" s="2" t="s">
        <v>12</v>
      </c>
      <c r="B447" s="2">
        <v>6500</v>
      </c>
      <c r="C447" s="2">
        <v>2</v>
      </c>
      <c r="D447" s="2" t="s">
        <v>39</v>
      </c>
      <c r="E447" s="3">
        <v>44498</v>
      </c>
      <c r="F447" s="2" t="s">
        <v>187</v>
      </c>
      <c r="G447" s="2" t="s">
        <v>156</v>
      </c>
      <c r="H447" s="2" t="s">
        <v>49</v>
      </c>
      <c r="I447" s="4">
        <v>21926</v>
      </c>
    </row>
    <row r="448" spans="1:9" x14ac:dyDescent="0.25">
      <c r="A448" s="2" t="s">
        <v>13</v>
      </c>
      <c r="B448" s="2">
        <v>2300</v>
      </c>
      <c r="C448" s="2">
        <v>4</v>
      </c>
      <c r="D448" s="2" t="s">
        <v>38</v>
      </c>
      <c r="E448" s="3">
        <v>44208</v>
      </c>
      <c r="F448" s="2" t="s">
        <v>258</v>
      </c>
      <c r="G448" s="2" t="s">
        <v>81</v>
      </c>
      <c r="H448" s="2" t="s">
        <v>49</v>
      </c>
      <c r="I448" s="4">
        <v>33726</v>
      </c>
    </row>
    <row r="449" spans="1:9" x14ac:dyDescent="0.25">
      <c r="A449" s="2" t="s">
        <v>18</v>
      </c>
      <c r="B449" s="2">
        <v>3000</v>
      </c>
      <c r="C449" s="2">
        <v>2</v>
      </c>
      <c r="D449" s="2" t="s">
        <v>29</v>
      </c>
      <c r="E449" s="3">
        <v>44240</v>
      </c>
      <c r="F449" s="2" t="s">
        <v>179</v>
      </c>
      <c r="G449" s="2" t="s">
        <v>383</v>
      </c>
      <c r="H449" s="2" t="s">
        <v>44</v>
      </c>
      <c r="I449" s="4">
        <v>20035</v>
      </c>
    </row>
    <row r="450" spans="1:9" x14ac:dyDescent="0.25">
      <c r="A450" s="2" t="s">
        <v>9</v>
      </c>
      <c r="B450" s="2">
        <v>1500</v>
      </c>
      <c r="C450" s="2">
        <v>2</v>
      </c>
      <c r="D450" s="2" t="s">
        <v>35</v>
      </c>
      <c r="E450" s="3">
        <v>44210</v>
      </c>
      <c r="F450" s="2" t="s">
        <v>127</v>
      </c>
      <c r="G450" s="2" t="s">
        <v>189</v>
      </c>
      <c r="H450" s="2" t="s">
        <v>44</v>
      </c>
      <c r="I450" s="4">
        <v>20410</v>
      </c>
    </row>
    <row r="451" spans="1:9" x14ac:dyDescent="0.25">
      <c r="A451" s="2" t="s">
        <v>27</v>
      </c>
      <c r="B451" s="2">
        <v>1500</v>
      </c>
      <c r="C451" s="2">
        <v>5</v>
      </c>
      <c r="D451" s="2" t="s">
        <v>31</v>
      </c>
      <c r="E451" s="3">
        <v>44329</v>
      </c>
      <c r="F451" s="2" t="s">
        <v>405</v>
      </c>
      <c r="G451" s="2" t="s">
        <v>451</v>
      </c>
      <c r="H451" s="2" t="s">
        <v>44</v>
      </c>
      <c r="I451" s="4">
        <v>22469</v>
      </c>
    </row>
    <row r="452" spans="1:9" x14ac:dyDescent="0.25">
      <c r="A452" s="2" t="s">
        <v>14</v>
      </c>
      <c r="B452" s="2">
        <v>2000</v>
      </c>
      <c r="C452" s="2">
        <v>4</v>
      </c>
      <c r="D452" s="2" t="s">
        <v>30</v>
      </c>
      <c r="E452" s="3">
        <v>44213</v>
      </c>
      <c r="F452" s="2" t="s">
        <v>42</v>
      </c>
      <c r="G452" s="2" t="s">
        <v>67</v>
      </c>
      <c r="H452" s="2" t="s">
        <v>44</v>
      </c>
      <c r="I452" s="4">
        <v>21857</v>
      </c>
    </row>
    <row r="453" spans="1:9" x14ac:dyDescent="0.25">
      <c r="A453" s="2" t="s">
        <v>17</v>
      </c>
      <c r="B453" s="2">
        <v>1550</v>
      </c>
      <c r="C453" s="2">
        <v>1</v>
      </c>
      <c r="D453" s="2" t="s">
        <v>37</v>
      </c>
      <c r="E453" s="3">
        <v>44476</v>
      </c>
      <c r="F453" s="2" t="s">
        <v>469</v>
      </c>
      <c r="G453" s="2" t="s">
        <v>97</v>
      </c>
      <c r="H453" s="2" t="s">
        <v>44</v>
      </c>
      <c r="I453" s="4">
        <v>24316</v>
      </c>
    </row>
    <row r="454" spans="1:9" x14ac:dyDescent="0.25">
      <c r="A454" s="2" t="s">
        <v>21</v>
      </c>
      <c r="B454" s="2">
        <v>2400</v>
      </c>
      <c r="C454" s="2">
        <v>3</v>
      </c>
      <c r="D454" s="2" t="s">
        <v>36</v>
      </c>
      <c r="E454" s="3">
        <v>44535</v>
      </c>
      <c r="F454" s="2" t="s">
        <v>173</v>
      </c>
      <c r="G454" s="2" t="s">
        <v>359</v>
      </c>
      <c r="H454" s="2" t="s">
        <v>44</v>
      </c>
      <c r="I454" s="4">
        <v>33395</v>
      </c>
    </row>
    <row r="455" spans="1:9" x14ac:dyDescent="0.25">
      <c r="A455" s="2" t="s">
        <v>23</v>
      </c>
      <c r="B455" s="2">
        <v>1500</v>
      </c>
      <c r="C455" s="2">
        <v>3</v>
      </c>
      <c r="D455" s="2" t="s">
        <v>36</v>
      </c>
      <c r="E455" s="3">
        <v>44485</v>
      </c>
      <c r="F455" s="2" t="s">
        <v>302</v>
      </c>
      <c r="G455" s="2" t="s">
        <v>83</v>
      </c>
      <c r="H455" s="2" t="s">
        <v>49</v>
      </c>
      <c r="I455" s="4">
        <v>28996</v>
      </c>
    </row>
    <row r="456" spans="1:9" x14ac:dyDescent="0.25">
      <c r="A456" s="2" t="s">
        <v>12</v>
      </c>
      <c r="B456" s="2">
        <v>6500</v>
      </c>
      <c r="C456" s="2">
        <v>5</v>
      </c>
      <c r="D456" s="2" t="s">
        <v>37</v>
      </c>
      <c r="E456" s="3">
        <v>44286</v>
      </c>
      <c r="F456" s="2" t="s">
        <v>211</v>
      </c>
      <c r="G456" s="2" t="s">
        <v>231</v>
      </c>
      <c r="H456" s="2" t="s">
        <v>49</v>
      </c>
      <c r="I456" s="4">
        <v>29937</v>
      </c>
    </row>
    <row r="457" spans="1:9" x14ac:dyDescent="0.25">
      <c r="A457" s="2" t="s">
        <v>13</v>
      </c>
      <c r="B457" s="2">
        <v>2300</v>
      </c>
      <c r="C457" s="2">
        <v>4</v>
      </c>
      <c r="D457" s="2" t="s">
        <v>30</v>
      </c>
      <c r="E457" s="3">
        <v>44381</v>
      </c>
      <c r="F457" s="2" t="s">
        <v>401</v>
      </c>
      <c r="G457" s="2" t="s">
        <v>558</v>
      </c>
      <c r="H457" s="2" t="s">
        <v>49</v>
      </c>
      <c r="I457" s="4">
        <v>21217</v>
      </c>
    </row>
    <row r="458" spans="1:9" x14ac:dyDescent="0.25">
      <c r="A458" s="2" t="s">
        <v>15</v>
      </c>
      <c r="B458" s="2">
        <v>1900</v>
      </c>
      <c r="C458" s="2">
        <v>2</v>
      </c>
      <c r="D458" s="2" t="s">
        <v>29</v>
      </c>
      <c r="E458" s="3">
        <v>44284</v>
      </c>
      <c r="F458" s="2" t="s">
        <v>466</v>
      </c>
      <c r="G458" s="2" t="s">
        <v>380</v>
      </c>
      <c r="H458" s="2" t="s">
        <v>49</v>
      </c>
      <c r="I458" s="4">
        <v>36283</v>
      </c>
    </row>
    <row r="459" spans="1:9" x14ac:dyDescent="0.25">
      <c r="A459" s="2" t="s">
        <v>21</v>
      </c>
      <c r="B459" s="2">
        <v>2400</v>
      </c>
      <c r="C459" s="2">
        <v>3</v>
      </c>
      <c r="D459" s="2" t="s">
        <v>39</v>
      </c>
      <c r="E459" s="3">
        <v>44559</v>
      </c>
      <c r="F459" s="2" t="s">
        <v>224</v>
      </c>
      <c r="G459" s="2" t="s">
        <v>324</v>
      </c>
      <c r="H459" s="2" t="s">
        <v>44</v>
      </c>
      <c r="I459" s="4">
        <v>34650</v>
      </c>
    </row>
    <row r="460" spans="1:9" x14ac:dyDescent="0.25">
      <c r="A460" s="2" t="s">
        <v>27</v>
      </c>
      <c r="B460" s="2">
        <v>1500</v>
      </c>
      <c r="C460" s="2">
        <v>2</v>
      </c>
      <c r="D460" s="2" t="s">
        <v>34</v>
      </c>
      <c r="E460" s="3">
        <v>44330</v>
      </c>
      <c r="F460" s="2" t="s">
        <v>137</v>
      </c>
      <c r="G460" s="2" t="s">
        <v>503</v>
      </c>
      <c r="H460" s="2" t="s">
        <v>49</v>
      </c>
      <c r="I460" s="4">
        <v>24598</v>
      </c>
    </row>
    <row r="461" spans="1:9" x14ac:dyDescent="0.25">
      <c r="A461" s="2" t="s">
        <v>22</v>
      </c>
      <c r="B461" s="2">
        <v>5200</v>
      </c>
      <c r="C461" s="2">
        <v>5</v>
      </c>
      <c r="D461" s="2" t="s">
        <v>34</v>
      </c>
      <c r="E461" s="3">
        <v>44489</v>
      </c>
      <c r="F461" s="2" t="s">
        <v>288</v>
      </c>
      <c r="G461" s="2" t="s">
        <v>157</v>
      </c>
      <c r="H461" s="2" t="s">
        <v>49</v>
      </c>
      <c r="I461" s="4">
        <v>28689</v>
      </c>
    </row>
    <row r="462" spans="1:9" x14ac:dyDescent="0.25">
      <c r="A462" s="2" t="s">
        <v>26</v>
      </c>
      <c r="B462" s="2">
        <v>1100</v>
      </c>
      <c r="C462" s="2">
        <v>1</v>
      </c>
      <c r="D462" s="2" t="s">
        <v>31</v>
      </c>
      <c r="E462" s="3">
        <v>44386</v>
      </c>
      <c r="F462" s="2" t="s">
        <v>264</v>
      </c>
      <c r="G462" s="2" t="s">
        <v>449</v>
      </c>
      <c r="H462" s="2" t="s">
        <v>49</v>
      </c>
      <c r="I462" s="4">
        <v>34122</v>
      </c>
    </row>
    <row r="463" spans="1:9" x14ac:dyDescent="0.25">
      <c r="A463" s="2" t="s">
        <v>24</v>
      </c>
      <c r="B463" s="2">
        <v>2000</v>
      </c>
      <c r="C463" s="2">
        <v>4</v>
      </c>
      <c r="D463" s="2" t="s">
        <v>33</v>
      </c>
      <c r="E463" s="3">
        <v>44215</v>
      </c>
      <c r="F463" s="2" t="s">
        <v>179</v>
      </c>
      <c r="G463" s="2" t="s">
        <v>180</v>
      </c>
      <c r="H463" s="2" t="s">
        <v>44</v>
      </c>
      <c r="I463" s="4">
        <v>28082</v>
      </c>
    </row>
    <row r="464" spans="1:9" x14ac:dyDescent="0.25">
      <c r="A464" s="2" t="s">
        <v>11</v>
      </c>
      <c r="B464" s="2">
        <v>4500</v>
      </c>
      <c r="C464" s="2">
        <v>2</v>
      </c>
      <c r="D464" s="2" t="s">
        <v>30</v>
      </c>
      <c r="E464" s="3">
        <v>44483</v>
      </c>
      <c r="F464" s="2" t="s">
        <v>486</v>
      </c>
      <c r="G464" s="2" t="s">
        <v>63</v>
      </c>
      <c r="H464" s="2" t="s">
        <v>44</v>
      </c>
      <c r="I464" s="4">
        <v>35609</v>
      </c>
    </row>
    <row r="465" spans="1:9" x14ac:dyDescent="0.25">
      <c r="A465" s="2" t="s">
        <v>13</v>
      </c>
      <c r="B465" s="2">
        <v>2300</v>
      </c>
      <c r="C465" s="2">
        <v>3</v>
      </c>
      <c r="D465" s="2" t="s">
        <v>32</v>
      </c>
      <c r="E465" s="3">
        <v>44213</v>
      </c>
      <c r="F465" s="2" t="s">
        <v>258</v>
      </c>
      <c r="G465" s="2" t="s">
        <v>164</v>
      </c>
      <c r="H465" s="2" t="s">
        <v>49</v>
      </c>
      <c r="I465" s="4">
        <v>21676</v>
      </c>
    </row>
    <row r="466" spans="1:9" x14ac:dyDescent="0.25">
      <c r="A466" s="2" t="s">
        <v>19</v>
      </c>
      <c r="B466" s="2">
        <v>700</v>
      </c>
      <c r="C466" s="2">
        <v>5</v>
      </c>
      <c r="D466" s="2" t="s">
        <v>35</v>
      </c>
      <c r="E466" s="3">
        <v>44313</v>
      </c>
      <c r="F466" s="2" t="s">
        <v>87</v>
      </c>
      <c r="G466" s="2" t="s">
        <v>600</v>
      </c>
      <c r="H466" s="2" t="s">
        <v>44</v>
      </c>
      <c r="I466" s="4">
        <v>32032</v>
      </c>
    </row>
    <row r="467" spans="1:9" x14ac:dyDescent="0.25">
      <c r="A467" s="2" t="s">
        <v>6</v>
      </c>
      <c r="B467" s="2">
        <v>1200</v>
      </c>
      <c r="C467" s="2">
        <v>3</v>
      </c>
      <c r="D467" s="2" t="s">
        <v>31</v>
      </c>
      <c r="E467" s="3">
        <v>44491</v>
      </c>
      <c r="F467" s="2" t="s">
        <v>42</v>
      </c>
      <c r="G467" s="2" t="s">
        <v>274</v>
      </c>
      <c r="H467" s="2" t="s">
        <v>44</v>
      </c>
      <c r="I467" s="4">
        <v>30739</v>
      </c>
    </row>
    <row r="468" spans="1:9" x14ac:dyDescent="0.25">
      <c r="A468" s="2" t="s">
        <v>25</v>
      </c>
      <c r="B468" s="2">
        <v>2500</v>
      </c>
      <c r="C468" s="2">
        <v>5</v>
      </c>
      <c r="D468" s="2" t="s">
        <v>35</v>
      </c>
      <c r="E468" s="3">
        <v>44223</v>
      </c>
      <c r="F468" s="2" t="s">
        <v>190</v>
      </c>
      <c r="G468" s="2" t="s">
        <v>174</v>
      </c>
      <c r="H468" s="2" t="s">
        <v>44</v>
      </c>
      <c r="I468" s="4">
        <v>22981</v>
      </c>
    </row>
    <row r="469" spans="1:9" x14ac:dyDescent="0.25">
      <c r="A469" s="2" t="s">
        <v>26</v>
      </c>
      <c r="B469" s="2">
        <v>1100</v>
      </c>
      <c r="C469" s="2">
        <v>2</v>
      </c>
      <c r="D469" s="2" t="s">
        <v>34</v>
      </c>
      <c r="E469" s="3">
        <v>44536</v>
      </c>
      <c r="F469" s="2" t="s">
        <v>74</v>
      </c>
      <c r="G469" s="2" t="s">
        <v>213</v>
      </c>
      <c r="H469" s="2" t="s">
        <v>44</v>
      </c>
      <c r="I469" s="4">
        <v>31453</v>
      </c>
    </row>
    <row r="470" spans="1:9" x14ac:dyDescent="0.25">
      <c r="A470" s="2" t="s">
        <v>8</v>
      </c>
      <c r="B470" s="2">
        <v>5500</v>
      </c>
      <c r="C470" s="2">
        <v>5</v>
      </c>
      <c r="D470" s="2" t="s">
        <v>31</v>
      </c>
      <c r="E470" s="3">
        <v>44276</v>
      </c>
      <c r="F470" s="2" t="s">
        <v>401</v>
      </c>
      <c r="G470" s="2" t="s">
        <v>172</v>
      </c>
      <c r="H470" s="2" t="s">
        <v>49</v>
      </c>
      <c r="I470" s="4">
        <v>21639</v>
      </c>
    </row>
    <row r="471" spans="1:9" x14ac:dyDescent="0.25">
      <c r="A471" s="2" t="s">
        <v>20</v>
      </c>
      <c r="B471" s="2">
        <v>2600</v>
      </c>
      <c r="C471" s="2">
        <v>5</v>
      </c>
      <c r="D471" s="2" t="s">
        <v>29</v>
      </c>
      <c r="E471" s="3">
        <v>44475</v>
      </c>
      <c r="F471" s="2" t="s">
        <v>68</v>
      </c>
      <c r="G471" s="2" t="s">
        <v>145</v>
      </c>
      <c r="H471" s="2" t="s">
        <v>49</v>
      </c>
      <c r="I471" s="4">
        <v>20646</v>
      </c>
    </row>
    <row r="472" spans="1:9" x14ac:dyDescent="0.25">
      <c r="A472" s="2" t="s">
        <v>7</v>
      </c>
      <c r="B472" s="2">
        <v>750</v>
      </c>
      <c r="C472" s="2">
        <v>4</v>
      </c>
      <c r="D472" s="2" t="s">
        <v>35</v>
      </c>
      <c r="E472" s="3">
        <v>44269</v>
      </c>
      <c r="F472" s="2" t="s">
        <v>216</v>
      </c>
      <c r="G472" s="2" t="s">
        <v>172</v>
      </c>
      <c r="H472" s="2" t="s">
        <v>44</v>
      </c>
      <c r="I472" s="4">
        <v>20763</v>
      </c>
    </row>
    <row r="473" spans="1:9" x14ac:dyDescent="0.25">
      <c r="A473" s="2" t="s">
        <v>13</v>
      </c>
      <c r="B473" s="2">
        <v>2300</v>
      </c>
      <c r="C473" s="2">
        <v>2</v>
      </c>
      <c r="D473" s="2" t="s">
        <v>32</v>
      </c>
      <c r="E473" s="3">
        <v>44462</v>
      </c>
      <c r="F473" s="2" t="s">
        <v>72</v>
      </c>
      <c r="G473" s="2" t="s">
        <v>73</v>
      </c>
      <c r="H473" s="2" t="s">
        <v>49</v>
      </c>
      <c r="I473" s="4">
        <v>30167</v>
      </c>
    </row>
    <row r="474" spans="1:9" x14ac:dyDescent="0.25">
      <c r="A474" s="2" t="s">
        <v>27</v>
      </c>
      <c r="B474" s="2">
        <v>1500</v>
      </c>
      <c r="C474" s="2">
        <v>3</v>
      </c>
      <c r="D474" s="2" t="s">
        <v>38</v>
      </c>
      <c r="E474" s="3">
        <v>44235</v>
      </c>
      <c r="F474" s="2" t="s">
        <v>51</v>
      </c>
      <c r="G474" s="2" t="s">
        <v>412</v>
      </c>
      <c r="H474" s="2" t="s">
        <v>44</v>
      </c>
      <c r="I474" s="4">
        <v>32482</v>
      </c>
    </row>
    <row r="475" spans="1:9" x14ac:dyDescent="0.25">
      <c r="A475" s="2" t="s">
        <v>11</v>
      </c>
      <c r="B475" s="2">
        <v>4500</v>
      </c>
      <c r="C475" s="2">
        <v>3</v>
      </c>
      <c r="D475" s="2" t="s">
        <v>39</v>
      </c>
      <c r="E475" s="3">
        <v>44331</v>
      </c>
      <c r="F475" s="2" t="s">
        <v>492</v>
      </c>
      <c r="G475" s="2" t="s">
        <v>99</v>
      </c>
      <c r="H475" s="2" t="s">
        <v>44</v>
      </c>
      <c r="I475" s="4">
        <v>26635</v>
      </c>
    </row>
    <row r="476" spans="1:9" x14ac:dyDescent="0.25">
      <c r="A476" s="2" t="s">
        <v>27</v>
      </c>
      <c r="B476" s="2">
        <v>1500</v>
      </c>
      <c r="C476" s="2">
        <v>3</v>
      </c>
      <c r="D476" s="2" t="s">
        <v>29</v>
      </c>
      <c r="E476" s="3">
        <v>44420</v>
      </c>
      <c r="F476" s="2" t="s">
        <v>76</v>
      </c>
      <c r="G476" s="2" t="s">
        <v>297</v>
      </c>
      <c r="H476" s="2" t="s">
        <v>49</v>
      </c>
      <c r="I476" s="4">
        <v>25035</v>
      </c>
    </row>
    <row r="477" spans="1:9" x14ac:dyDescent="0.25">
      <c r="A477" s="2" t="s">
        <v>5</v>
      </c>
      <c r="B477" s="2">
        <v>1750</v>
      </c>
      <c r="C477" s="2">
        <v>1</v>
      </c>
      <c r="D477" s="2" t="s">
        <v>31</v>
      </c>
      <c r="E477" s="3">
        <v>44410</v>
      </c>
      <c r="F477" s="2" t="s">
        <v>144</v>
      </c>
      <c r="G477" s="2" t="s">
        <v>597</v>
      </c>
      <c r="H477" s="2" t="s">
        <v>49</v>
      </c>
      <c r="I477" s="4">
        <v>24621</v>
      </c>
    </row>
    <row r="478" spans="1:9" x14ac:dyDescent="0.25">
      <c r="A478" s="2" t="s">
        <v>23</v>
      </c>
      <c r="B478" s="2">
        <v>1500</v>
      </c>
      <c r="C478" s="2">
        <v>3</v>
      </c>
      <c r="D478" s="2" t="s">
        <v>40</v>
      </c>
      <c r="E478" s="3">
        <v>44471</v>
      </c>
      <c r="F478" s="2" t="s">
        <v>302</v>
      </c>
      <c r="G478" s="2" t="s">
        <v>303</v>
      </c>
      <c r="H478" s="2" t="s">
        <v>49</v>
      </c>
      <c r="I478" s="4">
        <v>23206</v>
      </c>
    </row>
    <row r="479" spans="1:9" x14ac:dyDescent="0.25">
      <c r="A479" s="2" t="s">
        <v>27</v>
      </c>
      <c r="B479" s="2">
        <v>1500</v>
      </c>
      <c r="C479" s="2">
        <v>3</v>
      </c>
      <c r="D479" s="2" t="s">
        <v>32</v>
      </c>
      <c r="E479" s="3">
        <v>44345</v>
      </c>
      <c r="F479" s="2" t="s">
        <v>585</v>
      </c>
      <c r="G479" s="2" t="s">
        <v>276</v>
      </c>
      <c r="H479" s="2" t="s">
        <v>44</v>
      </c>
      <c r="I479" s="4">
        <v>19843</v>
      </c>
    </row>
    <row r="480" spans="1:9" x14ac:dyDescent="0.25">
      <c r="A480" s="2" t="s">
        <v>17</v>
      </c>
      <c r="B480" s="2">
        <v>1550</v>
      </c>
      <c r="C480" s="2">
        <v>5</v>
      </c>
      <c r="D480" s="2" t="s">
        <v>34</v>
      </c>
      <c r="E480" s="3">
        <v>44205</v>
      </c>
      <c r="F480" s="2" t="s">
        <v>98</v>
      </c>
      <c r="G480" s="2" t="s">
        <v>213</v>
      </c>
      <c r="H480" s="2" t="s">
        <v>44</v>
      </c>
      <c r="I480" s="4">
        <v>23276</v>
      </c>
    </row>
    <row r="481" spans="1:9" x14ac:dyDescent="0.25">
      <c r="A481" s="2" t="s">
        <v>17</v>
      </c>
      <c r="B481" s="2">
        <v>1550</v>
      </c>
      <c r="C481" s="2">
        <v>2</v>
      </c>
      <c r="D481" s="2" t="s">
        <v>37</v>
      </c>
      <c r="E481" s="3">
        <v>44525</v>
      </c>
      <c r="F481" s="2" t="s">
        <v>462</v>
      </c>
      <c r="G481" s="2" t="s">
        <v>569</v>
      </c>
      <c r="H481" s="2" t="s">
        <v>49</v>
      </c>
      <c r="I481" s="4">
        <v>36704</v>
      </c>
    </row>
    <row r="482" spans="1:9" x14ac:dyDescent="0.25">
      <c r="A482" s="2" t="s">
        <v>23</v>
      </c>
      <c r="B482" s="2">
        <v>1500</v>
      </c>
      <c r="C482" s="2">
        <v>3</v>
      </c>
      <c r="D482" s="2" t="s">
        <v>29</v>
      </c>
      <c r="E482" s="3">
        <v>44339</v>
      </c>
      <c r="F482" s="2" t="s">
        <v>134</v>
      </c>
      <c r="G482" s="2" t="s">
        <v>351</v>
      </c>
      <c r="H482" s="2" t="s">
        <v>49</v>
      </c>
      <c r="I482" s="4">
        <v>26735</v>
      </c>
    </row>
    <row r="483" spans="1:9" x14ac:dyDescent="0.25">
      <c r="A483" s="2" t="s">
        <v>25</v>
      </c>
      <c r="B483" s="2">
        <v>2500</v>
      </c>
      <c r="C483" s="2">
        <v>3</v>
      </c>
      <c r="D483" s="2" t="s">
        <v>31</v>
      </c>
      <c r="E483" s="3">
        <v>44433</v>
      </c>
      <c r="F483" s="2" t="s">
        <v>260</v>
      </c>
      <c r="G483" s="2" t="s">
        <v>203</v>
      </c>
      <c r="H483" s="2" t="s">
        <v>49</v>
      </c>
      <c r="I483" s="4">
        <v>29734</v>
      </c>
    </row>
    <row r="484" spans="1:9" x14ac:dyDescent="0.25">
      <c r="A484" s="2" t="s">
        <v>6</v>
      </c>
      <c r="B484" s="2">
        <v>1200</v>
      </c>
      <c r="C484" s="2">
        <v>5</v>
      </c>
      <c r="D484" s="2" t="s">
        <v>38</v>
      </c>
      <c r="E484" s="3">
        <v>44313</v>
      </c>
      <c r="F484" s="2" t="s">
        <v>312</v>
      </c>
      <c r="G484" s="2" t="s">
        <v>63</v>
      </c>
      <c r="H484" s="2" t="s">
        <v>49</v>
      </c>
      <c r="I484" s="4">
        <v>30554</v>
      </c>
    </row>
    <row r="485" spans="1:9" x14ac:dyDescent="0.25">
      <c r="A485" s="2" t="s">
        <v>18</v>
      </c>
      <c r="B485" s="2">
        <v>3000</v>
      </c>
      <c r="C485" s="2">
        <v>4</v>
      </c>
      <c r="D485" s="2" t="s">
        <v>29</v>
      </c>
      <c r="E485" s="3">
        <v>44477</v>
      </c>
      <c r="F485" s="2" t="s">
        <v>433</v>
      </c>
      <c r="G485" s="2" t="s">
        <v>81</v>
      </c>
      <c r="H485" s="2" t="s">
        <v>44</v>
      </c>
      <c r="I485" s="4">
        <v>33868</v>
      </c>
    </row>
    <row r="486" spans="1:9" x14ac:dyDescent="0.25">
      <c r="A486" s="2" t="s">
        <v>26</v>
      </c>
      <c r="B486" s="2">
        <v>1100</v>
      </c>
      <c r="C486" s="2">
        <v>3</v>
      </c>
      <c r="D486" s="2" t="s">
        <v>34</v>
      </c>
      <c r="E486" s="3">
        <v>44356</v>
      </c>
      <c r="F486" s="2" t="s">
        <v>173</v>
      </c>
      <c r="G486" s="2" t="s">
        <v>174</v>
      </c>
      <c r="H486" s="2" t="s">
        <v>44</v>
      </c>
      <c r="I486" s="4">
        <v>20273</v>
      </c>
    </row>
    <row r="487" spans="1:9" x14ac:dyDescent="0.25">
      <c r="A487" s="2" t="s">
        <v>16</v>
      </c>
      <c r="B487" s="2">
        <v>1400</v>
      </c>
      <c r="C487" s="2">
        <v>3</v>
      </c>
      <c r="D487" s="2" t="s">
        <v>37</v>
      </c>
      <c r="E487" s="3">
        <v>44201</v>
      </c>
      <c r="F487" s="2" t="s">
        <v>233</v>
      </c>
      <c r="G487" s="2" t="s">
        <v>483</v>
      </c>
      <c r="H487" s="2" t="s">
        <v>49</v>
      </c>
      <c r="I487" s="4">
        <v>23101</v>
      </c>
    </row>
    <row r="488" spans="1:9" x14ac:dyDescent="0.25">
      <c r="A488" s="2" t="s">
        <v>19</v>
      </c>
      <c r="B488" s="2">
        <v>700</v>
      </c>
      <c r="C488" s="2">
        <v>1</v>
      </c>
      <c r="D488" s="2" t="s">
        <v>34</v>
      </c>
      <c r="E488" s="3">
        <v>44464</v>
      </c>
      <c r="F488" s="2" t="s">
        <v>66</v>
      </c>
      <c r="G488" s="2" t="s">
        <v>572</v>
      </c>
      <c r="H488" s="2" t="s">
        <v>44</v>
      </c>
      <c r="I488" s="4">
        <v>34143</v>
      </c>
    </row>
    <row r="489" spans="1:9" x14ac:dyDescent="0.25">
      <c r="A489" s="2" t="s">
        <v>8</v>
      </c>
      <c r="B489" s="2">
        <v>5500</v>
      </c>
      <c r="C489" s="2">
        <v>4</v>
      </c>
      <c r="D489" s="2" t="s">
        <v>38</v>
      </c>
      <c r="E489" s="3">
        <v>44470</v>
      </c>
      <c r="F489" s="2" t="s">
        <v>179</v>
      </c>
      <c r="G489" s="2" t="s">
        <v>83</v>
      </c>
      <c r="H489" s="2" t="s">
        <v>44</v>
      </c>
      <c r="I489" s="4">
        <v>35697</v>
      </c>
    </row>
    <row r="490" spans="1:9" x14ac:dyDescent="0.25">
      <c r="A490" s="2" t="s">
        <v>7</v>
      </c>
      <c r="B490" s="2">
        <v>750</v>
      </c>
      <c r="C490" s="2">
        <v>2</v>
      </c>
      <c r="D490" s="2" t="s">
        <v>40</v>
      </c>
      <c r="E490" s="3">
        <v>44506</v>
      </c>
      <c r="F490" s="2" t="s">
        <v>456</v>
      </c>
      <c r="G490" s="2" t="s">
        <v>198</v>
      </c>
      <c r="H490" s="2" t="s">
        <v>49</v>
      </c>
      <c r="I490" s="4">
        <v>25028</v>
      </c>
    </row>
    <row r="491" spans="1:9" x14ac:dyDescent="0.25">
      <c r="A491" s="2" t="s">
        <v>13</v>
      </c>
      <c r="B491" s="2">
        <v>2300</v>
      </c>
      <c r="C491" s="2">
        <v>2</v>
      </c>
      <c r="D491" s="2" t="s">
        <v>29</v>
      </c>
      <c r="E491" s="3">
        <v>44236</v>
      </c>
      <c r="F491" s="2" t="s">
        <v>74</v>
      </c>
      <c r="G491" s="2" t="s">
        <v>63</v>
      </c>
      <c r="H491" s="2" t="s">
        <v>44</v>
      </c>
      <c r="I491" s="4">
        <v>26891</v>
      </c>
    </row>
    <row r="492" spans="1:9" x14ac:dyDescent="0.25">
      <c r="A492" s="2" t="s">
        <v>6</v>
      </c>
      <c r="B492" s="2">
        <v>1200</v>
      </c>
      <c r="C492" s="2">
        <v>5</v>
      </c>
      <c r="D492" s="2" t="s">
        <v>32</v>
      </c>
      <c r="E492" s="3">
        <v>44506</v>
      </c>
      <c r="F492" s="2" t="s">
        <v>361</v>
      </c>
      <c r="G492" s="2" t="s">
        <v>362</v>
      </c>
      <c r="H492" s="2" t="s">
        <v>49</v>
      </c>
      <c r="I492" s="4">
        <v>19639</v>
      </c>
    </row>
    <row r="493" spans="1:9" x14ac:dyDescent="0.25">
      <c r="A493" s="2" t="s">
        <v>14</v>
      </c>
      <c r="B493" s="2">
        <v>2000</v>
      </c>
      <c r="C493" s="2">
        <v>4</v>
      </c>
      <c r="D493" s="2" t="s">
        <v>29</v>
      </c>
      <c r="E493" s="3">
        <v>44531</v>
      </c>
      <c r="F493" s="2" t="s">
        <v>173</v>
      </c>
      <c r="G493" s="2" t="s">
        <v>181</v>
      </c>
      <c r="H493" s="2" t="s">
        <v>44</v>
      </c>
      <c r="I493" s="4">
        <v>32179</v>
      </c>
    </row>
    <row r="494" spans="1:9" x14ac:dyDescent="0.25">
      <c r="A494" s="2" t="s">
        <v>28</v>
      </c>
      <c r="B494" s="2">
        <v>1400</v>
      </c>
      <c r="C494" s="2">
        <v>5</v>
      </c>
      <c r="D494" s="2" t="s">
        <v>32</v>
      </c>
      <c r="E494" s="3">
        <v>44396</v>
      </c>
      <c r="F494" s="2" t="s">
        <v>98</v>
      </c>
      <c r="G494" s="2" t="s">
        <v>380</v>
      </c>
      <c r="H494" s="2" t="s">
        <v>44</v>
      </c>
      <c r="I494" s="4">
        <v>29461</v>
      </c>
    </row>
    <row r="495" spans="1:9" x14ac:dyDescent="0.25">
      <c r="A495" s="2" t="s">
        <v>18</v>
      </c>
      <c r="B495" s="2">
        <v>3000</v>
      </c>
      <c r="C495" s="2">
        <v>3</v>
      </c>
      <c r="D495" s="2" t="s">
        <v>33</v>
      </c>
      <c r="E495" s="3">
        <v>44510</v>
      </c>
      <c r="F495" s="2" t="s">
        <v>70</v>
      </c>
      <c r="G495" s="2" t="s">
        <v>220</v>
      </c>
      <c r="H495" s="2" t="s">
        <v>44</v>
      </c>
      <c r="I495" s="4">
        <v>34838</v>
      </c>
    </row>
    <row r="496" spans="1:9" x14ac:dyDescent="0.25">
      <c r="A496" s="2" t="s">
        <v>5</v>
      </c>
      <c r="B496" s="2">
        <v>1750</v>
      </c>
      <c r="C496" s="2">
        <v>4</v>
      </c>
      <c r="D496" s="2" t="s">
        <v>36</v>
      </c>
      <c r="E496" s="3">
        <v>44372</v>
      </c>
      <c r="F496" s="2" t="s">
        <v>258</v>
      </c>
      <c r="G496" s="2" t="s">
        <v>174</v>
      </c>
      <c r="H496" s="2" t="s">
        <v>49</v>
      </c>
      <c r="I496" s="4">
        <v>33289</v>
      </c>
    </row>
    <row r="497" spans="1:9" x14ac:dyDescent="0.25">
      <c r="A497" s="2" t="s">
        <v>28</v>
      </c>
      <c r="B497" s="2">
        <v>1400</v>
      </c>
      <c r="C497" s="2">
        <v>3</v>
      </c>
      <c r="D497" s="2" t="s">
        <v>38</v>
      </c>
      <c r="E497" s="3">
        <v>44435</v>
      </c>
      <c r="F497" s="2" t="s">
        <v>405</v>
      </c>
      <c r="G497" s="2" t="s">
        <v>406</v>
      </c>
      <c r="H497" s="2" t="s">
        <v>44</v>
      </c>
      <c r="I497" s="4">
        <v>25121</v>
      </c>
    </row>
    <row r="498" spans="1:9" x14ac:dyDescent="0.25">
      <c r="A498" s="2" t="s">
        <v>10</v>
      </c>
      <c r="B498" s="2">
        <v>1450</v>
      </c>
      <c r="C498" s="2">
        <v>3</v>
      </c>
      <c r="D498" s="2" t="s">
        <v>30</v>
      </c>
      <c r="E498" s="3">
        <v>44427</v>
      </c>
      <c r="F498" s="2" t="s">
        <v>87</v>
      </c>
      <c r="G498" s="2" t="s">
        <v>67</v>
      </c>
      <c r="H498" s="2" t="s">
        <v>44</v>
      </c>
      <c r="I498" s="4">
        <v>27176</v>
      </c>
    </row>
    <row r="499" spans="1:9" x14ac:dyDescent="0.25">
      <c r="A499" s="2" t="s">
        <v>27</v>
      </c>
      <c r="B499" s="2">
        <v>1500</v>
      </c>
      <c r="C499" s="2">
        <v>3</v>
      </c>
      <c r="D499" s="2" t="s">
        <v>38</v>
      </c>
      <c r="E499" s="3">
        <v>44242</v>
      </c>
      <c r="F499" s="2" t="s">
        <v>361</v>
      </c>
      <c r="G499" s="2" t="s">
        <v>203</v>
      </c>
      <c r="H499" s="2" t="s">
        <v>49</v>
      </c>
      <c r="I499" s="4">
        <v>36075</v>
      </c>
    </row>
    <row r="500" spans="1:9" x14ac:dyDescent="0.25">
      <c r="A500" s="2" t="s">
        <v>28</v>
      </c>
      <c r="B500" s="2">
        <v>1400</v>
      </c>
      <c r="C500" s="2">
        <v>1</v>
      </c>
      <c r="D500" s="2" t="s">
        <v>35</v>
      </c>
      <c r="E500" s="3">
        <v>44389</v>
      </c>
      <c r="F500" s="2" t="s">
        <v>190</v>
      </c>
      <c r="G500" s="2" t="s">
        <v>174</v>
      </c>
      <c r="H500" s="2" t="s">
        <v>44</v>
      </c>
      <c r="I500" s="4">
        <v>22981</v>
      </c>
    </row>
    <row r="501" spans="1:9" x14ac:dyDescent="0.25">
      <c r="A501" s="2" t="s">
        <v>17</v>
      </c>
      <c r="B501" s="2">
        <v>1550</v>
      </c>
      <c r="C501" s="2">
        <v>1</v>
      </c>
      <c r="D501" s="2" t="s">
        <v>33</v>
      </c>
      <c r="E501" s="3">
        <v>44452</v>
      </c>
      <c r="F501" s="2" t="s">
        <v>365</v>
      </c>
      <c r="G501" s="2" t="s">
        <v>366</v>
      </c>
      <c r="H501" s="2" t="s">
        <v>49</v>
      </c>
      <c r="I501" s="4">
        <v>29401</v>
      </c>
    </row>
    <row r="502" spans="1:9" x14ac:dyDescent="0.25">
      <c r="A502" s="2" t="s">
        <v>26</v>
      </c>
      <c r="B502" s="2">
        <v>1100</v>
      </c>
      <c r="C502" s="2">
        <v>2</v>
      </c>
      <c r="D502" s="2" t="s">
        <v>40</v>
      </c>
      <c r="E502" s="3">
        <v>44413</v>
      </c>
      <c r="F502" s="2" t="s">
        <v>551</v>
      </c>
      <c r="G502" s="2" t="s">
        <v>526</v>
      </c>
      <c r="H502" s="2" t="s">
        <v>44</v>
      </c>
      <c r="I502" s="4">
        <v>34549</v>
      </c>
    </row>
    <row r="503" spans="1:9" x14ac:dyDescent="0.25">
      <c r="A503" s="2" t="s">
        <v>27</v>
      </c>
      <c r="B503" s="2">
        <v>1500</v>
      </c>
      <c r="C503" s="2">
        <v>2</v>
      </c>
      <c r="D503" s="2" t="s">
        <v>32</v>
      </c>
      <c r="E503" s="3">
        <v>44320</v>
      </c>
      <c r="F503" s="2" t="s">
        <v>190</v>
      </c>
      <c r="G503" s="2" t="s">
        <v>246</v>
      </c>
      <c r="H503" s="2" t="s">
        <v>44</v>
      </c>
      <c r="I503" s="4">
        <v>30077</v>
      </c>
    </row>
    <row r="504" spans="1:9" x14ac:dyDescent="0.25">
      <c r="A504" s="2" t="s">
        <v>24</v>
      </c>
      <c r="B504" s="2">
        <v>2000</v>
      </c>
      <c r="C504" s="2">
        <v>1</v>
      </c>
      <c r="D504" s="2" t="s">
        <v>33</v>
      </c>
      <c r="E504" s="3">
        <v>44523</v>
      </c>
      <c r="F504" s="2" t="s">
        <v>98</v>
      </c>
      <c r="G504" s="2" t="s">
        <v>613</v>
      </c>
      <c r="H504" s="2" t="s">
        <v>44</v>
      </c>
      <c r="I504" s="4">
        <v>30574</v>
      </c>
    </row>
    <row r="505" spans="1:9" x14ac:dyDescent="0.25">
      <c r="A505" s="2" t="s">
        <v>9</v>
      </c>
      <c r="B505" s="2">
        <v>1500</v>
      </c>
      <c r="C505" s="2">
        <v>2</v>
      </c>
      <c r="D505" s="2" t="s">
        <v>29</v>
      </c>
      <c r="E505" s="3">
        <v>44409</v>
      </c>
      <c r="F505" s="2" t="s">
        <v>52</v>
      </c>
      <c r="G505" s="2" t="s">
        <v>232</v>
      </c>
      <c r="H505" s="2" t="s">
        <v>44</v>
      </c>
      <c r="I505" s="4">
        <v>34971</v>
      </c>
    </row>
    <row r="506" spans="1:9" x14ac:dyDescent="0.25">
      <c r="A506" s="2" t="s">
        <v>16</v>
      </c>
      <c r="B506" s="2">
        <v>1400</v>
      </c>
      <c r="C506" s="2">
        <v>2</v>
      </c>
      <c r="D506" s="2" t="s">
        <v>40</v>
      </c>
      <c r="E506" s="3">
        <v>44310</v>
      </c>
      <c r="F506" s="2" t="s">
        <v>461</v>
      </c>
      <c r="G506" s="2" t="s">
        <v>83</v>
      </c>
      <c r="H506" s="2" t="s">
        <v>49</v>
      </c>
      <c r="I506" s="4">
        <v>35735</v>
      </c>
    </row>
    <row r="507" spans="1:9" x14ac:dyDescent="0.25">
      <c r="A507" s="2" t="s">
        <v>11</v>
      </c>
      <c r="B507" s="2">
        <v>4500</v>
      </c>
      <c r="C507" s="2">
        <v>1</v>
      </c>
      <c r="D507" s="2" t="s">
        <v>34</v>
      </c>
      <c r="E507" s="3">
        <v>44367</v>
      </c>
      <c r="F507" s="2" t="s">
        <v>126</v>
      </c>
      <c r="G507" s="2" t="s">
        <v>81</v>
      </c>
      <c r="H507" s="2" t="s">
        <v>49</v>
      </c>
      <c r="I507" s="4">
        <v>28031</v>
      </c>
    </row>
    <row r="508" spans="1:9" x14ac:dyDescent="0.25">
      <c r="A508" s="2" t="s">
        <v>25</v>
      </c>
      <c r="B508" s="2">
        <v>2500</v>
      </c>
      <c r="C508" s="2">
        <v>5</v>
      </c>
      <c r="D508" s="2" t="s">
        <v>37</v>
      </c>
      <c r="E508" s="3">
        <v>44307</v>
      </c>
      <c r="F508" s="2" t="s">
        <v>111</v>
      </c>
      <c r="G508" s="2" t="s">
        <v>113</v>
      </c>
      <c r="H508" s="2" t="s">
        <v>44</v>
      </c>
      <c r="I508" s="4">
        <v>31244</v>
      </c>
    </row>
    <row r="509" spans="1:9" x14ac:dyDescent="0.25">
      <c r="A509" s="2" t="s">
        <v>13</v>
      </c>
      <c r="B509" s="2">
        <v>2300</v>
      </c>
      <c r="C509" s="2">
        <v>3</v>
      </c>
      <c r="D509" s="2" t="s">
        <v>35</v>
      </c>
      <c r="E509" s="3">
        <v>44239</v>
      </c>
      <c r="F509" s="2" t="s">
        <v>140</v>
      </c>
      <c r="G509" s="2" t="s">
        <v>297</v>
      </c>
      <c r="H509" s="2" t="s">
        <v>49</v>
      </c>
      <c r="I509" s="4">
        <v>20819</v>
      </c>
    </row>
    <row r="510" spans="1:9" x14ac:dyDescent="0.25">
      <c r="A510" s="2" t="s">
        <v>28</v>
      </c>
      <c r="B510" s="2">
        <v>1400</v>
      </c>
      <c r="C510" s="2">
        <v>5</v>
      </c>
      <c r="D510" s="2" t="s">
        <v>29</v>
      </c>
      <c r="E510" s="3">
        <v>44458</v>
      </c>
      <c r="F510" s="2" t="s">
        <v>277</v>
      </c>
      <c r="G510" s="2" t="s">
        <v>164</v>
      </c>
      <c r="H510" s="2" t="s">
        <v>49</v>
      </c>
      <c r="I510" s="4">
        <v>22472</v>
      </c>
    </row>
    <row r="511" spans="1:9" x14ac:dyDescent="0.25">
      <c r="A511" s="2" t="s">
        <v>6</v>
      </c>
      <c r="B511" s="2">
        <v>1200</v>
      </c>
      <c r="C511" s="2">
        <v>1</v>
      </c>
      <c r="D511" s="2" t="s">
        <v>37</v>
      </c>
      <c r="E511" s="3">
        <v>44332</v>
      </c>
      <c r="F511" s="2" t="s">
        <v>401</v>
      </c>
      <c r="G511" s="2" t="s">
        <v>418</v>
      </c>
      <c r="H511" s="2" t="s">
        <v>49</v>
      </c>
      <c r="I511" s="4">
        <v>20347</v>
      </c>
    </row>
    <row r="512" spans="1:9" x14ac:dyDescent="0.25">
      <c r="A512" s="2" t="s">
        <v>10</v>
      </c>
      <c r="B512" s="2">
        <v>1450</v>
      </c>
      <c r="C512" s="2">
        <v>5</v>
      </c>
      <c r="D512" s="2" t="s">
        <v>34</v>
      </c>
      <c r="E512" s="3">
        <v>44472</v>
      </c>
      <c r="F512" s="2" t="s">
        <v>492</v>
      </c>
      <c r="G512" s="2" t="s">
        <v>198</v>
      </c>
      <c r="H512" s="2" t="s">
        <v>44</v>
      </c>
      <c r="I512" s="4">
        <v>28333</v>
      </c>
    </row>
    <row r="513" spans="1:9" x14ac:dyDescent="0.25">
      <c r="A513" s="2" t="s">
        <v>25</v>
      </c>
      <c r="B513" s="2">
        <v>2500</v>
      </c>
      <c r="C513" s="2">
        <v>4</v>
      </c>
      <c r="D513" s="2" t="s">
        <v>33</v>
      </c>
      <c r="E513" s="3">
        <v>44345</v>
      </c>
      <c r="F513" s="2" t="s">
        <v>179</v>
      </c>
      <c r="G513" s="2" t="s">
        <v>180</v>
      </c>
      <c r="H513" s="2" t="s">
        <v>44</v>
      </c>
      <c r="I513" s="4">
        <v>28082</v>
      </c>
    </row>
    <row r="514" spans="1:9" x14ac:dyDescent="0.25">
      <c r="A514" s="2" t="s">
        <v>16</v>
      </c>
      <c r="B514" s="2">
        <v>1400</v>
      </c>
      <c r="C514" s="2">
        <v>4</v>
      </c>
      <c r="D514" s="2" t="s">
        <v>29</v>
      </c>
      <c r="E514" s="3">
        <v>44397</v>
      </c>
      <c r="F514" s="2" t="s">
        <v>347</v>
      </c>
      <c r="G514" s="2" t="s">
        <v>550</v>
      </c>
      <c r="H514" s="2" t="s">
        <v>49</v>
      </c>
      <c r="I514" s="4">
        <v>35649</v>
      </c>
    </row>
    <row r="515" spans="1:9" x14ac:dyDescent="0.25">
      <c r="A515" s="2" t="s">
        <v>15</v>
      </c>
      <c r="B515" s="2">
        <v>1900</v>
      </c>
      <c r="C515" s="2">
        <v>4</v>
      </c>
      <c r="D515" s="2" t="s">
        <v>38</v>
      </c>
      <c r="E515" s="3">
        <v>44535</v>
      </c>
      <c r="F515" s="2" t="s">
        <v>470</v>
      </c>
      <c r="G515" s="2" t="s">
        <v>478</v>
      </c>
      <c r="H515" s="2" t="s">
        <v>49</v>
      </c>
      <c r="I515" s="4">
        <v>21532</v>
      </c>
    </row>
    <row r="516" spans="1:9" x14ac:dyDescent="0.25">
      <c r="A516" s="2" t="s">
        <v>27</v>
      </c>
      <c r="B516" s="2">
        <v>1500</v>
      </c>
      <c r="C516" s="2">
        <v>5</v>
      </c>
      <c r="D516" s="2" t="s">
        <v>36</v>
      </c>
      <c r="E516" s="3">
        <v>44247</v>
      </c>
      <c r="F516" s="2" t="s">
        <v>98</v>
      </c>
      <c r="G516" s="2" t="s">
        <v>83</v>
      </c>
      <c r="H516" s="2" t="s">
        <v>44</v>
      </c>
      <c r="I516" s="4">
        <v>24641</v>
      </c>
    </row>
    <row r="517" spans="1:9" x14ac:dyDescent="0.25">
      <c r="A517" s="2" t="s">
        <v>24</v>
      </c>
      <c r="B517" s="2">
        <v>2000</v>
      </c>
      <c r="C517" s="2">
        <v>1</v>
      </c>
      <c r="D517" s="2" t="s">
        <v>29</v>
      </c>
      <c r="E517" s="3">
        <v>44464</v>
      </c>
      <c r="F517" s="2" t="s">
        <v>170</v>
      </c>
      <c r="G517" s="2" t="s">
        <v>463</v>
      </c>
      <c r="H517" s="2" t="s">
        <v>44</v>
      </c>
      <c r="I517" s="4">
        <v>30086</v>
      </c>
    </row>
    <row r="518" spans="1:9" x14ac:dyDescent="0.25">
      <c r="A518" s="2" t="s">
        <v>10</v>
      </c>
      <c r="B518" s="2">
        <v>1450</v>
      </c>
      <c r="C518" s="2">
        <v>3</v>
      </c>
      <c r="D518" s="2" t="s">
        <v>30</v>
      </c>
      <c r="E518" s="3">
        <v>44237</v>
      </c>
      <c r="F518" s="2" t="s">
        <v>158</v>
      </c>
      <c r="G518" s="2" t="s">
        <v>159</v>
      </c>
      <c r="H518" s="2" t="s">
        <v>49</v>
      </c>
      <c r="I518" s="4">
        <v>31269</v>
      </c>
    </row>
    <row r="519" spans="1:9" x14ac:dyDescent="0.25">
      <c r="A519" s="2" t="s">
        <v>28</v>
      </c>
      <c r="B519" s="2">
        <v>1400</v>
      </c>
      <c r="C519" s="2">
        <v>5</v>
      </c>
      <c r="D519" s="2" t="s">
        <v>36</v>
      </c>
      <c r="E519" s="3">
        <v>44508</v>
      </c>
      <c r="F519" s="2" t="s">
        <v>85</v>
      </c>
      <c r="G519" s="2" t="s">
        <v>86</v>
      </c>
      <c r="H519" s="2" t="s">
        <v>49</v>
      </c>
      <c r="I519" s="4">
        <v>22416</v>
      </c>
    </row>
    <row r="520" spans="1:9" x14ac:dyDescent="0.25">
      <c r="A520" s="2" t="s">
        <v>28</v>
      </c>
      <c r="B520" s="2">
        <v>1400</v>
      </c>
      <c r="C520" s="2">
        <v>5</v>
      </c>
      <c r="D520" s="2" t="s">
        <v>35</v>
      </c>
      <c r="E520" s="3">
        <v>44412</v>
      </c>
      <c r="F520" s="2" t="s">
        <v>316</v>
      </c>
      <c r="G520" s="2" t="s">
        <v>253</v>
      </c>
      <c r="H520" s="2" t="s">
        <v>44</v>
      </c>
      <c r="I520" s="4">
        <v>26822</v>
      </c>
    </row>
    <row r="521" spans="1:9" x14ac:dyDescent="0.25">
      <c r="A521" s="2" t="s">
        <v>12</v>
      </c>
      <c r="B521" s="2">
        <v>6500</v>
      </c>
      <c r="C521" s="2">
        <v>4</v>
      </c>
      <c r="D521" s="2" t="s">
        <v>39</v>
      </c>
      <c r="E521" s="3">
        <v>44512</v>
      </c>
      <c r="F521" s="2" t="s">
        <v>64</v>
      </c>
      <c r="G521" s="2" t="s">
        <v>594</v>
      </c>
      <c r="H521" s="2" t="s">
        <v>44</v>
      </c>
      <c r="I521" s="4">
        <v>36419</v>
      </c>
    </row>
    <row r="522" spans="1:9" x14ac:dyDescent="0.25">
      <c r="A522" s="2" t="s">
        <v>16</v>
      </c>
      <c r="B522" s="2">
        <v>1400</v>
      </c>
      <c r="C522" s="2">
        <v>2</v>
      </c>
      <c r="D522" s="2" t="s">
        <v>32</v>
      </c>
      <c r="E522" s="3">
        <v>44249</v>
      </c>
      <c r="F522" s="2" t="s">
        <v>199</v>
      </c>
      <c r="G522" s="2" t="s">
        <v>327</v>
      </c>
      <c r="H522" s="2" t="s">
        <v>49</v>
      </c>
      <c r="I522" s="4">
        <v>33099</v>
      </c>
    </row>
    <row r="523" spans="1:9" x14ac:dyDescent="0.25">
      <c r="A523" s="2" t="s">
        <v>16</v>
      </c>
      <c r="B523" s="2">
        <v>1400</v>
      </c>
      <c r="C523" s="2">
        <v>4</v>
      </c>
      <c r="D523" s="2" t="s">
        <v>37</v>
      </c>
      <c r="E523" s="3">
        <v>44515</v>
      </c>
      <c r="F523" s="2" t="s">
        <v>106</v>
      </c>
      <c r="G523" s="2" t="s">
        <v>71</v>
      </c>
      <c r="H523" s="2" t="s">
        <v>44</v>
      </c>
      <c r="I523" s="4">
        <v>21963</v>
      </c>
    </row>
    <row r="524" spans="1:9" x14ac:dyDescent="0.25">
      <c r="A524" s="2" t="s">
        <v>22</v>
      </c>
      <c r="B524" s="2">
        <v>5200</v>
      </c>
      <c r="C524" s="2">
        <v>5</v>
      </c>
      <c r="D524" s="2" t="s">
        <v>36</v>
      </c>
      <c r="E524" s="3">
        <v>44446</v>
      </c>
      <c r="F524" s="2" t="s">
        <v>155</v>
      </c>
      <c r="G524" s="2" t="s">
        <v>573</v>
      </c>
      <c r="H524" s="2" t="s">
        <v>44</v>
      </c>
      <c r="I524" s="4">
        <v>34059</v>
      </c>
    </row>
    <row r="525" spans="1:9" x14ac:dyDescent="0.25">
      <c r="A525" s="2" t="s">
        <v>5</v>
      </c>
      <c r="B525" s="2">
        <v>1750</v>
      </c>
      <c r="C525" s="2">
        <v>3</v>
      </c>
      <c r="D525" s="2" t="s">
        <v>40</v>
      </c>
      <c r="E525" s="3">
        <v>44552</v>
      </c>
      <c r="F525" s="2" t="s">
        <v>137</v>
      </c>
      <c r="G525" s="2" t="s">
        <v>287</v>
      </c>
      <c r="H525" s="2" t="s">
        <v>49</v>
      </c>
      <c r="I525" s="4">
        <v>24974</v>
      </c>
    </row>
    <row r="526" spans="1:9" x14ac:dyDescent="0.25">
      <c r="A526" s="2" t="s">
        <v>15</v>
      </c>
      <c r="B526" s="2">
        <v>1900</v>
      </c>
      <c r="C526" s="2">
        <v>3</v>
      </c>
      <c r="D526" s="2" t="s">
        <v>38</v>
      </c>
      <c r="E526" s="3">
        <v>44360</v>
      </c>
      <c r="F526" s="2" t="s">
        <v>312</v>
      </c>
      <c r="G526" s="2" t="s">
        <v>411</v>
      </c>
      <c r="H526" s="2" t="s">
        <v>49</v>
      </c>
      <c r="I526" s="4">
        <v>26225</v>
      </c>
    </row>
    <row r="527" spans="1:9" x14ac:dyDescent="0.25">
      <c r="A527" s="2" t="s">
        <v>11</v>
      </c>
      <c r="B527" s="2">
        <v>4500</v>
      </c>
      <c r="C527" s="2">
        <v>2</v>
      </c>
      <c r="D527" s="2" t="s">
        <v>32</v>
      </c>
      <c r="E527" s="3">
        <v>44474</v>
      </c>
      <c r="F527" s="2" t="s">
        <v>258</v>
      </c>
      <c r="G527" s="2" t="s">
        <v>164</v>
      </c>
      <c r="H527" s="2" t="s">
        <v>49</v>
      </c>
      <c r="I527" s="4">
        <v>21676</v>
      </c>
    </row>
    <row r="528" spans="1:9" x14ac:dyDescent="0.25">
      <c r="A528" s="2" t="s">
        <v>9</v>
      </c>
      <c r="B528" s="2">
        <v>1500</v>
      </c>
      <c r="C528" s="2">
        <v>2</v>
      </c>
      <c r="D528" s="2" t="s">
        <v>34</v>
      </c>
      <c r="E528" s="3">
        <v>44560</v>
      </c>
      <c r="F528" s="2" t="s">
        <v>98</v>
      </c>
      <c r="G528" s="2" t="s">
        <v>99</v>
      </c>
      <c r="H528" s="2" t="s">
        <v>44</v>
      </c>
      <c r="I528" s="4">
        <v>34279</v>
      </c>
    </row>
    <row r="529" spans="1:9" x14ac:dyDescent="0.25">
      <c r="A529" s="2" t="s">
        <v>25</v>
      </c>
      <c r="B529" s="2">
        <v>2500</v>
      </c>
      <c r="C529" s="2">
        <v>3</v>
      </c>
      <c r="D529" s="2" t="s">
        <v>35</v>
      </c>
      <c r="E529" s="3">
        <v>44345</v>
      </c>
      <c r="F529" s="2" t="s">
        <v>134</v>
      </c>
      <c r="G529" s="2" t="s">
        <v>63</v>
      </c>
      <c r="H529" s="2" t="s">
        <v>49</v>
      </c>
      <c r="I529" s="4">
        <v>31125</v>
      </c>
    </row>
    <row r="530" spans="1:9" x14ac:dyDescent="0.25">
      <c r="A530" s="2" t="s">
        <v>24</v>
      </c>
      <c r="B530" s="2">
        <v>2000</v>
      </c>
      <c r="C530" s="2">
        <v>3</v>
      </c>
      <c r="D530" s="2" t="s">
        <v>38</v>
      </c>
      <c r="E530" s="3">
        <v>44492</v>
      </c>
      <c r="F530" s="2" t="s">
        <v>87</v>
      </c>
      <c r="G530" s="2" t="s">
        <v>586</v>
      </c>
      <c r="H530" s="2" t="s">
        <v>44</v>
      </c>
      <c r="I530" s="4">
        <v>34625</v>
      </c>
    </row>
    <row r="531" spans="1:9" x14ac:dyDescent="0.25">
      <c r="A531" s="2" t="s">
        <v>21</v>
      </c>
      <c r="B531" s="2">
        <v>2400</v>
      </c>
      <c r="C531" s="2">
        <v>2</v>
      </c>
      <c r="D531" s="2" t="s">
        <v>34</v>
      </c>
      <c r="E531" s="3">
        <v>44536</v>
      </c>
      <c r="F531" s="2" t="s">
        <v>528</v>
      </c>
      <c r="G531" s="2" t="s">
        <v>345</v>
      </c>
      <c r="H531" s="2" t="s">
        <v>44</v>
      </c>
      <c r="I531" s="4">
        <v>31102</v>
      </c>
    </row>
    <row r="532" spans="1:9" x14ac:dyDescent="0.25">
      <c r="A532" s="2" t="s">
        <v>23</v>
      </c>
      <c r="B532" s="2">
        <v>1500</v>
      </c>
      <c r="C532" s="2">
        <v>3</v>
      </c>
      <c r="D532" s="2" t="s">
        <v>33</v>
      </c>
      <c r="E532" s="3">
        <v>44346</v>
      </c>
      <c r="F532" s="2" t="s">
        <v>439</v>
      </c>
      <c r="G532" s="2" t="s">
        <v>139</v>
      </c>
      <c r="H532" s="2" t="s">
        <v>44</v>
      </c>
      <c r="I532" s="4">
        <v>33502</v>
      </c>
    </row>
    <row r="533" spans="1:9" x14ac:dyDescent="0.25">
      <c r="A533" s="2" t="s">
        <v>17</v>
      </c>
      <c r="B533" s="2">
        <v>1550</v>
      </c>
      <c r="C533" s="2">
        <v>5</v>
      </c>
      <c r="D533" s="2" t="s">
        <v>29</v>
      </c>
      <c r="E533" s="3">
        <v>44370</v>
      </c>
      <c r="F533" s="2" t="s">
        <v>187</v>
      </c>
      <c r="G533" s="2" t="s">
        <v>188</v>
      </c>
      <c r="H533" s="2" t="s">
        <v>49</v>
      </c>
      <c r="I533" s="4">
        <v>20543</v>
      </c>
    </row>
    <row r="534" spans="1:9" x14ac:dyDescent="0.25">
      <c r="A534" s="2" t="s">
        <v>17</v>
      </c>
      <c r="B534" s="2">
        <v>1550</v>
      </c>
      <c r="C534" s="2">
        <v>3</v>
      </c>
      <c r="D534" s="2" t="s">
        <v>34</v>
      </c>
      <c r="E534" s="3">
        <v>44554</v>
      </c>
      <c r="F534" s="2" t="s">
        <v>98</v>
      </c>
      <c r="G534" s="2" t="s">
        <v>213</v>
      </c>
      <c r="H534" s="2" t="s">
        <v>44</v>
      </c>
      <c r="I534" s="4">
        <v>23276</v>
      </c>
    </row>
    <row r="535" spans="1:9" x14ac:dyDescent="0.25">
      <c r="A535" s="2" t="s">
        <v>26</v>
      </c>
      <c r="B535" s="2">
        <v>1100</v>
      </c>
      <c r="C535" s="2">
        <v>3</v>
      </c>
      <c r="D535" s="2" t="s">
        <v>32</v>
      </c>
      <c r="E535" s="3">
        <v>44474</v>
      </c>
      <c r="F535" s="2" t="s">
        <v>377</v>
      </c>
      <c r="G535" s="2" t="s">
        <v>308</v>
      </c>
      <c r="H535" s="2" t="s">
        <v>49</v>
      </c>
      <c r="I535" s="4">
        <v>21465</v>
      </c>
    </row>
    <row r="536" spans="1:9" x14ac:dyDescent="0.25">
      <c r="A536" s="2" t="s">
        <v>27</v>
      </c>
      <c r="B536" s="2">
        <v>1500</v>
      </c>
      <c r="C536" s="2">
        <v>3</v>
      </c>
      <c r="D536" s="2" t="s">
        <v>29</v>
      </c>
      <c r="E536" s="3">
        <v>44410</v>
      </c>
      <c r="F536" s="2" t="s">
        <v>155</v>
      </c>
      <c r="G536" s="2" t="s">
        <v>230</v>
      </c>
      <c r="H536" s="2" t="s">
        <v>44</v>
      </c>
      <c r="I536" s="4">
        <v>22868</v>
      </c>
    </row>
    <row r="537" spans="1:9" x14ac:dyDescent="0.25">
      <c r="A537" s="2" t="s">
        <v>10</v>
      </c>
      <c r="B537" s="2">
        <v>1450</v>
      </c>
      <c r="C537" s="2">
        <v>2</v>
      </c>
      <c r="D537" s="2" t="s">
        <v>34</v>
      </c>
      <c r="E537" s="3">
        <v>44374</v>
      </c>
      <c r="F537" s="2" t="s">
        <v>170</v>
      </c>
      <c r="G537" s="2" t="s">
        <v>325</v>
      </c>
      <c r="H537" s="2" t="s">
        <v>44</v>
      </c>
      <c r="I537" s="4">
        <v>31764</v>
      </c>
    </row>
    <row r="538" spans="1:9" x14ac:dyDescent="0.25">
      <c r="A538" s="2" t="s">
        <v>9</v>
      </c>
      <c r="B538" s="2">
        <v>1500</v>
      </c>
      <c r="C538" s="2">
        <v>3</v>
      </c>
      <c r="D538" s="2" t="s">
        <v>39</v>
      </c>
      <c r="E538" s="3">
        <v>44318</v>
      </c>
      <c r="F538" s="2" t="s">
        <v>78</v>
      </c>
      <c r="G538" s="2" t="s">
        <v>123</v>
      </c>
      <c r="H538" s="2" t="s">
        <v>49</v>
      </c>
      <c r="I538" s="4">
        <v>32670</v>
      </c>
    </row>
    <row r="539" spans="1:9" x14ac:dyDescent="0.25">
      <c r="A539" s="2" t="s">
        <v>8</v>
      </c>
      <c r="B539" s="2">
        <v>5500</v>
      </c>
      <c r="C539" s="2">
        <v>4</v>
      </c>
      <c r="D539" s="2" t="s">
        <v>39</v>
      </c>
      <c r="E539" s="3">
        <v>44431</v>
      </c>
      <c r="F539" s="2" t="s">
        <v>354</v>
      </c>
      <c r="G539" s="2" t="s">
        <v>310</v>
      </c>
      <c r="H539" s="2" t="s">
        <v>49</v>
      </c>
      <c r="I539" s="4">
        <v>30770</v>
      </c>
    </row>
    <row r="540" spans="1:9" x14ac:dyDescent="0.25">
      <c r="A540" s="2" t="s">
        <v>26</v>
      </c>
      <c r="B540" s="2">
        <v>1100</v>
      </c>
      <c r="C540" s="2">
        <v>3</v>
      </c>
      <c r="D540" s="2" t="s">
        <v>30</v>
      </c>
      <c r="E540" s="3">
        <v>44254</v>
      </c>
      <c r="F540" s="2" t="s">
        <v>42</v>
      </c>
      <c r="G540" s="2" t="s">
        <v>67</v>
      </c>
      <c r="H540" s="2" t="s">
        <v>44</v>
      </c>
      <c r="I540" s="4">
        <v>21857</v>
      </c>
    </row>
    <row r="541" spans="1:9" x14ac:dyDescent="0.25">
      <c r="A541" s="2" t="s">
        <v>13</v>
      </c>
      <c r="B541" s="2">
        <v>2300</v>
      </c>
      <c r="C541" s="2">
        <v>5</v>
      </c>
      <c r="D541" s="2" t="s">
        <v>34</v>
      </c>
      <c r="E541" s="3">
        <v>44405</v>
      </c>
      <c r="F541" s="2" t="s">
        <v>439</v>
      </c>
      <c r="G541" s="2" t="s">
        <v>89</v>
      </c>
      <c r="H541" s="2" t="s">
        <v>44</v>
      </c>
      <c r="I541" s="4">
        <v>20248</v>
      </c>
    </row>
    <row r="542" spans="1:9" x14ac:dyDescent="0.25">
      <c r="A542" s="2" t="s">
        <v>6</v>
      </c>
      <c r="B542" s="2">
        <v>1200</v>
      </c>
      <c r="C542" s="2">
        <v>5</v>
      </c>
      <c r="D542" s="2" t="s">
        <v>41</v>
      </c>
      <c r="E542" s="3">
        <v>44301</v>
      </c>
      <c r="F542" s="2" t="s">
        <v>264</v>
      </c>
      <c r="G542" s="2" t="s">
        <v>143</v>
      </c>
      <c r="H542" s="2" t="s">
        <v>49</v>
      </c>
      <c r="I542" s="4">
        <v>34753</v>
      </c>
    </row>
    <row r="543" spans="1:9" x14ac:dyDescent="0.25">
      <c r="A543" s="2" t="s">
        <v>20</v>
      </c>
      <c r="B543" s="2">
        <v>2600</v>
      </c>
      <c r="C543" s="2">
        <v>4</v>
      </c>
      <c r="D543" s="2" t="s">
        <v>40</v>
      </c>
      <c r="E543" s="3">
        <v>44274</v>
      </c>
      <c r="F543" s="2" t="s">
        <v>52</v>
      </c>
      <c r="G543" s="2" t="s">
        <v>198</v>
      </c>
      <c r="H543" s="2" t="s">
        <v>44</v>
      </c>
      <c r="I543" s="4">
        <v>24126</v>
      </c>
    </row>
    <row r="544" spans="1:9" x14ac:dyDescent="0.25">
      <c r="A544" s="2" t="s">
        <v>11</v>
      </c>
      <c r="B544" s="2">
        <v>4500</v>
      </c>
      <c r="C544" s="2">
        <v>2</v>
      </c>
      <c r="D544" s="2" t="s">
        <v>29</v>
      </c>
      <c r="E544" s="3">
        <v>44261</v>
      </c>
      <c r="F544" s="2" t="s">
        <v>225</v>
      </c>
      <c r="G544" s="2" t="s">
        <v>226</v>
      </c>
      <c r="H544" s="2" t="s">
        <v>44</v>
      </c>
      <c r="I544" s="4">
        <v>36143</v>
      </c>
    </row>
    <row r="545" spans="1:9" x14ac:dyDescent="0.25">
      <c r="A545" s="2" t="s">
        <v>16</v>
      </c>
      <c r="B545" s="2">
        <v>1400</v>
      </c>
      <c r="C545" s="2">
        <v>5</v>
      </c>
      <c r="D545" s="2" t="s">
        <v>31</v>
      </c>
      <c r="E545" s="3">
        <v>44485</v>
      </c>
      <c r="F545" s="2" t="s">
        <v>173</v>
      </c>
      <c r="G545" s="2" t="s">
        <v>99</v>
      </c>
      <c r="H545" s="2" t="s">
        <v>44</v>
      </c>
      <c r="I545" s="4">
        <v>19280</v>
      </c>
    </row>
    <row r="546" spans="1:9" x14ac:dyDescent="0.25">
      <c r="A546" s="2" t="s">
        <v>14</v>
      </c>
      <c r="B546" s="2">
        <v>2000</v>
      </c>
      <c r="C546" s="2">
        <v>5</v>
      </c>
      <c r="D546" s="2" t="s">
        <v>35</v>
      </c>
      <c r="E546" s="3">
        <v>44224</v>
      </c>
      <c r="F546" s="2" t="s">
        <v>250</v>
      </c>
      <c r="G546" s="2" t="s">
        <v>251</v>
      </c>
      <c r="H546" s="2" t="s">
        <v>44</v>
      </c>
      <c r="I546" s="4">
        <v>24008</v>
      </c>
    </row>
    <row r="547" spans="1:9" x14ac:dyDescent="0.25">
      <c r="A547" s="2" t="s">
        <v>8</v>
      </c>
      <c r="B547" s="2">
        <v>5500</v>
      </c>
      <c r="C547" s="2">
        <v>3</v>
      </c>
      <c r="D547" s="2" t="s">
        <v>29</v>
      </c>
      <c r="E547" s="3">
        <v>44441</v>
      </c>
      <c r="F547" s="2" t="s">
        <v>165</v>
      </c>
      <c r="G547" s="2" t="s">
        <v>205</v>
      </c>
      <c r="H547" s="2" t="s">
        <v>49</v>
      </c>
      <c r="I547" s="4">
        <v>32463</v>
      </c>
    </row>
    <row r="548" spans="1:9" x14ac:dyDescent="0.25">
      <c r="A548" s="2" t="s">
        <v>17</v>
      </c>
      <c r="B548" s="2">
        <v>1550</v>
      </c>
      <c r="C548" s="2">
        <v>3</v>
      </c>
      <c r="D548" s="2" t="s">
        <v>33</v>
      </c>
      <c r="E548" s="3">
        <v>44272</v>
      </c>
      <c r="F548" s="2" t="s">
        <v>76</v>
      </c>
      <c r="G548" s="2" t="s">
        <v>201</v>
      </c>
      <c r="H548" s="2" t="s">
        <v>49</v>
      </c>
      <c r="I548" s="4">
        <v>24594</v>
      </c>
    </row>
    <row r="549" spans="1:9" x14ac:dyDescent="0.25">
      <c r="A549" s="2" t="s">
        <v>13</v>
      </c>
      <c r="B549" s="2">
        <v>2300</v>
      </c>
      <c r="C549" s="2">
        <v>5</v>
      </c>
      <c r="D549" s="2" t="s">
        <v>40</v>
      </c>
      <c r="E549" s="3">
        <v>44520</v>
      </c>
      <c r="F549" s="2" t="s">
        <v>137</v>
      </c>
      <c r="G549" s="2" t="s">
        <v>287</v>
      </c>
      <c r="H549" s="2" t="s">
        <v>49</v>
      </c>
      <c r="I549" s="4">
        <v>24974</v>
      </c>
    </row>
    <row r="550" spans="1:9" x14ac:dyDescent="0.25">
      <c r="A550" s="2" t="s">
        <v>15</v>
      </c>
      <c r="B550" s="2">
        <v>1900</v>
      </c>
      <c r="C550" s="2">
        <v>5</v>
      </c>
      <c r="D550" s="2" t="s">
        <v>32</v>
      </c>
      <c r="E550" s="3">
        <v>44495</v>
      </c>
      <c r="F550" s="2" t="s">
        <v>70</v>
      </c>
      <c r="G550" s="2" t="s">
        <v>319</v>
      </c>
      <c r="H550" s="2" t="s">
        <v>44</v>
      </c>
      <c r="I550" s="4">
        <v>32945</v>
      </c>
    </row>
    <row r="551" spans="1:9" x14ac:dyDescent="0.25">
      <c r="A551" s="2" t="s">
        <v>28</v>
      </c>
      <c r="B551" s="2">
        <v>1400</v>
      </c>
      <c r="C551" s="2">
        <v>1</v>
      </c>
      <c r="D551" s="2" t="s">
        <v>33</v>
      </c>
      <c r="E551" s="3">
        <v>44411</v>
      </c>
      <c r="F551" s="2" t="s">
        <v>74</v>
      </c>
      <c r="G551" s="2" t="s">
        <v>313</v>
      </c>
      <c r="H551" s="2" t="s">
        <v>44</v>
      </c>
      <c r="I551" s="4">
        <v>20805</v>
      </c>
    </row>
    <row r="552" spans="1:9" x14ac:dyDescent="0.25">
      <c r="A552" s="2" t="s">
        <v>21</v>
      </c>
      <c r="B552" s="2">
        <v>2400</v>
      </c>
      <c r="C552" s="2">
        <v>1</v>
      </c>
      <c r="D552" s="2" t="s">
        <v>31</v>
      </c>
      <c r="E552" s="3">
        <v>44324</v>
      </c>
      <c r="F552" s="2" t="s">
        <v>401</v>
      </c>
      <c r="G552" s="2" t="s">
        <v>443</v>
      </c>
      <c r="H552" s="2" t="s">
        <v>49</v>
      </c>
      <c r="I552" s="4">
        <v>36167</v>
      </c>
    </row>
    <row r="553" spans="1:9" x14ac:dyDescent="0.25">
      <c r="A553" s="2" t="s">
        <v>19</v>
      </c>
      <c r="B553" s="2">
        <v>700</v>
      </c>
      <c r="C553" s="2">
        <v>1</v>
      </c>
      <c r="D553" s="2" t="s">
        <v>30</v>
      </c>
      <c r="E553" s="3">
        <v>44533</v>
      </c>
      <c r="F553" s="2" t="s">
        <v>556</v>
      </c>
      <c r="G553" s="2" t="s">
        <v>557</v>
      </c>
      <c r="H553" s="2" t="s">
        <v>44</v>
      </c>
      <c r="I553" s="4">
        <v>32595</v>
      </c>
    </row>
    <row r="554" spans="1:9" x14ac:dyDescent="0.25">
      <c r="A554" s="2" t="s">
        <v>12</v>
      </c>
      <c r="B554" s="2">
        <v>6500</v>
      </c>
      <c r="C554" s="2">
        <v>3</v>
      </c>
      <c r="D554" s="2" t="s">
        <v>34</v>
      </c>
      <c r="E554" s="3">
        <v>44336</v>
      </c>
      <c r="F554" s="2" t="s">
        <v>288</v>
      </c>
      <c r="G554" s="2" t="s">
        <v>157</v>
      </c>
      <c r="H554" s="2" t="s">
        <v>49</v>
      </c>
      <c r="I554" s="4">
        <v>28689</v>
      </c>
    </row>
    <row r="555" spans="1:9" x14ac:dyDescent="0.25">
      <c r="A555" s="2" t="s">
        <v>24</v>
      </c>
      <c r="B555" s="2">
        <v>2000</v>
      </c>
      <c r="C555" s="2">
        <v>1</v>
      </c>
      <c r="D555" s="2" t="s">
        <v>32</v>
      </c>
      <c r="E555" s="3">
        <v>44395</v>
      </c>
      <c r="F555" s="2" t="s">
        <v>258</v>
      </c>
      <c r="G555" s="2" t="s">
        <v>164</v>
      </c>
      <c r="H555" s="2" t="s">
        <v>49</v>
      </c>
      <c r="I555" s="4">
        <v>21676</v>
      </c>
    </row>
    <row r="556" spans="1:9" x14ac:dyDescent="0.25">
      <c r="A556" s="2" t="s">
        <v>9</v>
      </c>
      <c r="B556" s="2">
        <v>1500</v>
      </c>
      <c r="C556" s="2">
        <v>5</v>
      </c>
      <c r="D556" s="2" t="s">
        <v>38</v>
      </c>
      <c r="E556" s="3">
        <v>44304</v>
      </c>
      <c r="F556" s="2" t="s">
        <v>221</v>
      </c>
      <c r="G556" s="2" t="s">
        <v>294</v>
      </c>
      <c r="H556" s="2" t="s">
        <v>44</v>
      </c>
      <c r="I556" s="4">
        <v>28733</v>
      </c>
    </row>
    <row r="557" spans="1:9" x14ac:dyDescent="0.25">
      <c r="A557" s="2" t="s">
        <v>7</v>
      </c>
      <c r="B557" s="2">
        <v>750</v>
      </c>
      <c r="C557" s="2">
        <v>3</v>
      </c>
      <c r="D557" s="2" t="s">
        <v>41</v>
      </c>
      <c r="E557" s="3">
        <v>44237</v>
      </c>
      <c r="F557" s="2" t="s">
        <v>264</v>
      </c>
      <c r="G557" s="2" t="s">
        <v>435</v>
      </c>
      <c r="H557" s="2" t="s">
        <v>49</v>
      </c>
      <c r="I557" s="4">
        <v>19820</v>
      </c>
    </row>
    <row r="558" spans="1:9" x14ac:dyDescent="0.25">
      <c r="A558" s="2" t="s">
        <v>23</v>
      </c>
      <c r="B558" s="2">
        <v>1500</v>
      </c>
      <c r="C558" s="2">
        <v>3</v>
      </c>
      <c r="D558" s="2" t="s">
        <v>33</v>
      </c>
      <c r="E558" s="3">
        <v>44376</v>
      </c>
      <c r="F558" s="2" t="s">
        <v>74</v>
      </c>
      <c r="G558" s="2" t="s">
        <v>313</v>
      </c>
      <c r="H558" s="2" t="s">
        <v>44</v>
      </c>
      <c r="I558" s="4">
        <v>20805</v>
      </c>
    </row>
    <row r="559" spans="1:9" x14ac:dyDescent="0.25">
      <c r="A559" s="2" t="s">
        <v>14</v>
      </c>
      <c r="B559" s="2">
        <v>2000</v>
      </c>
      <c r="C559" s="2">
        <v>1</v>
      </c>
      <c r="D559" s="2" t="s">
        <v>41</v>
      </c>
      <c r="E559" s="3">
        <v>44502</v>
      </c>
      <c r="F559" s="2" t="s">
        <v>76</v>
      </c>
      <c r="G559" s="2" t="s">
        <v>628</v>
      </c>
      <c r="H559" s="2" t="s">
        <v>49</v>
      </c>
      <c r="I559" s="4">
        <v>24450</v>
      </c>
    </row>
    <row r="560" spans="1:9" x14ac:dyDescent="0.25">
      <c r="A560" s="2" t="s">
        <v>23</v>
      </c>
      <c r="B560" s="2">
        <v>1500</v>
      </c>
      <c r="C560" s="2">
        <v>1</v>
      </c>
      <c r="D560" s="2" t="s">
        <v>40</v>
      </c>
      <c r="E560" s="3">
        <v>44423</v>
      </c>
      <c r="F560" s="2" t="s">
        <v>457</v>
      </c>
      <c r="G560" s="2" t="s">
        <v>458</v>
      </c>
      <c r="H560" s="2" t="s">
        <v>49</v>
      </c>
      <c r="I560" s="4">
        <v>30745</v>
      </c>
    </row>
    <row r="561" spans="1:9" x14ac:dyDescent="0.25">
      <c r="A561" s="2" t="s">
        <v>24</v>
      </c>
      <c r="B561" s="2">
        <v>2000</v>
      </c>
      <c r="C561" s="2">
        <v>1</v>
      </c>
      <c r="D561" s="2" t="s">
        <v>37</v>
      </c>
      <c r="E561" s="3">
        <v>44527</v>
      </c>
      <c r="F561" s="2" t="s">
        <v>120</v>
      </c>
      <c r="G561" s="2" t="s">
        <v>83</v>
      </c>
      <c r="H561" s="2" t="s">
        <v>44</v>
      </c>
      <c r="I561" s="4">
        <v>29779</v>
      </c>
    </row>
    <row r="562" spans="1:9" x14ac:dyDescent="0.25">
      <c r="A562" s="2" t="s">
        <v>19</v>
      </c>
      <c r="B562" s="2">
        <v>700</v>
      </c>
      <c r="C562" s="2">
        <v>5</v>
      </c>
      <c r="D562" s="2" t="s">
        <v>29</v>
      </c>
      <c r="E562" s="3">
        <v>44231</v>
      </c>
      <c r="F562" s="2" t="s">
        <v>479</v>
      </c>
      <c r="G562" s="2" t="s">
        <v>75</v>
      </c>
      <c r="H562" s="2" t="s">
        <v>49</v>
      </c>
      <c r="I562" s="4">
        <v>26199</v>
      </c>
    </row>
    <row r="563" spans="1:9" x14ac:dyDescent="0.25">
      <c r="A563" s="2" t="s">
        <v>5</v>
      </c>
      <c r="B563" s="2">
        <v>1750</v>
      </c>
      <c r="C563" s="2">
        <v>5</v>
      </c>
      <c r="D563" s="2" t="s">
        <v>39</v>
      </c>
      <c r="E563" s="3">
        <v>44455</v>
      </c>
      <c r="F563" s="2" t="s">
        <v>155</v>
      </c>
      <c r="G563" s="2" t="s">
        <v>220</v>
      </c>
      <c r="H563" s="2" t="s">
        <v>44</v>
      </c>
      <c r="I563" s="4">
        <v>23658</v>
      </c>
    </row>
    <row r="564" spans="1:9" x14ac:dyDescent="0.25">
      <c r="A564" s="2" t="s">
        <v>14</v>
      </c>
      <c r="B564" s="2">
        <v>2000</v>
      </c>
      <c r="C564" s="2">
        <v>1</v>
      </c>
      <c r="D564" s="2" t="s">
        <v>41</v>
      </c>
      <c r="E564" s="3">
        <v>44503</v>
      </c>
      <c r="F564" s="2" t="s">
        <v>521</v>
      </c>
      <c r="G564" s="2" t="s">
        <v>231</v>
      </c>
      <c r="H564" s="2" t="s">
        <v>49</v>
      </c>
      <c r="I564" s="4">
        <v>30181</v>
      </c>
    </row>
    <row r="565" spans="1:9" x14ac:dyDescent="0.25">
      <c r="A565" s="2" t="s">
        <v>24</v>
      </c>
      <c r="B565" s="2">
        <v>2000</v>
      </c>
      <c r="C565" s="2">
        <v>4</v>
      </c>
      <c r="D565" s="2" t="s">
        <v>36</v>
      </c>
      <c r="E565" s="3">
        <v>44362</v>
      </c>
      <c r="F565" s="2" t="s">
        <v>74</v>
      </c>
      <c r="G565" s="2" t="s">
        <v>169</v>
      </c>
      <c r="H565" s="2" t="s">
        <v>44</v>
      </c>
      <c r="I565" s="4">
        <v>34026</v>
      </c>
    </row>
    <row r="566" spans="1:9" x14ac:dyDescent="0.25">
      <c r="A566" s="2" t="s">
        <v>28</v>
      </c>
      <c r="B566" s="2">
        <v>1400</v>
      </c>
      <c r="C566" s="2">
        <v>3</v>
      </c>
      <c r="D566" s="2" t="s">
        <v>36</v>
      </c>
      <c r="E566" s="3">
        <v>44506</v>
      </c>
      <c r="F566" s="2" t="s">
        <v>175</v>
      </c>
      <c r="G566" s="2" t="s">
        <v>176</v>
      </c>
      <c r="H566" s="2" t="s">
        <v>49</v>
      </c>
      <c r="I566" s="4">
        <v>28801</v>
      </c>
    </row>
    <row r="567" spans="1:9" x14ac:dyDescent="0.25">
      <c r="A567" s="2" t="s">
        <v>13</v>
      </c>
      <c r="B567" s="2">
        <v>2300</v>
      </c>
      <c r="C567" s="2">
        <v>1</v>
      </c>
      <c r="D567" s="2" t="s">
        <v>32</v>
      </c>
      <c r="E567" s="3">
        <v>44378</v>
      </c>
      <c r="F567" s="2" t="s">
        <v>137</v>
      </c>
      <c r="G567" s="2" t="s">
        <v>174</v>
      </c>
      <c r="H567" s="2" t="s">
        <v>49</v>
      </c>
      <c r="I567" s="4">
        <v>22798</v>
      </c>
    </row>
    <row r="568" spans="1:9" x14ac:dyDescent="0.25">
      <c r="A568" s="2" t="s">
        <v>15</v>
      </c>
      <c r="B568" s="2">
        <v>1900</v>
      </c>
      <c r="C568" s="2">
        <v>5</v>
      </c>
      <c r="D568" s="2" t="s">
        <v>33</v>
      </c>
      <c r="E568" s="3">
        <v>44395</v>
      </c>
      <c r="F568" s="2" t="s">
        <v>109</v>
      </c>
      <c r="G568" s="2" t="s">
        <v>182</v>
      </c>
      <c r="H568" s="2" t="s">
        <v>44</v>
      </c>
      <c r="I568" s="4">
        <v>30803</v>
      </c>
    </row>
    <row r="569" spans="1:9" x14ac:dyDescent="0.25">
      <c r="A569" s="2" t="s">
        <v>5</v>
      </c>
      <c r="B569" s="2">
        <v>1750</v>
      </c>
      <c r="C569" s="2">
        <v>5</v>
      </c>
      <c r="D569" s="2" t="s">
        <v>35</v>
      </c>
      <c r="E569" s="3">
        <v>44382</v>
      </c>
      <c r="F569" s="2" t="s">
        <v>109</v>
      </c>
      <c r="G569" s="2" t="s">
        <v>488</v>
      </c>
      <c r="H569" s="2" t="s">
        <v>44</v>
      </c>
      <c r="I569" s="4">
        <v>36710</v>
      </c>
    </row>
    <row r="570" spans="1:9" x14ac:dyDescent="0.25">
      <c r="A570" s="2" t="s">
        <v>13</v>
      </c>
      <c r="B570" s="2">
        <v>2300</v>
      </c>
      <c r="C570" s="2">
        <v>1</v>
      </c>
      <c r="D570" s="2" t="s">
        <v>40</v>
      </c>
      <c r="E570" s="3">
        <v>44286</v>
      </c>
      <c r="F570" s="2" t="s">
        <v>190</v>
      </c>
      <c r="G570" s="2" t="s">
        <v>238</v>
      </c>
      <c r="H570" s="2" t="s">
        <v>44</v>
      </c>
      <c r="I570" s="4">
        <v>25439</v>
      </c>
    </row>
    <row r="571" spans="1:9" x14ac:dyDescent="0.25">
      <c r="A571" s="2" t="s">
        <v>17</v>
      </c>
      <c r="B571" s="2">
        <v>1550</v>
      </c>
      <c r="C571" s="2">
        <v>4</v>
      </c>
      <c r="D571" s="2" t="s">
        <v>30</v>
      </c>
      <c r="E571" s="3">
        <v>44510</v>
      </c>
      <c r="F571" s="2" t="s">
        <v>94</v>
      </c>
      <c r="G571" s="2" t="s">
        <v>407</v>
      </c>
      <c r="H571" s="2" t="s">
        <v>49</v>
      </c>
      <c r="I571" s="4">
        <v>30610</v>
      </c>
    </row>
    <row r="572" spans="1:9" x14ac:dyDescent="0.25">
      <c r="A572" s="2" t="s">
        <v>7</v>
      </c>
      <c r="B572" s="2">
        <v>750</v>
      </c>
      <c r="C572" s="2">
        <v>3</v>
      </c>
      <c r="D572" s="2" t="s">
        <v>36</v>
      </c>
      <c r="E572" s="3">
        <v>44464</v>
      </c>
      <c r="F572" s="2" t="s">
        <v>148</v>
      </c>
      <c r="G572" s="2" t="s">
        <v>322</v>
      </c>
      <c r="H572" s="2" t="s">
        <v>49</v>
      </c>
      <c r="I572" s="4">
        <v>18988</v>
      </c>
    </row>
    <row r="573" spans="1:9" x14ac:dyDescent="0.25">
      <c r="A573" s="2" t="s">
        <v>18</v>
      </c>
      <c r="B573" s="2">
        <v>3000</v>
      </c>
      <c r="C573" s="2">
        <v>1</v>
      </c>
      <c r="D573" s="2" t="s">
        <v>40</v>
      </c>
      <c r="E573" s="3">
        <v>44311</v>
      </c>
      <c r="F573" s="2" t="s">
        <v>551</v>
      </c>
      <c r="G573" s="2" t="s">
        <v>526</v>
      </c>
      <c r="H573" s="2" t="s">
        <v>44</v>
      </c>
      <c r="I573" s="4">
        <v>34549</v>
      </c>
    </row>
    <row r="574" spans="1:9" x14ac:dyDescent="0.25">
      <c r="A574" s="2" t="s">
        <v>25</v>
      </c>
      <c r="B574" s="2">
        <v>2500</v>
      </c>
      <c r="C574" s="2">
        <v>5</v>
      </c>
      <c r="D574" s="2" t="s">
        <v>30</v>
      </c>
      <c r="E574" s="3">
        <v>44377</v>
      </c>
      <c r="F574" s="2" t="s">
        <v>350</v>
      </c>
      <c r="G574" s="2" t="s">
        <v>83</v>
      </c>
      <c r="H574" s="2" t="s">
        <v>44</v>
      </c>
      <c r="I574" s="4">
        <v>21130</v>
      </c>
    </row>
    <row r="575" spans="1:9" x14ac:dyDescent="0.25">
      <c r="A575" s="2" t="s">
        <v>17</v>
      </c>
      <c r="B575" s="2">
        <v>1550</v>
      </c>
      <c r="C575" s="2">
        <v>2</v>
      </c>
      <c r="D575" s="2" t="s">
        <v>41</v>
      </c>
      <c r="E575" s="3">
        <v>44230</v>
      </c>
      <c r="F575" s="2" t="s">
        <v>153</v>
      </c>
      <c r="G575" s="2" t="s">
        <v>198</v>
      </c>
      <c r="H575" s="2" t="s">
        <v>44</v>
      </c>
      <c r="I575" s="4">
        <v>31155</v>
      </c>
    </row>
    <row r="576" spans="1:9" x14ac:dyDescent="0.25">
      <c r="A576" s="2" t="s">
        <v>14</v>
      </c>
      <c r="B576" s="2">
        <v>2000</v>
      </c>
      <c r="C576" s="2">
        <v>4</v>
      </c>
      <c r="D576" s="2" t="s">
        <v>36</v>
      </c>
      <c r="E576" s="3">
        <v>44509</v>
      </c>
      <c r="F576" s="2" t="s">
        <v>148</v>
      </c>
      <c r="G576" s="2" t="s">
        <v>322</v>
      </c>
      <c r="H576" s="2" t="s">
        <v>49</v>
      </c>
      <c r="I576" s="4">
        <v>18988</v>
      </c>
    </row>
    <row r="577" spans="1:9" x14ac:dyDescent="0.25">
      <c r="A577" s="2" t="s">
        <v>15</v>
      </c>
      <c r="B577" s="2">
        <v>1900</v>
      </c>
      <c r="C577" s="2">
        <v>1</v>
      </c>
      <c r="D577" s="2" t="s">
        <v>36</v>
      </c>
      <c r="E577" s="3">
        <v>44484</v>
      </c>
      <c r="F577" s="2" t="s">
        <v>514</v>
      </c>
      <c r="G577" s="2" t="s">
        <v>100</v>
      </c>
      <c r="H577" s="2" t="s">
        <v>44</v>
      </c>
      <c r="I577" s="4">
        <v>20777</v>
      </c>
    </row>
    <row r="578" spans="1:9" x14ac:dyDescent="0.25">
      <c r="A578" s="2" t="s">
        <v>25</v>
      </c>
      <c r="B578" s="2">
        <v>2500</v>
      </c>
      <c r="C578" s="2">
        <v>1</v>
      </c>
      <c r="D578" s="2" t="s">
        <v>32</v>
      </c>
      <c r="E578" s="3">
        <v>44221</v>
      </c>
      <c r="F578" s="2" t="s">
        <v>295</v>
      </c>
      <c r="G578" s="2" t="s">
        <v>418</v>
      </c>
      <c r="H578" s="2" t="s">
        <v>49</v>
      </c>
      <c r="I578" s="4">
        <v>24615</v>
      </c>
    </row>
    <row r="579" spans="1:9" x14ac:dyDescent="0.25">
      <c r="A579" s="2" t="s">
        <v>21</v>
      </c>
      <c r="B579" s="2">
        <v>2400</v>
      </c>
      <c r="C579" s="2">
        <v>2</v>
      </c>
      <c r="D579" s="2" t="s">
        <v>41</v>
      </c>
      <c r="E579" s="3">
        <v>44454</v>
      </c>
      <c r="F579" s="2" t="s">
        <v>70</v>
      </c>
      <c r="G579" s="2" t="s">
        <v>369</v>
      </c>
      <c r="H579" s="2" t="s">
        <v>44</v>
      </c>
      <c r="I579" s="4">
        <v>36801</v>
      </c>
    </row>
    <row r="580" spans="1:9" x14ac:dyDescent="0.25">
      <c r="A580" s="2" t="s">
        <v>12</v>
      </c>
      <c r="B580" s="2">
        <v>6500</v>
      </c>
      <c r="C580" s="2">
        <v>3</v>
      </c>
      <c r="D580" s="2" t="s">
        <v>33</v>
      </c>
      <c r="E580" s="3">
        <v>44232</v>
      </c>
      <c r="F580" s="2" t="s">
        <v>179</v>
      </c>
      <c r="G580" s="2" t="s">
        <v>180</v>
      </c>
      <c r="H580" s="2" t="s">
        <v>44</v>
      </c>
      <c r="I580" s="4">
        <v>28082</v>
      </c>
    </row>
    <row r="581" spans="1:9" x14ac:dyDescent="0.25">
      <c r="A581" s="2" t="s">
        <v>7</v>
      </c>
      <c r="B581" s="2">
        <v>750</v>
      </c>
      <c r="C581" s="2">
        <v>2</v>
      </c>
      <c r="D581" s="2" t="s">
        <v>33</v>
      </c>
      <c r="E581" s="3">
        <v>44520</v>
      </c>
      <c r="F581" s="2" t="s">
        <v>338</v>
      </c>
      <c r="G581" s="2" t="s">
        <v>171</v>
      </c>
      <c r="H581" s="2" t="s">
        <v>49</v>
      </c>
      <c r="I581" s="4">
        <v>34868</v>
      </c>
    </row>
    <row r="582" spans="1:9" x14ac:dyDescent="0.25">
      <c r="A582" s="2" t="s">
        <v>22</v>
      </c>
      <c r="B582" s="2">
        <v>5200</v>
      </c>
      <c r="C582" s="2">
        <v>5</v>
      </c>
      <c r="D582" s="2" t="s">
        <v>41</v>
      </c>
      <c r="E582" s="3">
        <v>44554</v>
      </c>
      <c r="F582" s="2" t="s">
        <v>70</v>
      </c>
      <c r="G582" s="2" t="s">
        <v>369</v>
      </c>
      <c r="H582" s="2" t="s">
        <v>44</v>
      </c>
      <c r="I582" s="4">
        <v>36801</v>
      </c>
    </row>
    <row r="583" spans="1:9" x14ac:dyDescent="0.25">
      <c r="A583" s="2" t="s">
        <v>27</v>
      </c>
      <c r="B583" s="2">
        <v>1500</v>
      </c>
      <c r="C583" s="2">
        <v>3</v>
      </c>
      <c r="D583" s="2" t="s">
        <v>40</v>
      </c>
      <c r="E583" s="3">
        <v>44200</v>
      </c>
      <c r="F583" s="2" t="s">
        <v>190</v>
      </c>
      <c r="G583" s="2" t="s">
        <v>238</v>
      </c>
      <c r="H583" s="2" t="s">
        <v>44</v>
      </c>
      <c r="I583" s="4">
        <v>25439</v>
      </c>
    </row>
    <row r="584" spans="1:9" x14ac:dyDescent="0.25">
      <c r="A584" s="2" t="s">
        <v>16</v>
      </c>
      <c r="B584" s="2">
        <v>1400</v>
      </c>
      <c r="C584" s="2">
        <v>1</v>
      </c>
      <c r="D584" s="2" t="s">
        <v>32</v>
      </c>
      <c r="E584" s="3">
        <v>44339</v>
      </c>
      <c r="F584" s="2" t="s">
        <v>155</v>
      </c>
      <c r="G584" s="2" t="s">
        <v>274</v>
      </c>
      <c r="H584" s="2" t="s">
        <v>44</v>
      </c>
      <c r="I584" s="4">
        <v>33478</v>
      </c>
    </row>
    <row r="585" spans="1:9" x14ac:dyDescent="0.25">
      <c r="A585" s="2" t="s">
        <v>5</v>
      </c>
      <c r="B585" s="2">
        <v>1750</v>
      </c>
      <c r="C585" s="2">
        <v>3</v>
      </c>
      <c r="D585" s="2" t="s">
        <v>29</v>
      </c>
      <c r="E585" s="3">
        <v>44236</v>
      </c>
      <c r="F585" s="2" t="s">
        <v>140</v>
      </c>
      <c r="G585" s="2" t="s">
        <v>281</v>
      </c>
      <c r="H585" s="2" t="s">
        <v>49</v>
      </c>
      <c r="I585" s="4">
        <v>21078</v>
      </c>
    </row>
    <row r="586" spans="1:9" x14ac:dyDescent="0.25">
      <c r="A586" s="2" t="s">
        <v>22</v>
      </c>
      <c r="B586" s="2">
        <v>5200</v>
      </c>
      <c r="C586" s="2">
        <v>5</v>
      </c>
      <c r="D586" s="2" t="s">
        <v>34</v>
      </c>
      <c r="E586" s="3">
        <v>44199</v>
      </c>
      <c r="F586" s="2" t="s">
        <v>165</v>
      </c>
      <c r="G586" s="2" t="s">
        <v>266</v>
      </c>
      <c r="H586" s="2" t="s">
        <v>49</v>
      </c>
      <c r="I586" s="4">
        <v>21774</v>
      </c>
    </row>
    <row r="587" spans="1:9" x14ac:dyDescent="0.25">
      <c r="A587" s="2" t="s">
        <v>24</v>
      </c>
      <c r="B587" s="2">
        <v>2000</v>
      </c>
      <c r="C587" s="2">
        <v>2</v>
      </c>
      <c r="D587" s="2" t="s">
        <v>32</v>
      </c>
      <c r="E587" s="3">
        <v>44294</v>
      </c>
      <c r="F587" s="2" t="s">
        <v>190</v>
      </c>
      <c r="G587" s="2" t="s">
        <v>246</v>
      </c>
      <c r="H587" s="2" t="s">
        <v>44</v>
      </c>
      <c r="I587" s="4">
        <v>30077</v>
      </c>
    </row>
    <row r="588" spans="1:9" x14ac:dyDescent="0.25">
      <c r="A588" s="2" t="s">
        <v>7</v>
      </c>
      <c r="B588" s="2">
        <v>750</v>
      </c>
      <c r="C588" s="2">
        <v>5</v>
      </c>
      <c r="D588" s="2" t="s">
        <v>35</v>
      </c>
      <c r="E588" s="3">
        <v>44439</v>
      </c>
      <c r="F588" s="2" t="s">
        <v>522</v>
      </c>
      <c r="G588" s="2" t="s">
        <v>152</v>
      </c>
      <c r="H588" s="2" t="s">
        <v>44</v>
      </c>
      <c r="I588" s="4">
        <v>31136</v>
      </c>
    </row>
    <row r="589" spans="1:9" x14ac:dyDescent="0.25">
      <c r="A589" s="2" t="s">
        <v>28</v>
      </c>
      <c r="B589" s="2">
        <v>1400</v>
      </c>
      <c r="C589" s="2">
        <v>1</v>
      </c>
      <c r="D589" s="2" t="s">
        <v>31</v>
      </c>
      <c r="E589" s="3">
        <v>44433</v>
      </c>
      <c r="F589" s="2" t="s">
        <v>233</v>
      </c>
      <c r="G589" s="2" t="s">
        <v>253</v>
      </c>
      <c r="H589" s="2" t="s">
        <v>49</v>
      </c>
      <c r="I589" s="4">
        <v>31051</v>
      </c>
    </row>
    <row r="590" spans="1:9" x14ac:dyDescent="0.25">
      <c r="A590" s="2" t="s">
        <v>9</v>
      </c>
      <c r="B590" s="2">
        <v>1500</v>
      </c>
      <c r="C590" s="2">
        <v>1</v>
      </c>
      <c r="D590" s="2" t="s">
        <v>32</v>
      </c>
      <c r="E590" s="3">
        <v>44349</v>
      </c>
      <c r="F590" s="2" t="s">
        <v>548</v>
      </c>
      <c r="G590" s="2" t="s">
        <v>203</v>
      </c>
      <c r="H590" s="2" t="s">
        <v>49</v>
      </c>
      <c r="I590" s="4">
        <v>24586</v>
      </c>
    </row>
    <row r="591" spans="1:9" x14ac:dyDescent="0.25">
      <c r="A591" s="2" t="s">
        <v>20</v>
      </c>
      <c r="B591" s="2">
        <v>2600</v>
      </c>
      <c r="C591" s="2">
        <v>3</v>
      </c>
      <c r="D591" s="2" t="s">
        <v>39</v>
      </c>
      <c r="E591" s="3">
        <v>44538</v>
      </c>
      <c r="F591" s="2" t="s">
        <v>533</v>
      </c>
      <c r="G591" s="2" t="s">
        <v>534</v>
      </c>
      <c r="H591" s="2" t="s">
        <v>49</v>
      </c>
      <c r="I591" s="4">
        <v>29459</v>
      </c>
    </row>
    <row r="592" spans="1:9" x14ac:dyDescent="0.25">
      <c r="A592" s="2" t="s">
        <v>25</v>
      </c>
      <c r="B592" s="2">
        <v>2500</v>
      </c>
      <c r="C592" s="2">
        <v>4</v>
      </c>
      <c r="D592" s="2" t="s">
        <v>37</v>
      </c>
      <c r="E592" s="3">
        <v>44258</v>
      </c>
      <c r="F592" s="2" t="s">
        <v>547</v>
      </c>
      <c r="G592" s="2" t="s">
        <v>83</v>
      </c>
      <c r="H592" s="2" t="s">
        <v>49</v>
      </c>
      <c r="I592" s="4">
        <v>32644</v>
      </c>
    </row>
    <row r="593" spans="1:9" x14ac:dyDescent="0.25">
      <c r="A593" s="2" t="s">
        <v>28</v>
      </c>
      <c r="B593" s="2">
        <v>1400</v>
      </c>
      <c r="C593" s="2">
        <v>2</v>
      </c>
      <c r="D593" s="2" t="s">
        <v>30</v>
      </c>
      <c r="E593" s="3">
        <v>44303</v>
      </c>
      <c r="F593" s="2" t="s">
        <v>131</v>
      </c>
      <c r="G593" s="2" t="s">
        <v>160</v>
      </c>
      <c r="H593" s="2" t="s">
        <v>44</v>
      </c>
      <c r="I593" s="4">
        <v>21872</v>
      </c>
    </row>
    <row r="594" spans="1:9" x14ac:dyDescent="0.25">
      <c r="A594" s="2" t="s">
        <v>26</v>
      </c>
      <c r="B594" s="2">
        <v>1100</v>
      </c>
      <c r="C594" s="2">
        <v>3</v>
      </c>
      <c r="D594" s="2" t="s">
        <v>39</v>
      </c>
      <c r="E594" s="3">
        <v>44346</v>
      </c>
      <c r="F594" s="2" t="s">
        <v>131</v>
      </c>
      <c r="G594" s="2" t="s">
        <v>132</v>
      </c>
      <c r="H594" s="2" t="s">
        <v>44</v>
      </c>
      <c r="I594" s="4">
        <v>36884</v>
      </c>
    </row>
    <row r="595" spans="1:9" x14ac:dyDescent="0.25">
      <c r="A595" s="2" t="s">
        <v>5</v>
      </c>
      <c r="B595" s="2">
        <v>1750</v>
      </c>
      <c r="C595" s="2">
        <v>3</v>
      </c>
      <c r="D595" s="2" t="s">
        <v>29</v>
      </c>
      <c r="E595" s="3">
        <v>44206</v>
      </c>
      <c r="F595" s="2" t="s">
        <v>142</v>
      </c>
      <c r="G595" s="2" t="s">
        <v>157</v>
      </c>
      <c r="H595" s="2" t="s">
        <v>49</v>
      </c>
      <c r="I595" s="4">
        <v>33294</v>
      </c>
    </row>
    <row r="596" spans="1:9" x14ac:dyDescent="0.25">
      <c r="A596" s="2" t="s">
        <v>8</v>
      </c>
      <c r="B596" s="2">
        <v>5500</v>
      </c>
      <c r="C596" s="2">
        <v>4</v>
      </c>
      <c r="D596" s="2" t="s">
        <v>36</v>
      </c>
      <c r="E596" s="3">
        <v>44415</v>
      </c>
      <c r="F596" s="2" t="s">
        <v>78</v>
      </c>
      <c r="G596" s="2" t="s">
        <v>429</v>
      </c>
      <c r="H596" s="2" t="s">
        <v>49</v>
      </c>
      <c r="I596" s="4">
        <v>21181</v>
      </c>
    </row>
    <row r="597" spans="1:9" x14ac:dyDescent="0.25">
      <c r="A597" s="2" t="s">
        <v>25</v>
      </c>
      <c r="B597" s="2">
        <v>2500</v>
      </c>
      <c r="C597" s="2">
        <v>2</v>
      </c>
      <c r="D597" s="2" t="s">
        <v>36</v>
      </c>
      <c r="E597" s="3">
        <v>44289</v>
      </c>
      <c r="F597" s="2" t="s">
        <v>155</v>
      </c>
      <c r="G597" s="2" t="s">
        <v>573</v>
      </c>
      <c r="H597" s="2" t="s">
        <v>44</v>
      </c>
      <c r="I597" s="4">
        <v>34059</v>
      </c>
    </row>
    <row r="598" spans="1:9" x14ac:dyDescent="0.25">
      <c r="A598" s="2" t="s">
        <v>22</v>
      </c>
      <c r="B598" s="2">
        <v>5200</v>
      </c>
      <c r="C598" s="2">
        <v>2</v>
      </c>
      <c r="D598" s="2" t="s">
        <v>40</v>
      </c>
      <c r="E598" s="3">
        <v>44465</v>
      </c>
      <c r="F598" s="2" t="s">
        <v>109</v>
      </c>
      <c r="G598" s="2" t="s">
        <v>168</v>
      </c>
      <c r="H598" s="2" t="s">
        <v>44</v>
      </c>
      <c r="I598" s="4">
        <v>18540</v>
      </c>
    </row>
    <row r="599" spans="1:9" x14ac:dyDescent="0.25">
      <c r="A599" s="2" t="s">
        <v>8</v>
      </c>
      <c r="B599" s="2">
        <v>5500</v>
      </c>
      <c r="C599" s="2">
        <v>4</v>
      </c>
      <c r="D599" s="2" t="s">
        <v>29</v>
      </c>
      <c r="E599" s="3">
        <v>44487</v>
      </c>
      <c r="F599" s="2" t="s">
        <v>109</v>
      </c>
      <c r="G599" s="2" t="s">
        <v>345</v>
      </c>
      <c r="H599" s="2" t="s">
        <v>44</v>
      </c>
      <c r="I599" s="4">
        <v>33647</v>
      </c>
    </row>
    <row r="600" spans="1:9" x14ac:dyDescent="0.25">
      <c r="A600" s="2" t="s">
        <v>27</v>
      </c>
      <c r="B600" s="2">
        <v>1500</v>
      </c>
      <c r="C600" s="2">
        <v>5</v>
      </c>
      <c r="D600" s="2" t="s">
        <v>35</v>
      </c>
      <c r="E600" s="3">
        <v>44499</v>
      </c>
      <c r="F600" s="2" t="s">
        <v>74</v>
      </c>
      <c r="G600" s="2" t="s">
        <v>621</v>
      </c>
      <c r="H600" s="2" t="s">
        <v>44</v>
      </c>
      <c r="I600" s="4">
        <v>34072</v>
      </c>
    </row>
    <row r="601" spans="1:9" x14ac:dyDescent="0.25">
      <c r="A601" s="2" t="s">
        <v>15</v>
      </c>
      <c r="B601" s="2">
        <v>1900</v>
      </c>
      <c r="C601" s="2">
        <v>5</v>
      </c>
      <c r="D601" s="2" t="s">
        <v>29</v>
      </c>
      <c r="E601" s="3">
        <v>44349</v>
      </c>
      <c r="F601" s="2" t="s">
        <v>199</v>
      </c>
      <c r="G601" s="2" t="s">
        <v>200</v>
      </c>
      <c r="H601" s="2" t="s">
        <v>49</v>
      </c>
      <c r="I601" s="4">
        <v>34675</v>
      </c>
    </row>
    <row r="602" spans="1:9" x14ac:dyDescent="0.25">
      <c r="A602" s="2" t="s">
        <v>17</v>
      </c>
      <c r="B602" s="2">
        <v>1550</v>
      </c>
      <c r="C602" s="2">
        <v>5</v>
      </c>
      <c r="D602" s="2" t="s">
        <v>31</v>
      </c>
      <c r="E602" s="3">
        <v>44278</v>
      </c>
      <c r="F602" s="2" t="s">
        <v>288</v>
      </c>
      <c r="G602" s="2" t="s">
        <v>362</v>
      </c>
      <c r="H602" s="2" t="s">
        <v>49</v>
      </c>
      <c r="I602" s="4">
        <v>24425</v>
      </c>
    </row>
    <row r="603" spans="1:9" x14ac:dyDescent="0.25">
      <c r="A603" s="2" t="s">
        <v>11</v>
      </c>
      <c r="B603" s="2">
        <v>4500</v>
      </c>
      <c r="C603" s="2">
        <v>4</v>
      </c>
      <c r="D603" s="2" t="s">
        <v>40</v>
      </c>
      <c r="E603" s="3">
        <v>44374</v>
      </c>
      <c r="F603" s="2" t="s">
        <v>137</v>
      </c>
      <c r="G603" s="2" t="s">
        <v>287</v>
      </c>
      <c r="H603" s="2" t="s">
        <v>49</v>
      </c>
      <c r="I603" s="4">
        <v>24974</v>
      </c>
    </row>
    <row r="604" spans="1:9" x14ac:dyDescent="0.25">
      <c r="A604" s="2" t="s">
        <v>20</v>
      </c>
      <c r="B604" s="2">
        <v>2600</v>
      </c>
      <c r="C604" s="2">
        <v>4</v>
      </c>
      <c r="D604" s="2" t="s">
        <v>29</v>
      </c>
      <c r="E604" s="3">
        <v>44280</v>
      </c>
      <c r="F604" s="2" t="s">
        <v>439</v>
      </c>
      <c r="G604" s="2" t="s">
        <v>602</v>
      </c>
      <c r="H604" s="2" t="s">
        <v>44</v>
      </c>
      <c r="I604" s="4">
        <v>29842</v>
      </c>
    </row>
    <row r="605" spans="1:9" x14ac:dyDescent="0.25">
      <c r="A605" s="2" t="s">
        <v>6</v>
      </c>
      <c r="B605" s="2">
        <v>1200</v>
      </c>
      <c r="C605" s="2">
        <v>5</v>
      </c>
      <c r="D605" s="2" t="s">
        <v>37</v>
      </c>
      <c r="E605" s="3">
        <v>44255</v>
      </c>
      <c r="F605" s="2" t="s">
        <v>298</v>
      </c>
      <c r="G605" s="2" t="s">
        <v>273</v>
      </c>
      <c r="H605" s="2" t="s">
        <v>44</v>
      </c>
      <c r="I605" s="4">
        <v>20294</v>
      </c>
    </row>
    <row r="606" spans="1:9" x14ac:dyDescent="0.25">
      <c r="A606" s="2" t="s">
        <v>13</v>
      </c>
      <c r="B606" s="2">
        <v>2300</v>
      </c>
      <c r="C606" s="2">
        <v>1</v>
      </c>
      <c r="D606" s="2" t="s">
        <v>38</v>
      </c>
      <c r="E606" s="3">
        <v>44316</v>
      </c>
      <c r="F606" s="2" t="s">
        <v>107</v>
      </c>
      <c r="G606" s="2" t="s">
        <v>340</v>
      </c>
      <c r="H606" s="2" t="s">
        <v>49</v>
      </c>
      <c r="I606" s="4">
        <v>23329</v>
      </c>
    </row>
    <row r="607" spans="1:9" x14ac:dyDescent="0.25">
      <c r="A607" s="2" t="s">
        <v>13</v>
      </c>
      <c r="B607" s="2">
        <v>2300</v>
      </c>
      <c r="C607" s="2">
        <v>2</v>
      </c>
      <c r="D607" s="2" t="s">
        <v>35</v>
      </c>
      <c r="E607" s="3">
        <v>44317</v>
      </c>
      <c r="F607" s="2" t="s">
        <v>120</v>
      </c>
      <c r="G607" s="2" t="s">
        <v>440</v>
      </c>
      <c r="H607" s="2" t="s">
        <v>44</v>
      </c>
      <c r="I607" s="4">
        <v>25875</v>
      </c>
    </row>
    <row r="608" spans="1:9" x14ac:dyDescent="0.25">
      <c r="A608" s="2" t="s">
        <v>5</v>
      </c>
      <c r="B608" s="2">
        <v>1750</v>
      </c>
      <c r="C608" s="2">
        <v>4</v>
      </c>
      <c r="D608" s="2" t="s">
        <v>35</v>
      </c>
      <c r="E608" s="3">
        <v>44348</v>
      </c>
      <c r="F608" s="2" t="s">
        <v>183</v>
      </c>
      <c r="G608" s="2" t="s">
        <v>575</v>
      </c>
      <c r="H608" s="2" t="s">
        <v>49</v>
      </c>
      <c r="I608" s="4">
        <v>24381</v>
      </c>
    </row>
    <row r="609" spans="1:9" x14ac:dyDescent="0.25">
      <c r="A609" s="2" t="s">
        <v>10</v>
      </c>
      <c r="B609" s="2">
        <v>1450</v>
      </c>
      <c r="C609" s="2">
        <v>4</v>
      </c>
      <c r="D609" s="2" t="s">
        <v>29</v>
      </c>
      <c r="E609" s="3">
        <v>44443</v>
      </c>
      <c r="F609" s="2" t="s">
        <v>52</v>
      </c>
      <c r="G609" s="2" t="s">
        <v>53</v>
      </c>
      <c r="H609" s="2" t="s">
        <v>44</v>
      </c>
      <c r="I609" s="4">
        <v>33858</v>
      </c>
    </row>
    <row r="610" spans="1:9" x14ac:dyDescent="0.25">
      <c r="A610" s="2" t="s">
        <v>12</v>
      </c>
      <c r="B610" s="2">
        <v>6500</v>
      </c>
      <c r="C610" s="2">
        <v>5</v>
      </c>
      <c r="D610" s="2" t="s">
        <v>41</v>
      </c>
      <c r="E610" s="3">
        <v>44526</v>
      </c>
      <c r="F610" s="2" t="s">
        <v>112</v>
      </c>
      <c r="G610" s="2" t="s">
        <v>591</v>
      </c>
      <c r="H610" s="2" t="s">
        <v>44</v>
      </c>
      <c r="I610" s="4">
        <v>26766</v>
      </c>
    </row>
    <row r="611" spans="1:9" x14ac:dyDescent="0.25">
      <c r="A611" s="2" t="s">
        <v>7</v>
      </c>
      <c r="B611" s="2">
        <v>750</v>
      </c>
      <c r="C611" s="2">
        <v>4</v>
      </c>
      <c r="D611" s="2" t="s">
        <v>35</v>
      </c>
      <c r="E611" s="3">
        <v>44294</v>
      </c>
      <c r="F611" s="2" t="s">
        <v>239</v>
      </c>
      <c r="G611" s="2" t="s">
        <v>561</v>
      </c>
      <c r="H611" s="2" t="s">
        <v>49</v>
      </c>
      <c r="I611" s="4">
        <v>36390</v>
      </c>
    </row>
    <row r="612" spans="1:9" x14ac:dyDescent="0.25">
      <c r="A612" s="2" t="s">
        <v>23</v>
      </c>
      <c r="B612" s="2">
        <v>1500</v>
      </c>
      <c r="C612" s="2">
        <v>3</v>
      </c>
      <c r="D612" s="2" t="s">
        <v>29</v>
      </c>
      <c r="E612" s="3">
        <v>44529</v>
      </c>
      <c r="F612" s="2" t="s">
        <v>173</v>
      </c>
      <c r="G612" s="2" t="s">
        <v>181</v>
      </c>
      <c r="H612" s="2" t="s">
        <v>44</v>
      </c>
      <c r="I612" s="4">
        <v>32179</v>
      </c>
    </row>
    <row r="613" spans="1:9" x14ac:dyDescent="0.25">
      <c r="A613" s="2" t="s">
        <v>22</v>
      </c>
      <c r="B613" s="2">
        <v>5200</v>
      </c>
      <c r="C613" s="2">
        <v>2</v>
      </c>
      <c r="D613" s="2" t="s">
        <v>41</v>
      </c>
      <c r="E613" s="3">
        <v>44494</v>
      </c>
      <c r="F613" s="2" t="s">
        <v>216</v>
      </c>
      <c r="G613" s="2" t="s">
        <v>69</v>
      </c>
      <c r="H613" s="2" t="s">
        <v>44</v>
      </c>
      <c r="I613" s="4">
        <v>28992</v>
      </c>
    </row>
    <row r="614" spans="1:9" x14ac:dyDescent="0.25">
      <c r="A614" s="2" t="s">
        <v>5</v>
      </c>
      <c r="B614" s="2">
        <v>1750</v>
      </c>
      <c r="C614" s="2">
        <v>4</v>
      </c>
      <c r="D614" s="2" t="s">
        <v>41</v>
      </c>
      <c r="E614" s="3">
        <v>44322</v>
      </c>
      <c r="F614" s="2" t="s">
        <v>216</v>
      </c>
      <c r="G614" s="2" t="s">
        <v>69</v>
      </c>
      <c r="H614" s="2" t="s">
        <v>44</v>
      </c>
      <c r="I614" s="4">
        <v>28992</v>
      </c>
    </row>
    <row r="615" spans="1:9" x14ac:dyDescent="0.25">
      <c r="A615" s="2" t="s">
        <v>15</v>
      </c>
      <c r="B615" s="2">
        <v>1900</v>
      </c>
      <c r="C615" s="2">
        <v>5</v>
      </c>
      <c r="D615" s="2" t="s">
        <v>35</v>
      </c>
      <c r="E615" s="3">
        <v>44436</v>
      </c>
      <c r="F615" s="2" t="s">
        <v>335</v>
      </c>
      <c r="G615" s="2" t="s">
        <v>530</v>
      </c>
      <c r="H615" s="2" t="s">
        <v>49</v>
      </c>
      <c r="I615" s="4">
        <v>36734</v>
      </c>
    </row>
    <row r="616" spans="1:9" x14ac:dyDescent="0.25">
      <c r="A616" s="2" t="s">
        <v>10</v>
      </c>
      <c r="B616" s="2">
        <v>1450</v>
      </c>
      <c r="C616" s="2">
        <v>4</v>
      </c>
      <c r="D616" s="2" t="s">
        <v>35</v>
      </c>
      <c r="E616" s="3">
        <v>44455</v>
      </c>
      <c r="F616" s="2" t="s">
        <v>402</v>
      </c>
      <c r="G616" s="2" t="s">
        <v>292</v>
      </c>
      <c r="H616" s="2" t="s">
        <v>49</v>
      </c>
      <c r="I616" s="4">
        <v>24715</v>
      </c>
    </row>
    <row r="617" spans="1:9" x14ac:dyDescent="0.25">
      <c r="A617" s="2" t="s">
        <v>10</v>
      </c>
      <c r="B617" s="2">
        <v>1450</v>
      </c>
      <c r="C617" s="2">
        <v>5</v>
      </c>
      <c r="D617" s="2" t="s">
        <v>36</v>
      </c>
      <c r="E617" s="3">
        <v>44353</v>
      </c>
      <c r="F617" s="2" t="s">
        <v>173</v>
      </c>
      <c r="G617" s="2" t="s">
        <v>359</v>
      </c>
      <c r="H617" s="2" t="s">
        <v>44</v>
      </c>
      <c r="I617" s="4">
        <v>33395</v>
      </c>
    </row>
    <row r="618" spans="1:9" x14ac:dyDescent="0.25">
      <c r="A618" s="2" t="s">
        <v>5</v>
      </c>
      <c r="B618" s="2">
        <v>1750</v>
      </c>
      <c r="C618" s="2">
        <v>4</v>
      </c>
      <c r="D618" s="2" t="s">
        <v>36</v>
      </c>
      <c r="E618" s="3">
        <v>44289</v>
      </c>
      <c r="F618" s="2" t="s">
        <v>85</v>
      </c>
      <c r="G618" s="2" t="s">
        <v>86</v>
      </c>
      <c r="H618" s="2" t="s">
        <v>49</v>
      </c>
      <c r="I618" s="4">
        <v>22416</v>
      </c>
    </row>
    <row r="619" spans="1:9" x14ac:dyDescent="0.25">
      <c r="A619" s="2" t="s">
        <v>6</v>
      </c>
      <c r="B619" s="2">
        <v>1200</v>
      </c>
      <c r="C619" s="2">
        <v>4</v>
      </c>
      <c r="D619" s="2" t="s">
        <v>34</v>
      </c>
      <c r="E619" s="3">
        <v>44478</v>
      </c>
      <c r="F619" s="2" t="s">
        <v>98</v>
      </c>
      <c r="G619" s="2" t="s">
        <v>213</v>
      </c>
      <c r="H619" s="2" t="s">
        <v>44</v>
      </c>
      <c r="I619" s="4">
        <v>23276</v>
      </c>
    </row>
    <row r="620" spans="1:9" x14ac:dyDescent="0.25">
      <c r="A620" s="2" t="s">
        <v>20</v>
      </c>
      <c r="B620" s="2">
        <v>2600</v>
      </c>
      <c r="C620" s="2">
        <v>1</v>
      </c>
      <c r="D620" s="2" t="s">
        <v>32</v>
      </c>
      <c r="E620" s="3">
        <v>44525</v>
      </c>
      <c r="F620" s="2" t="s">
        <v>50</v>
      </c>
      <c r="G620" s="2" t="s">
        <v>51</v>
      </c>
      <c r="H620" s="2" t="s">
        <v>49</v>
      </c>
      <c r="I620" s="4">
        <v>25021</v>
      </c>
    </row>
    <row r="621" spans="1:9" x14ac:dyDescent="0.25">
      <c r="A621" s="2" t="s">
        <v>18</v>
      </c>
      <c r="B621" s="2">
        <v>3000</v>
      </c>
      <c r="C621" s="2">
        <v>1</v>
      </c>
      <c r="D621" s="2" t="s">
        <v>36</v>
      </c>
      <c r="E621" s="3">
        <v>44507</v>
      </c>
      <c r="F621" s="2" t="s">
        <v>239</v>
      </c>
      <c r="G621" s="2" t="s">
        <v>157</v>
      </c>
      <c r="H621" s="2" t="s">
        <v>49</v>
      </c>
      <c r="I621" s="4">
        <v>28094</v>
      </c>
    </row>
    <row r="622" spans="1:9" x14ac:dyDescent="0.25">
      <c r="A622" s="2" t="s">
        <v>18</v>
      </c>
      <c r="B622" s="2">
        <v>3000</v>
      </c>
      <c r="C622" s="2">
        <v>2</v>
      </c>
      <c r="D622" s="2" t="s">
        <v>39</v>
      </c>
      <c r="E622" s="3">
        <v>44362</v>
      </c>
      <c r="F622" s="2" t="s">
        <v>131</v>
      </c>
      <c r="G622" s="2" t="s">
        <v>329</v>
      </c>
      <c r="H622" s="2" t="s">
        <v>44</v>
      </c>
      <c r="I622" s="4">
        <v>31228</v>
      </c>
    </row>
    <row r="623" spans="1:9" x14ac:dyDescent="0.25">
      <c r="A623" s="2" t="s">
        <v>11</v>
      </c>
      <c r="B623" s="2">
        <v>4500</v>
      </c>
      <c r="C623" s="2">
        <v>4</v>
      </c>
      <c r="D623" s="2" t="s">
        <v>29</v>
      </c>
      <c r="E623" s="3">
        <v>44545</v>
      </c>
      <c r="F623" s="2" t="s">
        <v>288</v>
      </c>
      <c r="G623" s="2" t="s">
        <v>308</v>
      </c>
      <c r="H623" s="2" t="s">
        <v>49</v>
      </c>
      <c r="I623" s="4">
        <v>26060</v>
      </c>
    </row>
    <row r="624" spans="1:9" x14ac:dyDescent="0.25">
      <c r="A624" s="2" t="s">
        <v>26</v>
      </c>
      <c r="B624" s="2">
        <v>1100</v>
      </c>
      <c r="C624" s="2">
        <v>2</v>
      </c>
      <c r="D624" s="2" t="s">
        <v>31</v>
      </c>
      <c r="E624" s="3">
        <v>44403</v>
      </c>
      <c r="F624" s="2" t="s">
        <v>577</v>
      </c>
      <c r="G624" s="2" t="s">
        <v>334</v>
      </c>
      <c r="H624" s="2" t="s">
        <v>44</v>
      </c>
      <c r="I624" s="4">
        <v>28734</v>
      </c>
    </row>
    <row r="625" spans="1:9" x14ac:dyDescent="0.25">
      <c r="A625" s="2" t="s">
        <v>7</v>
      </c>
      <c r="B625" s="2">
        <v>750</v>
      </c>
      <c r="C625" s="2">
        <v>4</v>
      </c>
      <c r="D625" s="2" t="s">
        <v>40</v>
      </c>
      <c r="E625" s="3">
        <v>44376</v>
      </c>
      <c r="F625" s="2" t="s">
        <v>51</v>
      </c>
      <c r="G625" s="2" t="s">
        <v>515</v>
      </c>
      <c r="H625" s="2" t="s">
        <v>44</v>
      </c>
      <c r="I625" s="4">
        <v>27099</v>
      </c>
    </row>
    <row r="626" spans="1:9" x14ac:dyDescent="0.25">
      <c r="A626" s="2" t="s">
        <v>17</v>
      </c>
      <c r="B626" s="2">
        <v>1550</v>
      </c>
      <c r="C626" s="2">
        <v>2</v>
      </c>
      <c r="D626" s="2" t="s">
        <v>41</v>
      </c>
      <c r="E626" s="3">
        <v>44382</v>
      </c>
      <c r="F626" s="2" t="s">
        <v>479</v>
      </c>
      <c r="G626" s="2" t="s">
        <v>592</v>
      </c>
      <c r="H626" s="2" t="s">
        <v>49</v>
      </c>
      <c r="I626" s="4">
        <v>30837</v>
      </c>
    </row>
    <row r="627" spans="1:9" x14ac:dyDescent="0.25">
      <c r="A627" s="2" t="s">
        <v>20</v>
      </c>
      <c r="B627" s="2">
        <v>2600</v>
      </c>
      <c r="C627" s="2">
        <v>3</v>
      </c>
      <c r="D627" s="2" t="s">
        <v>29</v>
      </c>
      <c r="E627" s="3">
        <v>44257</v>
      </c>
      <c r="F627" s="2" t="s">
        <v>522</v>
      </c>
      <c r="G627" s="2" t="s">
        <v>541</v>
      </c>
      <c r="H627" s="2" t="s">
        <v>44</v>
      </c>
      <c r="I627" s="4">
        <v>29115</v>
      </c>
    </row>
    <row r="628" spans="1:9" x14ac:dyDescent="0.25">
      <c r="A628" s="2" t="s">
        <v>16</v>
      </c>
      <c r="B628" s="2">
        <v>1400</v>
      </c>
      <c r="C628" s="2">
        <v>3</v>
      </c>
      <c r="D628" s="2" t="s">
        <v>30</v>
      </c>
      <c r="E628" s="3">
        <v>44490</v>
      </c>
      <c r="F628" s="2" t="s">
        <v>52</v>
      </c>
      <c r="G628" s="2" t="s">
        <v>325</v>
      </c>
      <c r="H628" s="2" t="s">
        <v>44</v>
      </c>
      <c r="I628" s="4">
        <v>35093</v>
      </c>
    </row>
    <row r="629" spans="1:9" x14ac:dyDescent="0.25">
      <c r="A629" s="2" t="s">
        <v>5</v>
      </c>
      <c r="B629" s="2">
        <v>1750</v>
      </c>
      <c r="C629" s="2">
        <v>3</v>
      </c>
      <c r="D629" s="2" t="s">
        <v>35</v>
      </c>
      <c r="E629" s="3">
        <v>44340</v>
      </c>
      <c r="F629" s="2" t="s">
        <v>544</v>
      </c>
      <c r="G629" s="2" t="s">
        <v>238</v>
      </c>
      <c r="H629" s="2" t="s">
        <v>44</v>
      </c>
      <c r="I629" s="4">
        <v>23493</v>
      </c>
    </row>
    <row r="630" spans="1:9" x14ac:dyDescent="0.25">
      <c r="A630" s="2" t="s">
        <v>8</v>
      </c>
      <c r="B630" s="2">
        <v>5500</v>
      </c>
      <c r="C630" s="2">
        <v>2</v>
      </c>
      <c r="D630" s="2" t="s">
        <v>36</v>
      </c>
      <c r="E630" s="3">
        <v>44535</v>
      </c>
      <c r="F630" s="2" t="s">
        <v>87</v>
      </c>
      <c r="G630" s="2" t="s">
        <v>172</v>
      </c>
      <c r="H630" s="2" t="s">
        <v>44</v>
      </c>
      <c r="I630" s="4">
        <v>33395</v>
      </c>
    </row>
    <row r="631" spans="1:9" x14ac:dyDescent="0.25">
      <c r="A631" s="2" t="s">
        <v>27</v>
      </c>
      <c r="B631" s="2">
        <v>1500</v>
      </c>
      <c r="C631" s="2">
        <v>5</v>
      </c>
      <c r="D631" s="2" t="s">
        <v>35</v>
      </c>
      <c r="E631" s="3">
        <v>44313</v>
      </c>
      <c r="F631" s="2" t="s">
        <v>377</v>
      </c>
      <c r="G631" s="2" t="s">
        <v>378</v>
      </c>
      <c r="H631" s="2" t="s">
        <v>49</v>
      </c>
      <c r="I631" s="4">
        <v>21305</v>
      </c>
    </row>
    <row r="632" spans="1:9" x14ac:dyDescent="0.25">
      <c r="A632" s="2" t="s">
        <v>13</v>
      </c>
      <c r="B632" s="2">
        <v>2300</v>
      </c>
      <c r="C632" s="2">
        <v>4</v>
      </c>
      <c r="D632" s="2" t="s">
        <v>30</v>
      </c>
      <c r="E632" s="3">
        <v>44526</v>
      </c>
      <c r="F632" s="2" t="s">
        <v>94</v>
      </c>
      <c r="G632" s="2" t="s">
        <v>210</v>
      </c>
      <c r="H632" s="2" t="s">
        <v>49</v>
      </c>
      <c r="I632" s="4">
        <v>31670</v>
      </c>
    </row>
    <row r="633" spans="1:9" x14ac:dyDescent="0.25">
      <c r="A633" s="2" t="s">
        <v>22</v>
      </c>
      <c r="B633" s="2">
        <v>5200</v>
      </c>
      <c r="C633" s="2">
        <v>1</v>
      </c>
      <c r="D633" s="2" t="s">
        <v>31</v>
      </c>
      <c r="E633" s="3">
        <v>44383</v>
      </c>
      <c r="F633" s="2" t="s">
        <v>363</v>
      </c>
      <c r="G633" s="2" t="s">
        <v>262</v>
      </c>
      <c r="H633" s="2" t="s">
        <v>44</v>
      </c>
      <c r="I633" s="4">
        <v>35725</v>
      </c>
    </row>
    <row r="634" spans="1:9" x14ac:dyDescent="0.25">
      <c r="A634" s="2" t="s">
        <v>26</v>
      </c>
      <c r="B634" s="2">
        <v>1100</v>
      </c>
      <c r="C634" s="2">
        <v>4</v>
      </c>
      <c r="D634" s="2" t="s">
        <v>32</v>
      </c>
      <c r="E634" s="3">
        <v>44243</v>
      </c>
      <c r="F634" s="2" t="s">
        <v>548</v>
      </c>
      <c r="G634" s="2" t="s">
        <v>203</v>
      </c>
      <c r="H634" s="2" t="s">
        <v>49</v>
      </c>
      <c r="I634" s="4">
        <v>24586</v>
      </c>
    </row>
    <row r="635" spans="1:9" x14ac:dyDescent="0.25">
      <c r="A635" s="2" t="s">
        <v>22</v>
      </c>
      <c r="B635" s="2">
        <v>5200</v>
      </c>
      <c r="C635" s="2">
        <v>4</v>
      </c>
      <c r="D635" s="2" t="s">
        <v>34</v>
      </c>
      <c r="E635" s="3">
        <v>44434</v>
      </c>
      <c r="F635" s="2" t="s">
        <v>528</v>
      </c>
      <c r="G635" s="2" t="s">
        <v>345</v>
      </c>
      <c r="H635" s="2" t="s">
        <v>44</v>
      </c>
      <c r="I635" s="4">
        <v>31102</v>
      </c>
    </row>
    <row r="636" spans="1:9" x14ac:dyDescent="0.25">
      <c r="A636" s="2" t="s">
        <v>8</v>
      </c>
      <c r="B636" s="2">
        <v>5500</v>
      </c>
      <c r="C636" s="2">
        <v>2</v>
      </c>
      <c r="D636" s="2" t="s">
        <v>35</v>
      </c>
      <c r="E636" s="3">
        <v>44527</v>
      </c>
      <c r="F636" s="2" t="s">
        <v>131</v>
      </c>
      <c r="G636" s="2" t="s">
        <v>500</v>
      </c>
      <c r="H636" s="2" t="s">
        <v>44</v>
      </c>
      <c r="I636" s="4">
        <v>25504</v>
      </c>
    </row>
    <row r="637" spans="1:9" x14ac:dyDescent="0.25">
      <c r="A637" s="2" t="s">
        <v>21</v>
      </c>
      <c r="B637" s="2">
        <v>2400</v>
      </c>
      <c r="C637" s="2">
        <v>4</v>
      </c>
      <c r="D637" s="2" t="s">
        <v>29</v>
      </c>
      <c r="E637" s="3">
        <v>44287</v>
      </c>
      <c r="F637" s="2" t="s">
        <v>225</v>
      </c>
      <c r="G637" s="2" t="s">
        <v>226</v>
      </c>
      <c r="H637" s="2" t="s">
        <v>44</v>
      </c>
      <c r="I637" s="4">
        <v>36143</v>
      </c>
    </row>
    <row r="638" spans="1:9" x14ac:dyDescent="0.25">
      <c r="A638" s="2" t="s">
        <v>15</v>
      </c>
      <c r="B638" s="2">
        <v>1900</v>
      </c>
      <c r="C638" s="2">
        <v>4</v>
      </c>
      <c r="D638" s="2" t="s">
        <v>32</v>
      </c>
      <c r="E638" s="3">
        <v>44294</v>
      </c>
      <c r="F638" s="2" t="s">
        <v>256</v>
      </c>
      <c r="G638" s="2" t="s">
        <v>262</v>
      </c>
      <c r="H638" s="2" t="s">
        <v>44</v>
      </c>
      <c r="I638" s="4">
        <v>18583</v>
      </c>
    </row>
    <row r="639" spans="1:9" x14ac:dyDescent="0.25">
      <c r="A639" s="2" t="s">
        <v>18</v>
      </c>
      <c r="B639" s="2">
        <v>3000</v>
      </c>
      <c r="C639" s="2">
        <v>1</v>
      </c>
      <c r="D639" s="2" t="s">
        <v>32</v>
      </c>
      <c r="E639" s="3">
        <v>44555</v>
      </c>
      <c r="F639" s="2" t="s">
        <v>72</v>
      </c>
      <c r="G639" s="2" t="s">
        <v>73</v>
      </c>
      <c r="H639" s="2" t="s">
        <v>49</v>
      </c>
      <c r="I639" s="4">
        <v>30167</v>
      </c>
    </row>
    <row r="640" spans="1:9" x14ac:dyDescent="0.25">
      <c r="A640" s="2" t="s">
        <v>21</v>
      </c>
      <c r="B640" s="2">
        <v>2400</v>
      </c>
      <c r="C640" s="2">
        <v>1</v>
      </c>
      <c r="D640" s="2" t="s">
        <v>31</v>
      </c>
      <c r="E640" s="3">
        <v>44463</v>
      </c>
      <c r="F640" s="2" t="s">
        <v>127</v>
      </c>
      <c r="G640" s="2" t="s">
        <v>574</v>
      </c>
      <c r="H640" s="2" t="s">
        <v>44</v>
      </c>
      <c r="I640" s="4">
        <v>20646</v>
      </c>
    </row>
    <row r="641" spans="1:9" x14ac:dyDescent="0.25">
      <c r="A641" s="2" t="s">
        <v>24</v>
      </c>
      <c r="B641" s="2">
        <v>2000</v>
      </c>
      <c r="C641" s="2">
        <v>3</v>
      </c>
      <c r="D641" s="2" t="s">
        <v>32</v>
      </c>
      <c r="E641" s="3">
        <v>44243</v>
      </c>
      <c r="F641" s="2" t="s">
        <v>295</v>
      </c>
      <c r="G641" s="2" t="s">
        <v>418</v>
      </c>
      <c r="H641" s="2" t="s">
        <v>49</v>
      </c>
      <c r="I641" s="4">
        <v>24615</v>
      </c>
    </row>
    <row r="642" spans="1:9" x14ac:dyDescent="0.25">
      <c r="A642" s="2" t="s">
        <v>8</v>
      </c>
      <c r="B642" s="2">
        <v>5500</v>
      </c>
      <c r="C642" s="2">
        <v>2</v>
      </c>
      <c r="D642" s="2" t="s">
        <v>29</v>
      </c>
      <c r="E642" s="3">
        <v>44366</v>
      </c>
      <c r="F642" s="2" t="s">
        <v>142</v>
      </c>
      <c r="G642" s="2" t="s">
        <v>157</v>
      </c>
      <c r="H642" s="2" t="s">
        <v>49</v>
      </c>
      <c r="I642" s="4">
        <v>33294</v>
      </c>
    </row>
    <row r="643" spans="1:9" x14ac:dyDescent="0.25">
      <c r="A643" s="2" t="s">
        <v>9</v>
      </c>
      <c r="B643" s="2">
        <v>1500</v>
      </c>
      <c r="C643" s="2">
        <v>2</v>
      </c>
      <c r="D643" s="2" t="s">
        <v>40</v>
      </c>
      <c r="E643" s="3">
        <v>44526</v>
      </c>
      <c r="F643" s="2" t="s">
        <v>124</v>
      </c>
      <c r="G643" s="2" t="s">
        <v>607</v>
      </c>
      <c r="H643" s="2" t="s">
        <v>44</v>
      </c>
      <c r="I643" s="4">
        <v>30959</v>
      </c>
    </row>
    <row r="644" spans="1:9" x14ac:dyDescent="0.25">
      <c r="A644" s="2" t="s">
        <v>6</v>
      </c>
      <c r="B644" s="2">
        <v>1200</v>
      </c>
      <c r="C644" s="2">
        <v>5</v>
      </c>
      <c r="D644" s="2" t="s">
        <v>30</v>
      </c>
      <c r="E644" s="3">
        <v>44360</v>
      </c>
      <c r="F644" s="2" t="s">
        <v>45</v>
      </c>
      <c r="G644" s="2" t="s">
        <v>46</v>
      </c>
      <c r="H644" s="2" t="s">
        <v>44</v>
      </c>
      <c r="I644" s="4">
        <v>32614</v>
      </c>
    </row>
    <row r="645" spans="1:9" x14ac:dyDescent="0.25">
      <c r="A645" s="2" t="s">
        <v>24</v>
      </c>
      <c r="B645" s="2">
        <v>2000</v>
      </c>
      <c r="C645" s="2">
        <v>5</v>
      </c>
      <c r="D645" s="2" t="s">
        <v>38</v>
      </c>
      <c r="E645" s="3">
        <v>44361</v>
      </c>
      <c r="F645" s="2" t="s">
        <v>90</v>
      </c>
      <c r="G645" s="2" t="s">
        <v>91</v>
      </c>
      <c r="H645" s="2" t="s">
        <v>49</v>
      </c>
      <c r="I645" s="4">
        <v>33405</v>
      </c>
    </row>
    <row r="646" spans="1:9" x14ac:dyDescent="0.25">
      <c r="A646" s="2" t="s">
        <v>23</v>
      </c>
      <c r="B646" s="2">
        <v>1500</v>
      </c>
      <c r="C646" s="2">
        <v>2</v>
      </c>
      <c r="D646" s="2" t="s">
        <v>41</v>
      </c>
      <c r="E646" s="3">
        <v>44228</v>
      </c>
      <c r="F646" s="2" t="s">
        <v>221</v>
      </c>
      <c r="G646" s="2" t="s">
        <v>222</v>
      </c>
      <c r="H646" s="2" t="s">
        <v>44</v>
      </c>
      <c r="I646" s="4">
        <v>35083</v>
      </c>
    </row>
    <row r="647" spans="1:9" x14ac:dyDescent="0.25">
      <c r="A647" s="2" t="s">
        <v>5</v>
      </c>
      <c r="B647" s="2">
        <v>1750</v>
      </c>
      <c r="C647" s="2">
        <v>1</v>
      </c>
      <c r="D647" s="2" t="s">
        <v>38</v>
      </c>
      <c r="E647" s="3">
        <v>44466</v>
      </c>
      <c r="F647" s="2" t="s">
        <v>427</v>
      </c>
      <c r="G647" s="2" t="s">
        <v>428</v>
      </c>
      <c r="H647" s="2" t="s">
        <v>44</v>
      </c>
      <c r="I647" s="4">
        <v>27814</v>
      </c>
    </row>
    <row r="648" spans="1:9" x14ac:dyDescent="0.25">
      <c r="A648" s="2" t="s">
        <v>9</v>
      </c>
      <c r="B648" s="2">
        <v>1500</v>
      </c>
      <c r="C648" s="2">
        <v>4</v>
      </c>
      <c r="D648" s="2" t="s">
        <v>37</v>
      </c>
      <c r="E648" s="3">
        <v>44197</v>
      </c>
      <c r="F648" s="2" t="s">
        <v>87</v>
      </c>
      <c r="G648" s="2" t="s">
        <v>205</v>
      </c>
      <c r="H648" s="2" t="s">
        <v>44</v>
      </c>
      <c r="I648" s="4">
        <v>33504</v>
      </c>
    </row>
    <row r="649" spans="1:9" x14ac:dyDescent="0.25">
      <c r="A649" s="2" t="s">
        <v>26</v>
      </c>
      <c r="B649" s="2">
        <v>1100</v>
      </c>
      <c r="C649" s="2">
        <v>3</v>
      </c>
      <c r="D649" s="2" t="s">
        <v>31</v>
      </c>
      <c r="E649" s="3">
        <v>44336</v>
      </c>
      <c r="F649" s="2" t="s">
        <v>78</v>
      </c>
      <c r="G649" s="2" t="s">
        <v>504</v>
      </c>
      <c r="H649" s="2" t="s">
        <v>49</v>
      </c>
      <c r="I649" s="4">
        <v>29762</v>
      </c>
    </row>
    <row r="650" spans="1:9" x14ac:dyDescent="0.25">
      <c r="A650" s="2" t="s">
        <v>17</v>
      </c>
      <c r="B650" s="2">
        <v>1550</v>
      </c>
      <c r="C650" s="2">
        <v>4</v>
      </c>
      <c r="D650" s="2" t="s">
        <v>41</v>
      </c>
      <c r="E650" s="3">
        <v>44401</v>
      </c>
      <c r="F650" s="2" t="s">
        <v>216</v>
      </c>
      <c r="G650" s="2" t="s">
        <v>195</v>
      </c>
      <c r="H650" s="2" t="s">
        <v>44</v>
      </c>
      <c r="I650" s="4">
        <v>29130</v>
      </c>
    </row>
    <row r="651" spans="1:9" x14ac:dyDescent="0.25">
      <c r="A651" s="2" t="s">
        <v>20</v>
      </c>
      <c r="B651" s="2">
        <v>2600</v>
      </c>
      <c r="C651" s="2">
        <v>1</v>
      </c>
      <c r="D651" s="2" t="s">
        <v>35</v>
      </c>
      <c r="E651" s="3">
        <v>44498</v>
      </c>
      <c r="F651" s="2" t="s">
        <v>316</v>
      </c>
      <c r="G651" s="2" t="s">
        <v>253</v>
      </c>
      <c r="H651" s="2" t="s">
        <v>44</v>
      </c>
      <c r="I651" s="4">
        <v>26822</v>
      </c>
    </row>
    <row r="652" spans="1:9" x14ac:dyDescent="0.25">
      <c r="A652" s="2" t="s">
        <v>17</v>
      </c>
      <c r="B652" s="2">
        <v>1550</v>
      </c>
      <c r="C652" s="2">
        <v>2</v>
      </c>
      <c r="D652" s="2" t="s">
        <v>33</v>
      </c>
      <c r="E652" s="3">
        <v>44320</v>
      </c>
      <c r="F652" s="2" t="s">
        <v>290</v>
      </c>
      <c r="G652" s="2" t="s">
        <v>81</v>
      </c>
      <c r="H652" s="2" t="s">
        <v>49</v>
      </c>
      <c r="I652" s="4">
        <v>34655</v>
      </c>
    </row>
    <row r="653" spans="1:9" x14ac:dyDescent="0.25">
      <c r="A653" s="2" t="s">
        <v>12</v>
      </c>
      <c r="B653" s="2">
        <v>6500</v>
      </c>
      <c r="C653" s="2">
        <v>1</v>
      </c>
      <c r="D653" s="2" t="s">
        <v>33</v>
      </c>
      <c r="E653" s="3">
        <v>44277</v>
      </c>
      <c r="F653" s="2" t="s">
        <v>582</v>
      </c>
      <c r="G653" s="2" t="s">
        <v>583</v>
      </c>
      <c r="H653" s="2" t="s">
        <v>49</v>
      </c>
      <c r="I653" s="4">
        <v>27281</v>
      </c>
    </row>
    <row r="654" spans="1:9" x14ac:dyDescent="0.25">
      <c r="A654" s="2" t="s">
        <v>7</v>
      </c>
      <c r="B654" s="2">
        <v>750</v>
      </c>
      <c r="C654" s="2">
        <v>2</v>
      </c>
      <c r="D654" s="2" t="s">
        <v>31</v>
      </c>
      <c r="E654" s="3">
        <v>44395</v>
      </c>
      <c r="F654" s="2" t="s">
        <v>401</v>
      </c>
      <c r="G654" s="2" t="s">
        <v>172</v>
      </c>
      <c r="H654" s="2" t="s">
        <v>49</v>
      </c>
      <c r="I654" s="4">
        <v>21639</v>
      </c>
    </row>
    <row r="655" spans="1:9" x14ac:dyDescent="0.25">
      <c r="A655" s="2" t="s">
        <v>24</v>
      </c>
      <c r="B655" s="2">
        <v>2000</v>
      </c>
      <c r="C655" s="2">
        <v>4</v>
      </c>
      <c r="D655" s="2" t="s">
        <v>41</v>
      </c>
      <c r="E655" s="3">
        <v>44400</v>
      </c>
      <c r="F655" s="2" t="s">
        <v>190</v>
      </c>
      <c r="G655" s="2" t="s">
        <v>545</v>
      </c>
      <c r="H655" s="2" t="s">
        <v>44</v>
      </c>
      <c r="I655" s="4">
        <v>20285</v>
      </c>
    </row>
    <row r="656" spans="1:9" x14ac:dyDescent="0.25">
      <c r="A656" s="2" t="s">
        <v>19</v>
      </c>
      <c r="B656" s="2">
        <v>700</v>
      </c>
      <c r="C656" s="2">
        <v>1</v>
      </c>
      <c r="D656" s="2" t="s">
        <v>30</v>
      </c>
      <c r="E656" s="3">
        <v>44478</v>
      </c>
      <c r="F656" s="2" t="s">
        <v>153</v>
      </c>
      <c r="G656" s="2" t="s">
        <v>319</v>
      </c>
      <c r="H656" s="2" t="s">
        <v>44</v>
      </c>
      <c r="I656" s="4">
        <v>34274</v>
      </c>
    </row>
    <row r="657" spans="1:9" x14ac:dyDescent="0.25">
      <c r="A657" s="2" t="s">
        <v>16</v>
      </c>
      <c r="B657" s="2">
        <v>1400</v>
      </c>
      <c r="C657" s="2">
        <v>3</v>
      </c>
      <c r="D657" s="2" t="s">
        <v>35</v>
      </c>
      <c r="E657" s="3">
        <v>44258</v>
      </c>
      <c r="F657" s="2" t="s">
        <v>183</v>
      </c>
      <c r="G657" s="2" t="s">
        <v>575</v>
      </c>
      <c r="H657" s="2" t="s">
        <v>49</v>
      </c>
      <c r="I657" s="4">
        <v>24381</v>
      </c>
    </row>
    <row r="658" spans="1:9" x14ac:dyDescent="0.25">
      <c r="A658" s="2" t="s">
        <v>6</v>
      </c>
      <c r="B658" s="2">
        <v>1200</v>
      </c>
      <c r="C658" s="2">
        <v>2</v>
      </c>
      <c r="D658" s="2" t="s">
        <v>29</v>
      </c>
      <c r="E658" s="3">
        <v>44484</v>
      </c>
      <c r="F658" s="2" t="s">
        <v>124</v>
      </c>
      <c r="G658" s="2" t="s">
        <v>574</v>
      </c>
      <c r="H658" s="2" t="s">
        <v>44</v>
      </c>
      <c r="I658" s="4">
        <v>28058</v>
      </c>
    </row>
    <row r="659" spans="1:9" x14ac:dyDescent="0.25">
      <c r="A659" s="2" t="s">
        <v>22</v>
      </c>
      <c r="B659" s="2">
        <v>5200</v>
      </c>
      <c r="C659" s="2">
        <v>1</v>
      </c>
      <c r="D659" s="2" t="s">
        <v>31</v>
      </c>
      <c r="E659" s="3">
        <v>44271</v>
      </c>
      <c r="F659" s="2" t="s">
        <v>460</v>
      </c>
      <c r="G659" s="2" t="s">
        <v>308</v>
      </c>
      <c r="H659" s="2" t="s">
        <v>49</v>
      </c>
      <c r="I659" s="4">
        <v>25392</v>
      </c>
    </row>
    <row r="660" spans="1:9" x14ac:dyDescent="0.25">
      <c r="A660" s="2" t="s">
        <v>15</v>
      </c>
      <c r="B660" s="2">
        <v>1900</v>
      </c>
      <c r="C660" s="2">
        <v>2</v>
      </c>
      <c r="D660" s="2" t="s">
        <v>32</v>
      </c>
      <c r="E660" s="3">
        <v>44415</v>
      </c>
      <c r="F660" s="2" t="s">
        <v>98</v>
      </c>
      <c r="G660" s="2" t="s">
        <v>380</v>
      </c>
      <c r="H660" s="2" t="s">
        <v>44</v>
      </c>
      <c r="I660" s="4">
        <v>29461</v>
      </c>
    </row>
    <row r="661" spans="1:9" x14ac:dyDescent="0.25">
      <c r="A661" s="2" t="s">
        <v>28</v>
      </c>
      <c r="B661" s="2">
        <v>1400</v>
      </c>
      <c r="C661" s="2">
        <v>2</v>
      </c>
      <c r="D661" s="2" t="s">
        <v>40</v>
      </c>
      <c r="E661" s="3">
        <v>44326</v>
      </c>
      <c r="F661" s="2" t="s">
        <v>293</v>
      </c>
      <c r="G661" s="2" t="s">
        <v>63</v>
      </c>
      <c r="H661" s="2" t="s">
        <v>49</v>
      </c>
      <c r="I661" s="4">
        <v>36322</v>
      </c>
    </row>
    <row r="662" spans="1:9" x14ac:dyDescent="0.25">
      <c r="A662" s="2" t="s">
        <v>24</v>
      </c>
      <c r="B662" s="2">
        <v>2000</v>
      </c>
      <c r="C662" s="2">
        <v>2</v>
      </c>
      <c r="D662" s="2" t="s">
        <v>37</v>
      </c>
      <c r="E662" s="3">
        <v>44452</v>
      </c>
      <c r="F662" s="2" t="s">
        <v>431</v>
      </c>
      <c r="G662" s="2" t="s">
        <v>432</v>
      </c>
      <c r="H662" s="2" t="s">
        <v>49</v>
      </c>
      <c r="I662" s="4">
        <v>36471</v>
      </c>
    </row>
    <row r="663" spans="1:9" x14ac:dyDescent="0.25">
      <c r="A663" s="2" t="s">
        <v>13</v>
      </c>
      <c r="B663" s="2">
        <v>2300</v>
      </c>
      <c r="C663" s="2">
        <v>4</v>
      </c>
      <c r="D663" s="2" t="s">
        <v>29</v>
      </c>
      <c r="E663" s="3">
        <v>44241</v>
      </c>
      <c r="F663" s="2" t="s">
        <v>328</v>
      </c>
      <c r="G663" s="2" t="s">
        <v>157</v>
      </c>
      <c r="H663" s="2" t="s">
        <v>49</v>
      </c>
      <c r="I663" s="4">
        <v>35120</v>
      </c>
    </row>
    <row r="664" spans="1:9" x14ac:dyDescent="0.25">
      <c r="A664" s="2" t="s">
        <v>14</v>
      </c>
      <c r="B664" s="2">
        <v>2000</v>
      </c>
      <c r="C664" s="2">
        <v>3</v>
      </c>
      <c r="D664" s="2" t="s">
        <v>40</v>
      </c>
      <c r="E664" s="3">
        <v>44265</v>
      </c>
      <c r="F664" s="2" t="s">
        <v>629</v>
      </c>
      <c r="G664" s="2" t="s">
        <v>346</v>
      </c>
      <c r="H664" s="2" t="s">
        <v>44</v>
      </c>
      <c r="I664" s="4">
        <v>32927</v>
      </c>
    </row>
    <row r="665" spans="1:9" x14ac:dyDescent="0.25">
      <c r="A665" s="2" t="s">
        <v>28</v>
      </c>
      <c r="B665" s="2">
        <v>1400</v>
      </c>
      <c r="C665" s="2">
        <v>5</v>
      </c>
      <c r="D665" s="2" t="s">
        <v>39</v>
      </c>
      <c r="E665" s="3">
        <v>44376</v>
      </c>
      <c r="F665" s="2" t="s">
        <v>333</v>
      </c>
      <c r="G665" s="2" t="s">
        <v>472</v>
      </c>
      <c r="H665" s="2" t="s">
        <v>44</v>
      </c>
      <c r="I665" s="4">
        <v>30148</v>
      </c>
    </row>
    <row r="666" spans="1:9" x14ac:dyDescent="0.25">
      <c r="A666" s="2" t="s">
        <v>24</v>
      </c>
      <c r="B666" s="2">
        <v>2000</v>
      </c>
      <c r="C666" s="2">
        <v>5</v>
      </c>
      <c r="D666" s="2" t="s">
        <v>36</v>
      </c>
      <c r="E666" s="3">
        <v>44363</v>
      </c>
      <c r="F666" s="2" t="s">
        <v>259</v>
      </c>
      <c r="G666" s="2" t="s">
        <v>584</v>
      </c>
      <c r="H666" s="2" t="s">
        <v>49</v>
      </c>
      <c r="I666" s="4">
        <v>22500</v>
      </c>
    </row>
    <row r="667" spans="1:9" x14ac:dyDescent="0.25">
      <c r="A667" s="2" t="s">
        <v>18</v>
      </c>
      <c r="B667" s="2">
        <v>3000</v>
      </c>
      <c r="C667" s="2">
        <v>3</v>
      </c>
      <c r="D667" s="2" t="s">
        <v>40</v>
      </c>
      <c r="E667" s="3">
        <v>44370</v>
      </c>
      <c r="F667" s="2" t="s">
        <v>111</v>
      </c>
      <c r="G667" s="2" t="s">
        <v>63</v>
      </c>
      <c r="H667" s="2" t="s">
        <v>44</v>
      </c>
      <c r="I667" s="4">
        <v>34809</v>
      </c>
    </row>
    <row r="668" spans="1:9" x14ac:dyDescent="0.25">
      <c r="A668" s="2" t="s">
        <v>27</v>
      </c>
      <c r="B668" s="2">
        <v>1500</v>
      </c>
      <c r="C668" s="2">
        <v>1</v>
      </c>
      <c r="D668" s="2" t="s">
        <v>31</v>
      </c>
      <c r="E668" s="3">
        <v>44428</v>
      </c>
      <c r="F668" s="2" t="s">
        <v>62</v>
      </c>
      <c r="G668" s="2" t="s">
        <v>63</v>
      </c>
      <c r="H668" s="2" t="s">
        <v>49</v>
      </c>
      <c r="I668" s="4">
        <v>19305</v>
      </c>
    </row>
    <row r="669" spans="1:9" x14ac:dyDescent="0.25">
      <c r="A669" s="2" t="s">
        <v>17</v>
      </c>
      <c r="B669" s="2">
        <v>1550</v>
      </c>
      <c r="C669" s="2">
        <v>3</v>
      </c>
      <c r="D669" s="2" t="s">
        <v>32</v>
      </c>
      <c r="E669" s="3">
        <v>44329</v>
      </c>
      <c r="F669" s="2" t="s">
        <v>271</v>
      </c>
      <c r="G669" s="2" t="s">
        <v>149</v>
      </c>
      <c r="H669" s="2" t="s">
        <v>49</v>
      </c>
      <c r="I669" s="4">
        <v>26195</v>
      </c>
    </row>
    <row r="670" spans="1:9" x14ac:dyDescent="0.25">
      <c r="A670" s="2" t="s">
        <v>9</v>
      </c>
      <c r="B670" s="2">
        <v>1500</v>
      </c>
      <c r="C670" s="2">
        <v>3</v>
      </c>
      <c r="D670" s="2" t="s">
        <v>41</v>
      </c>
      <c r="E670" s="3">
        <v>44554</v>
      </c>
      <c r="F670" s="2" t="s">
        <v>234</v>
      </c>
      <c r="G670" s="2" t="s">
        <v>229</v>
      </c>
      <c r="H670" s="2" t="s">
        <v>44</v>
      </c>
      <c r="I670" s="4">
        <v>23610</v>
      </c>
    </row>
    <row r="671" spans="1:9" x14ac:dyDescent="0.25">
      <c r="A671" s="2" t="s">
        <v>24</v>
      </c>
      <c r="B671" s="2">
        <v>2000</v>
      </c>
      <c r="C671" s="2">
        <v>5</v>
      </c>
      <c r="D671" s="2" t="s">
        <v>40</v>
      </c>
      <c r="E671" s="3">
        <v>44440</v>
      </c>
      <c r="F671" s="2" t="s">
        <v>293</v>
      </c>
      <c r="G671" s="2" t="s">
        <v>63</v>
      </c>
      <c r="H671" s="2" t="s">
        <v>49</v>
      </c>
      <c r="I671" s="4">
        <v>36322</v>
      </c>
    </row>
    <row r="672" spans="1:9" x14ac:dyDescent="0.25">
      <c r="A672" s="2" t="s">
        <v>26</v>
      </c>
      <c r="B672" s="2">
        <v>1100</v>
      </c>
      <c r="C672" s="2">
        <v>5</v>
      </c>
      <c r="D672" s="2" t="s">
        <v>32</v>
      </c>
      <c r="E672" s="3">
        <v>44510</v>
      </c>
      <c r="F672" s="2" t="s">
        <v>341</v>
      </c>
      <c r="G672" s="2" t="s">
        <v>342</v>
      </c>
      <c r="H672" s="2" t="s">
        <v>49</v>
      </c>
      <c r="I672" s="4">
        <v>25751</v>
      </c>
    </row>
    <row r="673" spans="1:9" x14ac:dyDescent="0.25">
      <c r="A673" s="2" t="s">
        <v>7</v>
      </c>
      <c r="B673" s="2">
        <v>750</v>
      </c>
      <c r="C673" s="2">
        <v>3</v>
      </c>
      <c r="D673" s="2" t="s">
        <v>37</v>
      </c>
      <c r="E673" s="3">
        <v>44550</v>
      </c>
      <c r="F673" s="2" t="s">
        <v>183</v>
      </c>
      <c r="G673" s="2" t="s">
        <v>184</v>
      </c>
      <c r="H673" s="2" t="s">
        <v>49</v>
      </c>
      <c r="I673" s="4">
        <v>29897</v>
      </c>
    </row>
    <row r="674" spans="1:9" x14ac:dyDescent="0.25">
      <c r="A674" s="2" t="s">
        <v>22</v>
      </c>
      <c r="B674" s="2">
        <v>5200</v>
      </c>
      <c r="C674" s="2">
        <v>4</v>
      </c>
      <c r="D674" s="2" t="s">
        <v>40</v>
      </c>
      <c r="E674" s="3">
        <v>44261</v>
      </c>
      <c r="F674" s="2" t="s">
        <v>70</v>
      </c>
      <c r="G674" s="2" t="s">
        <v>499</v>
      </c>
      <c r="H674" s="2" t="s">
        <v>44</v>
      </c>
      <c r="I674" s="4">
        <v>25006</v>
      </c>
    </row>
    <row r="675" spans="1:9" x14ac:dyDescent="0.25">
      <c r="A675" s="2" t="s">
        <v>5</v>
      </c>
      <c r="B675" s="2">
        <v>1750</v>
      </c>
      <c r="C675" s="2">
        <v>2</v>
      </c>
      <c r="D675" s="2" t="s">
        <v>29</v>
      </c>
      <c r="E675" s="3">
        <v>44209</v>
      </c>
      <c r="F675" s="2" t="s">
        <v>98</v>
      </c>
      <c r="G675" s="2" t="s">
        <v>81</v>
      </c>
      <c r="H675" s="2" t="s">
        <v>44</v>
      </c>
      <c r="I675" s="4">
        <v>30937</v>
      </c>
    </row>
    <row r="676" spans="1:9" x14ac:dyDescent="0.25">
      <c r="A676" s="2" t="s">
        <v>21</v>
      </c>
      <c r="B676" s="2">
        <v>2400</v>
      </c>
      <c r="C676" s="2">
        <v>1</v>
      </c>
      <c r="D676" s="2" t="s">
        <v>40</v>
      </c>
      <c r="E676" s="3">
        <v>44470</v>
      </c>
      <c r="F676" s="2" t="s">
        <v>109</v>
      </c>
      <c r="G676" s="2" t="s">
        <v>168</v>
      </c>
      <c r="H676" s="2" t="s">
        <v>44</v>
      </c>
      <c r="I676" s="4">
        <v>18540</v>
      </c>
    </row>
    <row r="677" spans="1:9" x14ac:dyDescent="0.25">
      <c r="A677" s="2" t="s">
        <v>20</v>
      </c>
      <c r="B677" s="2">
        <v>2600</v>
      </c>
      <c r="C677" s="2">
        <v>4</v>
      </c>
      <c r="D677" s="2" t="s">
        <v>36</v>
      </c>
      <c r="E677" s="3">
        <v>44365</v>
      </c>
      <c r="F677" s="2" t="s">
        <v>74</v>
      </c>
      <c r="G677" s="2" t="s">
        <v>169</v>
      </c>
      <c r="H677" s="2" t="s">
        <v>44</v>
      </c>
      <c r="I677" s="4">
        <v>34026</v>
      </c>
    </row>
    <row r="678" spans="1:9" x14ac:dyDescent="0.25">
      <c r="A678" s="2" t="s">
        <v>7</v>
      </c>
      <c r="B678" s="2">
        <v>750</v>
      </c>
      <c r="C678" s="2">
        <v>3</v>
      </c>
      <c r="D678" s="2" t="s">
        <v>32</v>
      </c>
      <c r="E678" s="3">
        <v>44402</v>
      </c>
      <c r="F678" s="2" t="s">
        <v>258</v>
      </c>
      <c r="G678" s="2" t="s">
        <v>164</v>
      </c>
      <c r="H678" s="2" t="s">
        <v>49</v>
      </c>
      <c r="I678" s="4">
        <v>21676</v>
      </c>
    </row>
    <row r="679" spans="1:9" x14ac:dyDescent="0.25">
      <c r="A679" s="2" t="s">
        <v>21</v>
      </c>
      <c r="B679" s="2">
        <v>2400</v>
      </c>
      <c r="C679" s="2">
        <v>5</v>
      </c>
      <c r="D679" s="2" t="s">
        <v>31</v>
      </c>
      <c r="E679" s="3">
        <v>44260</v>
      </c>
      <c r="F679" s="2" t="s">
        <v>405</v>
      </c>
      <c r="G679" s="2" t="s">
        <v>451</v>
      </c>
      <c r="H679" s="2" t="s">
        <v>44</v>
      </c>
      <c r="I679" s="4">
        <v>22469</v>
      </c>
    </row>
    <row r="680" spans="1:9" x14ac:dyDescent="0.25">
      <c r="A680" s="2" t="s">
        <v>12</v>
      </c>
      <c r="B680" s="2">
        <v>6500</v>
      </c>
      <c r="C680" s="2">
        <v>3</v>
      </c>
      <c r="D680" s="2" t="s">
        <v>38</v>
      </c>
      <c r="E680" s="3">
        <v>44451</v>
      </c>
      <c r="F680" s="2" t="s">
        <v>107</v>
      </c>
      <c r="G680" s="2" t="s">
        <v>67</v>
      </c>
      <c r="H680" s="2" t="s">
        <v>49</v>
      </c>
      <c r="I680" s="4">
        <v>31355</v>
      </c>
    </row>
    <row r="681" spans="1:9" x14ac:dyDescent="0.25">
      <c r="A681" s="2" t="s">
        <v>16</v>
      </c>
      <c r="B681" s="2">
        <v>1400</v>
      </c>
      <c r="C681" s="2">
        <v>2</v>
      </c>
      <c r="D681" s="2" t="s">
        <v>40</v>
      </c>
      <c r="E681" s="3">
        <v>44357</v>
      </c>
      <c r="F681" s="2" t="s">
        <v>70</v>
      </c>
      <c r="G681" s="2" t="s">
        <v>499</v>
      </c>
      <c r="H681" s="2" t="s">
        <v>44</v>
      </c>
      <c r="I681" s="4">
        <v>25006</v>
      </c>
    </row>
    <row r="682" spans="1:9" x14ac:dyDescent="0.25">
      <c r="A682" s="2" t="s">
        <v>7</v>
      </c>
      <c r="B682" s="2">
        <v>750</v>
      </c>
      <c r="C682" s="2">
        <v>3</v>
      </c>
      <c r="D682" s="2" t="s">
        <v>40</v>
      </c>
      <c r="E682" s="3">
        <v>44374</v>
      </c>
      <c r="F682" s="2" t="s">
        <v>70</v>
      </c>
      <c r="G682" s="2" t="s">
        <v>499</v>
      </c>
      <c r="H682" s="2" t="s">
        <v>44</v>
      </c>
      <c r="I682" s="4">
        <v>25006</v>
      </c>
    </row>
    <row r="683" spans="1:9" x14ac:dyDescent="0.25">
      <c r="A683" s="2" t="s">
        <v>5</v>
      </c>
      <c r="B683" s="2">
        <v>1750</v>
      </c>
      <c r="C683" s="2">
        <v>1</v>
      </c>
      <c r="D683" s="2" t="s">
        <v>31</v>
      </c>
      <c r="E683" s="3">
        <v>44321</v>
      </c>
      <c r="F683" s="2" t="s">
        <v>109</v>
      </c>
      <c r="G683" s="2" t="s">
        <v>190</v>
      </c>
      <c r="H683" s="2" t="s">
        <v>44</v>
      </c>
      <c r="I683" s="4">
        <v>35339</v>
      </c>
    </row>
    <row r="684" spans="1:9" x14ac:dyDescent="0.25">
      <c r="A684" s="2" t="s">
        <v>22</v>
      </c>
      <c r="B684" s="2">
        <v>5200</v>
      </c>
      <c r="C684" s="2">
        <v>4</v>
      </c>
      <c r="D684" s="2" t="s">
        <v>31</v>
      </c>
      <c r="E684" s="3">
        <v>44246</v>
      </c>
      <c r="F684" s="2" t="s">
        <v>270</v>
      </c>
      <c r="G684" s="2" t="s">
        <v>63</v>
      </c>
      <c r="H684" s="2" t="s">
        <v>44</v>
      </c>
      <c r="I684" s="4">
        <v>32206</v>
      </c>
    </row>
    <row r="685" spans="1:9" x14ac:dyDescent="0.25">
      <c r="A685" s="2" t="s">
        <v>27</v>
      </c>
      <c r="B685" s="2">
        <v>1500</v>
      </c>
      <c r="C685" s="2">
        <v>4</v>
      </c>
      <c r="D685" s="2" t="s">
        <v>30</v>
      </c>
      <c r="E685" s="3">
        <v>44329</v>
      </c>
      <c r="F685" s="2" t="s">
        <v>343</v>
      </c>
      <c r="G685" s="2" t="s">
        <v>193</v>
      </c>
      <c r="H685" s="2" t="s">
        <v>49</v>
      </c>
      <c r="I685" s="4">
        <v>19478</v>
      </c>
    </row>
    <row r="686" spans="1:9" x14ac:dyDescent="0.25">
      <c r="A686" s="2" t="s">
        <v>26</v>
      </c>
      <c r="B686" s="2">
        <v>1100</v>
      </c>
      <c r="C686" s="2">
        <v>2</v>
      </c>
      <c r="D686" s="2" t="s">
        <v>31</v>
      </c>
      <c r="E686" s="3">
        <v>44512</v>
      </c>
      <c r="F686" s="2" t="s">
        <v>107</v>
      </c>
      <c r="G686" s="2" t="s">
        <v>205</v>
      </c>
      <c r="H686" s="2" t="s">
        <v>49</v>
      </c>
      <c r="I686" s="4">
        <v>31963</v>
      </c>
    </row>
    <row r="687" spans="1:9" x14ac:dyDescent="0.25">
      <c r="A687" s="2" t="s">
        <v>13</v>
      </c>
      <c r="B687" s="2">
        <v>2300</v>
      </c>
      <c r="C687" s="2">
        <v>4</v>
      </c>
      <c r="D687" s="2" t="s">
        <v>33</v>
      </c>
      <c r="E687" s="3">
        <v>44252</v>
      </c>
      <c r="F687" s="2" t="s">
        <v>385</v>
      </c>
      <c r="G687" s="2" t="s">
        <v>565</v>
      </c>
      <c r="H687" s="2" t="s">
        <v>44</v>
      </c>
      <c r="I687" s="4">
        <v>35467</v>
      </c>
    </row>
    <row r="688" spans="1:9" x14ac:dyDescent="0.25">
      <c r="A688" s="2" t="s">
        <v>9</v>
      </c>
      <c r="B688" s="2">
        <v>1500</v>
      </c>
      <c r="C688" s="2">
        <v>1</v>
      </c>
      <c r="D688" s="2" t="s">
        <v>34</v>
      </c>
      <c r="E688" s="3">
        <v>44207</v>
      </c>
      <c r="F688" s="2" t="s">
        <v>98</v>
      </c>
      <c r="G688" s="2" t="s">
        <v>213</v>
      </c>
      <c r="H688" s="2" t="s">
        <v>44</v>
      </c>
      <c r="I688" s="4">
        <v>23276</v>
      </c>
    </row>
    <row r="689" spans="1:9" x14ac:dyDescent="0.25">
      <c r="A689" s="2" t="s">
        <v>11</v>
      </c>
      <c r="B689" s="2">
        <v>4500</v>
      </c>
      <c r="C689" s="2">
        <v>4</v>
      </c>
      <c r="D689" s="2" t="s">
        <v>40</v>
      </c>
      <c r="E689" s="3">
        <v>44311</v>
      </c>
      <c r="F689" s="2" t="s">
        <v>80</v>
      </c>
      <c r="G689" s="2" t="s">
        <v>75</v>
      </c>
      <c r="H689" s="2" t="s">
        <v>44</v>
      </c>
      <c r="I689" s="4">
        <v>32180</v>
      </c>
    </row>
    <row r="690" spans="1:9" x14ac:dyDescent="0.25">
      <c r="A690" s="2" t="s">
        <v>24</v>
      </c>
      <c r="B690" s="2">
        <v>2000</v>
      </c>
      <c r="C690" s="2">
        <v>3</v>
      </c>
      <c r="D690" s="2" t="s">
        <v>40</v>
      </c>
      <c r="E690" s="3">
        <v>44479</v>
      </c>
      <c r="F690" s="2" t="s">
        <v>124</v>
      </c>
      <c r="G690" s="2" t="s">
        <v>520</v>
      </c>
      <c r="H690" s="2" t="s">
        <v>44</v>
      </c>
      <c r="I690" s="4">
        <v>36819</v>
      </c>
    </row>
    <row r="691" spans="1:9" x14ac:dyDescent="0.25">
      <c r="A691" s="2" t="s">
        <v>22</v>
      </c>
      <c r="B691" s="2">
        <v>5200</v>
      </c>
      <c r="C691" s="2">
        <v>3</v>
      </c>
      <c r="D691" s="2" t="s">
        <v>29</v>
      </c>
      <c r="E691" s="3">
        <v>44533</v>
      </c>
      <c r="F691" s="2" t="s">
        <v>199</v>
      </c>
      <c r="G691" s="2" t="s">
        <v>200</v>
      </c>
      <c r="H691" s="2" t="s">
        <v>49</v>
      </c>
      <c r="I691" s="4">
        <v>34675</v>
      </c>
    </row>
    <row r="692" spans="1:9" x14ac:dyDescent="0.25">
      <c r="A692" s="2" t="s">
        <v>22</v>
      </c>
      <c r="B692" s="2">
        <v>5200</v>
      </c>
      <c r="C692" s="2">
        <v>3</v>
      </c>
      <c r="D692" s="2" t="s">
        <v>37</v>
      </c>
      <c r="E692" s="3">
        <v>44421</v>
      </c>
      <c r="F692" s="2" t="s">
        <v>87</v>
      </c>
      <c r="G692" s="2" t="s">
        <v>205</v>
      </c>
      <c r="H692" s="2" t="s">
        <v>44</v>
      </c>
      <c r="I692" s="4">
        <v>33504</v>
      </c>
    </row>
    <row r="693" spans="1:9" x14ac:dyDescent="0.25">
      <c r="A693" s="2" t="s">
        <v>6</v>
      </c>
      <c r="B693" s="2">
        <v>1200</v>
      </c>
      <c r="C693" s="2">
        <v>3</v>
      </c>
      <c r="D693" s="2" t="s">
        <v>40</v>
      </c>
      <c r="E693" s="3">
        <v>44207</v>
      </c>
      <c r="F693" s="2" t="s">
        <v>70</v>
      </c>
      <c r="G693" s="2" t="s">
        <v>581</v>
      </c>
      <c r="H693" s="2" t="s">
        <v>44</v>
      </c>
      <c r="I693" s="4">
        <v>27603</v>
      </c>
    </row>
    <row r="694" spans="1:9" x14ac:dyDescent="0.25">
      <c r="A694" s="2" t="s">
        <v>18</v>
      </c>
      <c r="B694" s="2">
        <v>3000</v>
      </c>
      <c r="C694" s="2">
        <v>4</v>
      </c>
      <c r="D694" s="2" t="s">
        <v>32</v>
      </c>
      <c r="E694" s="3">
        <v>44398</v>
      </c>
      <c r="F694" s="2" t="s">
        <v>51</v>
      </c>
      <c r="G694" s="2" t="s">
        <v>99</v>
      </c>
      <c r="H694" s="2" t="s">
        <v>44</v>
      </c>
      <c r="I694" s="4">
        <v>18276</v>
      </c>
    </row>
    <row r="695" spans="1:9" x14ac:dyDescent="0.25">
      <c r="A695" s="2" t="s">
        <v>5</v>
      </c>
      <c r="B695" s="2">
        <v>1750</v>
      </c>
      <c r="C695" s="2">
        <v>2</v>
      </c>
      <c r="D695" s="2" t="s">
        <v>31</v>
      </c>
      <c r="E695" s="3">
        <v>44361</v>
      </c>
      <c r="F695" s="2" t="s">
        <v>259</v>
      </c>
      <c r="G695" s="2" t="s">
        <v>276</v>
      </c>
      <c r="H695" s="2" t="s">
        <v>49</v>
      </c>
      <c r="I695" s="4">
        <v>25235</v>
      </c>
    </row>
    <row r="696" spans="1:9" x14ac:dyDescent="0.25">
      <c r="A696" s="2" t="s">
        <v>26</v>
      </c>
      <c r="B696" s="2">
        <v>1100</v>
      </c>
      <c r="C696" s="2">
        <v>2</v>
      </c>
      <c r="D696" s="2" t="s">
        <v>29</v>
      </c>
      <c r="E696" s="3">
        <v>44391</v>
      </c>
      <c r="F696" s="2" t="s">
        <v>525</v>
      </c>
      <c r="G696" s="2" t="s">
        <v>113</v>
      </c>
      <c r="H696" s="2" t="s">
        <v>44</v>
      </c>
      <c r="I696" s="4">
        <v>24000</v>
      </c>
    </row>
    <row r="697" spans="1:9" x14ac:dyDescent="0.25">
      <c r="A697" s="2" t="s">
        <v>19</v>
      </c>
      <c r="B697" s="2">
        <v>700</v>
      </c>
      <c r="C697" s="2">
        <v>5</v>
      </c>
      <c r="D697" s="2" t="s">
        <v>35</v>
      </c>
      <c r="E697" s="3">
        <v>44384</v>
      </c>
      <c r="F697" s="2" t="s">
        <v>328</v>
      </c>
      <c r="G697" s="2" t="s">
        <v>149</v>
      </c>
      <c r="H697" s="2" t="s">
        <v>49</v>
      </c>
      <c r="I697" s="4">
        <v>36743</v>
      </c>
    </row>
    <row r="698" spans="1:9" x14ac:dyDescent="0.25">
      <c r="A698" s="2" t="s">
        <v>25</v>
      </c>
      <c r="B698" s="2">
        <v>2500</v>
      </c>
      <c r="C698" s="2">
        <v>1</v>
      </c>
      <c r="D698" s="2" t="s">
        <v>30</v>
      </c>
      <c r="E698" s="3">
        <v>44452</v>
      </c>
      <c r="F698" s="2" t="s">
        <v>392</v>
      </c>
      <c r="G698" s="2" t="s">
        <v>472</v>
      </c>
      <c r="H698" s="2" t="s">
        <v>49</v>
      </c>
      <c r="I698" s="4">
        <v>35563</v>
      </c>
    </row>
    <row r="699" spans="1:9" x14ac:dyDescent="0.25">
      <c r="A699" s="2" t="s">
        <v>22</v>
      </c>
      <c r="B699" s="2">
        <v>5200</v>
      </c>
      <c r="C699" s="2">
        <v>2</v>
      </c>
      <c r="D699" s="2" t="s">
        <v>36</v>
      </c>
      <c r="E699" s="3">
        <v>44368</v>
      </c>
      <c r="F699" s="2" t="s">
        <v>64</v>
      </c>
      <c r="G699" s="2" t="s">
        <v>65</v>
      </c>
      <c r="H699" s="2" t="s">
        <v>44</v>
      </c>
      <c r="I699" s="4">
        <v>33748</v>
      </c>
    </row>
    <row r="700" spans="1:9" x14ac:dyDescent="0.25">
      <c r="A700" s="2" t="s">
        <v>19</v>
      </c>
      <c r="B700" s="2">
        <v>700</v>
      </c>
      <c r="C700" s="2">
        <v>5</v>
      </c>
      <c r="D700" s="2" t="s">
        <v>41</v>
      </c>
      <c r="E700" s="3">
        <v>44305</v>
      </c>
      <c r="F700" s="2" t="s">
        <v>216</v>
      </c>
      <c r="G700" s="2" t="s">
        <v>274</v>
      </c>
      <c r="H700" s="2" t="s">
        <v>44</v>
      </c>
      <c r="I700" s="4">
        <v>35037</v>
      </c>
    </row>
    <row r="701" spans="1:9" x14ac:dyDescent="0.25">
      <c r="A701" s="2" t="s">
        <v>22</v>
      </c>
      <c r="B701" s="2">
        <v>5200</v>
      </c>
      <c r="C701" s="2">
        <v>2</v>
      </c>
      <c r="D701" s="2" t="s">
        <v>33</v>
      </c>
      <c r="E701" s="3">
        <v>44300</v>
      </c>
      <c r="F701" s="2" t="s">
        <v>460</v>
      </c>
      <c r="G701" s="2" t="s">
        <v>606</v>
      </c>
      <c r="H701" s="2" t="s">
        <v>49</v>
      </c>
      <c r="I701" s="4">
        <v>35669</v>
      </c>
    </row>
    <row r="702" spans="1:9" x14ac:dyDescent="0.25">
      <c r="A702" s="2" t="s">
        <v>6</v>
      </c>
      <c r="B702" s="2">
        <v>1200</v>
      </c>
      <c r="C702" s="2">
        <v>5</v>
      </c>
      <c r="D702" s="2" t="s">
        <v>34</v>
      </c>
      <c r="E702" s="3">
        <v>44205</v>
      </c>
      <c r="F702" s="2" t="s">
        <v>153</v>
      </c>
      <c r="G702" s="2" t="s">
        <v>154</v>
      </c>
      <c r="H702" s="2" t="s">
        <v>44</v>
      </c>
      <c r="I702" s="4">
        <v>30459</v>
      </c>
    </row>
    <row r="703" spans="1:9" x14ac:dyDescent="0.25">
      <c r="A703" s="2" t="s">
        <v>18</v>
      </c>
      <c r="B703" s="2">
        <v>3000</v>
      </c>
      <c r="C703" s="2">
        <v>1</v>
      </c>
      <c r="D703" s="2" t="s">
        <v>34</v>
      </c>
      <c r="E703" s="3">
        <v>44305</v>
      </c>
      <c r="F703" s="2" t="s">
        <v>98</v>
      </c>
      <c r="G703" s="2" t="s">
        <v>213</v>
      </c>
      <c r="H703" s="2" t="s">
        <v>44</v>
      </c>
      <c r="I703" s="4">
        <v>23276</v>
      </c>
    </row>
    <row r="704" spans="1:9" x14ac:dyDescent="0.25">
      <c r="A704" s="2" t="s">
        <v>17</v>
      </c>
      <c r="B704" s="2">
        <v>1550</v>
      </c>
      <c r="C704" s="2">
        <v>2</v>
      </c>
      <c r="D704" s="2" t="s">
        <v>41</v>
      </c>
      <c r="E704" s="3">
        <v>44408</v>
      </c>
      <c r="F704" s="2" t="s">
        <v>256</v>
      </c>
      <c r="G704" s="2" t="s">
        <v>257</v>
      </c>
      <c r="H704" s="2" t="s">
        <v>44</v>
      </c>
      <c r="I704" s="4">
        <v>24408</v>
      </c>
    </row>
    <row r="705" spans="1:9" x14ac:dyDescent="0.25">
      <c r="A705" s="2" t="s">
        <v>12</v>
      </c>
      <c r="B705" s="2">
        <v>6500</v>
      </c>
      <c r="C705" s="2">
        <v>4</v>
      </c>
      <c r="D705" s="2" t="s">
        <v>34</v>
      </c>
      <c r="E705" s="3">
        <v>44444</v>
      </c>
      <c r="F705" s="2" t="s">
        <v>492</v>
      </c>
      <c r="G705" s="2" t="s">
        <v>198</v>
      </c>
      <c r="H705" s="2" t="s">
        <v>44</v>
      </c>
      <c r="I705" s="4">
        <v>28333</v>
      </c>
    </row>
    <row r="706" spans="1:9" x14ac:dyDescent="0.25">
      <c r="A706" s="2" t="s">
        <v>16</v>
      </c>
      <c r="B706" s="2">
        <v>1400</v>
      </c>
      <c r="C706" s="2">
        <v>3</v>
      </c>
      <c r="D706" s="2" t="s">
        <v>38</v>
      </c>
      <c r="E706" s="3">
        <v>44515</v>
      </c>
      <c r="F706" s="2" t="s">
        <v>190</v>
      </c>
      <c r="G706" s="2" t="s">
        <v>63</v>
      </c>
      <c r="H706" s="2" t="s">
        <v>44</v>
      </c>
      <c r="I706" s="4">
        <v>19333</v>
      </c>
    </row>
    <row r="707" spans="1:9" x14ac:dyDescent="0.25">
      <c r="A707" s="2" t="s">
        <v>9</v>
      </c>
      <c r="B707" s="2">
        <v>1500</v>
      </c>
      <c r="C707" s="2">
        <v>3</v>
      </c>
      <c r="D707" s="2" t="s">
        <v>41</v>
      </c>
      <c r="E707" s="3">
        <v>44235</v>
      </c>
      <c r="F707" s="2" t="s">
        <v>234</v>
      </c>
      <c r="G707" s="2" t="s">
        <v>229</v>
      </c>
      <c r="H707" s="2" t="s">
        <v>44</v>
      </c>
      <c r="I707" s="4">
        <v>23610</v>
      </c>
    </row>
    <row r="708" spans="1:9" x14ac:dyDescent="0.25">
      <c r="A708" s="2" t="s">
        <v>17</v>
      </c>
      <c r="B708" s="2">
        <v>1550</v>
      </c>
      <c r="C708" s="2">
        <v>2</v>
      </c>
      <c r="D708" s="2" t="s">
        <v>39</v>
      </c>
      <c r="E708" s="3">
        <v>44419</v>
      </c>
      <c r="F708" s="2" t="s">
        <v>354</v>
      </c>
      <c r="G708" s="2" t="s">
        <v>310</v>
      </c>
      <c r="H708" s="2" t="s">
        <v>49</v>
      </c>
      <c r="I708" s="4">
        <v>30770</v>
      </c>
    </row>
    <row r="709" spans="1:9" x14ac:dyDescent="0.25">
      <c r="A709" s="2" t="s">
        <v>18</v>
      </c>
      <c r="B709" s="2">
        <v>3000</v>
      </c>
      <c r="C709" s="2">
        <v>3</v>
      </c>
      <c r="D709" s="2" t="s">
        <v>34</v>
      </c>
      <c r="E709" s="3">
        <v>44368</v>
      </c>
      <c r="F709" s="2" t="s">
        <v>78</v>
      </c>
      <c r="G709" s="2" t="s">
        <v>79</v>
      </c>
      <c r="H709" s="2" t="s">
        <v>49</v>
      </c>
      <c r="I709" s="4">
        <v>36540</v>
      </c>
    </row>
    <row r="710" spans="1:9" x14ac:dyDescent="0.25">
      <c r="A710" s="2" t="s">
        <v>18</v>
      </c>
      <c r="B710" s="2">
        <v>3000</v>
      </c>
      <c r="C710" s="2">
        <v>2</v>
      </c>
      <c r="D710" s="2" t="s">
        <v>34</v>
      </c>
      <c r="E710" s="3">
        <v>44330</v>
      </c>
      <c r="F710" s="2" t="s">
        <v>51</v>
      </c>
      <c r="G710" s="2" t="s">
        <v>55</v>
      </c>
      <c r="H710" s="2" t="s">
        <v>44</v>
      </c>
      <c r="I710" s="4">
        <v>32196</v>
      </c>
    </row>
    <row r="711" spans="1:9" x14ac:dyDescent="0.25">
      <c r="A711" s="2" t="s">
        <v>5</v>
      </c>
      <c r="B711" s="2">
        <v>1750</v>
      </c>
      <c r="C711" s="2">
        <v>5</v>
      </c>
      <c r="D711" s="2" t="s">
        <v>37</v>
      </c>
      <c r="E711" s="3">
        <v>44298</v>
      </c>
      <c r="F711" s="2" t="s">
        <v>163</v>
      </c>
      <c r="G711" s="2" t="s">
        <v>516</v>
      </c>
      <c r="H711" s="2" t="s">
        <v>49</v>
      </c>
      <c r="I711" s="4">
        <v>25301</v>
      </c>
    </row>
    <row r="712" spans="1:9" x14ac:dyDescent="0.25">
      <c r="A712" s="2" t="s">
        <v>14</v>
      </c>
      <c r="B712" s="2">
        <v>2000</v>
      </c>
      <c r="C712" s="2">
        <v>3</v>
      </c>
      <c r="D712" s="2" t="s">
        <v>40</v>
      </c>
      <c r="E712" s="3">
        <v>44395</v>
      </c>
      <c r="F712" s="2" t="s">
        <v>328</v>
      </c>
      <c r="G712" s="2" t="s">
        <v>200</v>
      </c>
      <c r="H712" s="2" t="s">
        <v>49</v>
      </c>
      <c r="I712" s="4">
        <v>33025</v>
      </c>
    </row>
    <row r="713" spans="1:9" x14ac:dyDescent="0.25">
      <c r="A713" s="2" t="s">
        <v>17</v>
      </c>
      <c r="B713" s="2">
        <v>1550</v>
      </c>
      <c r="C713" s="2">
        <v>5</v>
      </c>
      <c r="D713" s="2" t="s">
        <v>40</v>
      </c>
      <c r="E713" s="3">
        <v>44250</v>
      </c>
      <c r="F713" s="2" t="s">
        <v>129</v>
      </c>
      <c r="G713" s="2" t="s">
        <v>273</v>
      </c>
      <c r="H713" s="2" t="s">
        <v>49</v>
      </c>
      <c r="I713" s="4">
        <v>25858</v>
      </c>
    </row>
    <row r="714" spans="1:9" x14ac:dyDescent="0.25">
      <c r="A714" s="2" t="s">
        <v>17</v>
      </c>
      <c r="B714" s="2">
        <v>1550</v>
      </c>
      <c r="C714" s="2">
        <v>4</v>
      </c>
      <c r="D714" s="2" t="s">
        <v>39</v>
      </c>
      <c r="E714" s="3">
        <v>44413</v>
      </c>
      <c r="F714" s="2" t="s">
        <v>87</v>
      </c>
      <c r="G714" s="2" t="s">
        <v>81</v>
      </c>
      <c r="H714" s="2" t="s">
        <v>44</v>
      </c>
      <c r="I714" s="4">
        <v>31569</v>
      </c>
    </row>
    <row r="715" spans="1:9" x14ac:dyDescent="0.25">
      <c r="A715" s="2" t="s">
        <v>17</v>
      </c>
      <c r="B715" s="2">
        <v>1550</v>
      </c>
      <c r="C715" s="2">
        <v>2</v>
      </c>
      <c r="D715" s="2" t="s">
        <v>38</v>
      </c>
      <c r="E715" s="3">
        <v>44314</v>
      </c>
      <c r="F715" s="2" t="s">
        <v>225</v>
      </c>
      <c r="G715" s="2" t="s">
        <v>86</v>
      </c>
      <c r="H715" s="2" t="s">
        <v>44</v>
      </c>
      <c r="I715" s="4">
        <v>32654</v>
      </c>
    </row>
    <row r="716" spans="1:9" x14ac:dyDescent="0.25">
      <c r="A716" s="2" t="s">
        <v>7</v>
      </c>
      <c r="B716" s="2">
        <v>750</v>
      </c>
      <c r="C716" s="2">
        <v>1</v>
      </c>
      <c r="D716" s="2" t="s">
        <v>40</v>
      </c>
      <c r="E716" s="3">
        <v>44307</v>
      </c>
      <c r="F716" s="2" t="s">
        <v>51</v>
      </c>
      <c r="G716" s="2" t="s">
        <v>515</v>
      </c>
      <c r="H716" s="2" t="s">
        <v>44</v>
      </c>
      <c r="I716" s="4">
        <v>27099</v>
      </c>
    </row>
    <row r="717" spans="1:9" x14ac:dyDescent="0.25">
      <c r="A717" s="2" t="s">
        <v>16</v>
      </c>
      <c r="B717" s="2">
        <v>1400</v>
      </c>
      <c r="C717" s="2">
        <v>4</v>
      </c>
      <c r="D717" s="2" t="s">
        <v>35</v>
      </c>
      <c r="E717" s="3">
        <v>44264</v>
      </c>
      <c r="F717" s="2" t="s">
        <v>284</v>
      </c>
      <c r="G717" s="2" t="s">
        <v>123</v>
      </c>
      <c r="H717" s="2" t="s">
        <v>49</v>
      </c>
      <c r="I717" s="4">
        <v>34041</v>
      </c>
    </row>
    <row r="718" spans="1:9" x14ac:dyDescent="0.25">
      <c r="A718" s="2" t="s">
        <v>15</v>
      </c>
      <c r="B718" s="2">
        <v>1900</v>
      </c>
      <c r="C718" s="2">
        <v>2</v>
      </c>
      <c r="D718" s="2" t="s">
        <v>29</v>
      </c>
      <c r="E718" s="3">
        <v>44446</v>
      </c>
      <c r="F718" s="2" t="s">
        <v>259</v>
      </c>
      <c r="G718" s="2" t="s">
        <v>238</v>
      </c>
      <c r="H718" s="2" t="s">
        <v>49</v>
      </c>
      <c r="I718" s="4">
        <v>33136</v>
      </c>
    </row>
    <row r="719" spans="1:9" x14ac:dyDescent="0.25">
      <c r="A719" s="2" t="s">
        <v>8</v>
      </c>
      <c r="B719" s="2">
        <v>5500</v>
      </c>
      <c r="C719" s="2">
        <v>4</v>
      </c>
      <c r="D719" s="2" t="s">
        <v>40</v>
      </c>
      <c r="E719" s="3">
        <v>44472</v>
      </c>
      <c r="F719" s="2" t="s">
        <v>137</v>
      </c>
      <c r="G719" s="2" t="s">
        <v>287</v>
      </c>
      <c r="H719" s="2" t="s">
        <v>49</v>
      </c>
      <c r="I719" s="4">
        <v>24974</v>
      </c>
    </row>
    <row r="720" spans="1:9" x14ac:dyDescent="0.25">
      <c r="A720" s="2" t="s">
        <v>16</v>
      </c>
      <c r="B720" s="2">
        <v>1400</v>
      </c>
      <c r="C720" s="2">
        <v>4</v>
      </c>
      <c r="D720" s="2" t="s">
        <v>31</v>
      </c>
      <c r="E720" s="3">
        <v>44378</v>
      </c>
      <c r="F720" s="2" t="s">
        <v>401</v>
      </c>
      <c r="G720" s="2" t="s">
        <v>172</v>
      </c>
      <c r="H720" s="2" t="s">
        <v>49</v>
      </c>
      <c r="I720" s="4">
        <v>21639</v>
      </c>
    </row>
    <row r="721" spans="1:9" x14ac:dyDescent="0.25">
      <c r="A721" s="2" t="s">
        <v>28</v>
      </c>
      <c r="B721" s="2">
        <v>1400</v>
      </c>
      <c r="C721" s="2">
        <v>3</v>
      </c>
      <c r="D721" s="2" t="s">
        <v>30</v>
      </c>
      <c r="E721" s="3">
        <v>44377</v>
      </c>
      <c r="F721" s="2" t="s">
        <v>134</v>
      </c>
      <c r="G721" s="2" t="s">
        <v>53</v>
      </c>
      <c r="H721" s="2" t="s">
        <v>49</v>
      </c>
      <c r="I721" s="4">
        <v>21232</v>
      </c>
    </row>
    <row r="722" spans="1:9" x14ac:dyDescent="0.25">
      <c r="A722" s="2" t="s">
        <v>7</v>
      </c>
      <c r="B722" s="2">
        <v>750</v>
      </c>
      <c r="C722" s="2">
        <v>4</v>
      </c>
      <c r="D722" s="2" t="s">
        <v>32</v>
      </c>
      <c r="E722" s="3">
        <v>44518</v>
      </c>
      <c r="F722" s="2" t="s">
        <v>92</v>
      </c>
      <c r="G722" s="2" t="s">
        <v>113</v>
      </c>
      <c r="H722" s="2" t="s">
        <v>44</v>
      </c>
      <c r="I722" s="4">
        <v>33586</v>
      </c>
    </row>
    <row r="723" spans="1:9" x14ac:dyDescent="0.25">
      <c r="A723" s="2" t="s">
        <v>26</v>
      </c>
      <c r="B723" s="2">
        <v>1100</v>
      </c>
      <c r="C723" s="2">
        <v>4</v>
      </c>
      <c r="D723" s="2" t="s">
        <v>32</v>
      </c>
      <c r="E723" s="3">
        <v>44487</v>
      </c>
      <c r="F723" s="2" t="s">
        <v>420</v>
      </c>
      <c r="G723" s="2" t="s">
        <v>421</v>
      </c>
      <c r="H723" s="2" t="s">
        <v>44</v>
      </c>
      <c r="I723" s="4">
        <v>36441</v>
      </c>
    </row>
    <row r="724" spans="1:9" x14ac:dyDescent="0.25">
      <c r="A724" s="2" t="s">
        <v>25</v>
      </c>
      <c r="B724" s="2">
        <v>2500</v>
      </c>
      <c r="C724" s="2">
        <v>3</v>
      </c>
      <c r="D724" s="2" t="s">
        <v>31</v>
      </c>
      <c r="E724" s="3">
        <v>44238</v>
      </c>
      <c r="F724" s="2" t="s">
        <v>399</v>
      </c>
      <c r="G724" s="2" t="s">
        <v>128</v>
      </c>
      <c r="H724" s="2" t="s">
        <v>44</v>
      </c>
      <c r="I724" s="4">
        <v>34836</v>
      </c>
    </row>
    <row r="725" spans="1:9" x14ac:dyDescent="0.25">
      <c r="A725" s="2" t="s">
        <v>12</v>
      </c>
      <c r="B725" s="2">
        <v>6500</v>
      </c>
      <c r="C725" s="2">
        <v>3</v>
      </c>
      <c r="D725" s="2" t="s">
        <v>29</v>
      </c>
      <c r="E725" s="3">
        <v>44389</v>
      </c>
      <c r="F725" s="2" t="s">
        <v>111</v>
      </c>
      <c r="G725" s="2" t="s">
        <v>238</v>
      </c>
      <c r="H725" s="2" t="s">
        <v>44</v>
      </c>
      <c r="I725" s="4">
        <v>22611</v>
      </c>
    </row>
    <row r="726" spans="1:9" x14ac:dyDescent="0.25">
      <c r="A726" s="2" t="s">
        <v>7</v>
      </c>
      <c r="B726" s="2">
        <v>750</v>
      </c>
      <c r="C726" s="2">
        <v>5</v>
      </c>
      <c r="D726" s="2" t="s">
        <v>30</v>
      </c>
      <c r="E726" s="3">
        <v>44287</v>
      </c>
      <c r="F726" s="2" t="s">
        <v>94</v>
      </c>
      <c r="G726" s="2" t="s">
        <v>407</v>
      </c>
      <c r="H726" s="2" t="s">
        <v>49</v>
      </c>
      <c r="I726" s="4">
        <v>30610</v>
      </c>
    </row>
    <row r="727" spans="1:9" x14ac:dyDescent="0.25">
      <c r="A727" s="2" t="s">
        <v>9</v>
      </c>
      <c r="B727" s="2">
        <v>1500</v>
      </c>
      <c r="C727" s="2">
        <v>1</v>
      </c>
      <c r="D727" s="2" t="s">
        <v>36</v>
      </c>
      <c r="E727" s="3">
        <v>44535</v>
      </c>
      <c r="F727" s="2" t="s">
        <v>175</v>
      </c>
      <c r="G727" s="2" t="s">
        <v>176</v>
      </c>
      <c r="H727" s="2" t="s">
        <v>49</v>
      </c>
      <c r="I727" s="4">
        <v>28801</v>
      </c>
    </row>
    <row r="728" spans="1:9" x14ac:dyDescent="0.25">
      <c r="A728" s="2" t="s">
        <v>26</v>
      </c>
      <c r="B728" s="2">
        <v>1100</v>
      </c>
      <c r="C728" s="2">
        <v>1</v>
      </c>
      <c r="D728" s="2" t="s">
        <v>34</v>
      </c>
      <c r="E728" s="3">
        <v>44322</v>
      </c>
      <c r="F728" s="2" t="s">
        <v>589</v>
      </c>
      <c r="G728" s="2" t="s">
        <v>46</v>
      </c>
      <c r="H728" s="2" t="s">
        <v>44</v>
      </c>
      <c r="I728" s="4">
        <v>20785</v>
      </c>
    </row>
    <row r="729" spans="1:9" x14ac:dyDescent="0.25">
      <c r="A729" s="2" t="s">
        <v>27</v>
      </c>
      <c r="B729" s="2">
        <v>1500</v>
      </c>
      <c r="C729" s="2">
        <v>1</v>
      </c>
      <c r="D729" s="2" t="s">
        <v>41</v>
      </c>
      <c r="E729" s="3">
        <v>44510</v>
      </c>
      <c r="F729" s="2" t="s">
        <v>225</v>
      </c>
      <c r="G729" s="2" t="s">
        <v>292</v>
      </c>
      <c r="H729" s="2" t="s">
        <v>44</v>
      </c>
      <c r="I729" s="4">
        <v>32316</v>
      </c>
    </row>
    <row r="730" spans="1:9" x14ac:dyDescent="0.25">
      <c r="A730" s="2" t="s">
        <v>14</v>
      </c>
      <c r="B730" s="2">
        <v>2000</v>
      </c>
      <c r="C730" s="2">
        <v>4</v>
      </c>
      <c r="D730" s="2" t="s">
        <v>40</v>
      </c>
      <c r="E730" s="3">
        <v>44463</v>
      </c>
      <c r="F730" s="2" t="s">
        <v>129</v>
      </c>
      <c r="G730" s="2" t="s">
        <v>273</v>
      </c>
      <c r="H730" s="2" t="s">
        <v>49</v>
      </c>
      <c r="I730" s="4">
        <v>25858</v>
      </c>
    </row>
    <row r="731" spans="1:9" x14ac:dyDescent="0.25">
      <c r="A731" s="2" t="s">
        <v>5</v>
      </c>
      <c r="B731" s="2">
        <v>1750</v>
      </c>
      <c r="C731" s="2">
        <v>3</v>
      </c>
      <c r="D731" s="2" t="s">
        <v>41</v>
      </c>
      <c r="E731" s="3">
        <v>44450</v>
      </c>
      <c r="F731" s="2" t="s">
        <v>70</v>
      </c>
      <c r="G731" s="2" t="s">
        <v>378</v>
      </c>
      <c r="H731" s="2" t="s">
        <v>44</v>
      </c>
      <c r="I731" s="4">
        <v>25605</v>
      </c>
    </row>
    <row r="732" spans="1:9" x14ac:dyDescent="0.25">
      <c r="A732" s="2" t="s">
        <v>25</v>
      </c>
      <c r="B732" s="2">
        <v>2500</v>
      </c>
      <c r="C732" s="2">
        <v>3</v>
      </c>
      <c r="D732" s="2" t="s">
        <v>38</v>
      </c>
      <c r="E732" s="3">
        <v>44421</v>
      </c>
      <c r="F732" s="2" t="s">
        <v>225</v>
      </c>
      <c r="G732" s="2" t="s">
        <v>86</v>
      </c>
      <c r="H732" s="2" t="s">
        <v>44</v>
      </c>
      <c r="I732" s="4">
        <v>32654</v>
      </c>
    </row>
    <row r="733" spans="1:9" x14ac:dyDescent="0.25">
      <c r="A733" s="2" t="s">
        <v>17</v>
      </c>
      <c r="B733" s="2">
        <v>1550</v>
      </c>
      <c r="C733" s="2">
        <v>4</v>
      </c>
      <c r="D733" s="2" t="s">
        <v>36</v>
      </c>
      <c r="E733" s="3">
        <v>44330</v>
      </c>
      <c r="F733" s="2" t="s">
        <v>486</v>
      </c>
      <c r="G733" s="2" t="s">
        <v>308</v>
      </c>
      <c r="H733" s="2" t="s">
        <v>44</v>
      </c>
      <c r="I733" s="4">
        <v>35988</v>
      </c>
    </row>
    <row r="734" spans="1:9" x14ac:dyDescent="0.25">
      <c r="A734" s="2" t="s">
        <v>14</v>
      </c>
      <c r="B734" s="2">
        <v>2000</v>
      </c>
      <c r="C734" s="2">
        <v>2</v>
      </c>
      <c r="D734" s="2" t="s">
        <v>30</v>
      </c>
      <c r="E734" s="3">
        <v>44417</v>
      </c>
      <c r="F734" s="2" t="s">
        <v>155</v>
      </c>
      <c r="G734" s="2" t="s">
        <v>63</v>
      </c>
      <c r="H734" s="2" t="s">
        <v>44</v>
      </c>
      <c r="I734" s="4">
        <v>24147</v>
      </c>
    </row>
    <row r="735" spans="1:9" x14ac:dyDescent="0.25">
      <c r="A735" s="2" t="s">
        <v>7</v>
      </c>
      <c r="B735" s="2">
        <v>750</v>
      </c>
      <c r="C735" s="2">
        <v>2</v>
      </c>
      <c r="D735" s="2" t="s">
        <v>29</v>
      </c>
      <c r="E735" s="3">
        <v>44237</v>
      </c>
      <c r="F735" s="2" t="s">
        <v>344</v>
      </c>
      <c r="G735" s="2" t="s">
        <v>345</v>
      </c>
      <c r="H735" s="2" t="s">
        <v>49</v>
      </c>
      <c r="I735" s="4">
        <v>31278</v>
      </c>
    </row>
    <row r="736" spans="1:9" x14ac:dyDescent="0.25">
      <c r="A736" s="2" t="s">
        <v>15</v>
      </c>
      <c r="B736" s="2">
        <v>1900</v>
      </c>
      <c r="C736" s="2">
        <v>1</v>
      </c>
      <c r="D736" s="2" t="s">
        <v>36</v>
      </c>
      <c r="E736" s="3">
        <v>44336</v>
      </c>
      <c r="F736" s="2" t="s">
        <v>155</v>
      </c>
      <c r="G736" s="2" t="s">
        <v>573</v>
      </c>
      <c r="H736" s="2" t="s">
        <v>44</v>
      </c>
      <c r="I736" s="4">
        <v>34059</v>
      </c>
    </row>
    <row r="737" spans="1:9" x14ac:dyDescent="0.25">
      <c r="A737" s="2" t="s">
        <v>5</v>
      </c>
      <c r="B737" s="2">
        <v>1750</v>
      </c>
      <c r="C737" s="2">
        <v>1</v>
      </c>
      <c r="D737" s="2" t="s">
        <v>29</v>
      </c>
      <c r="E737" s="3">
        <v>44363</v>
      </c>
      <c r="F737" s="2" t="s">
        <v>256</v>
      </c>
      <c r="G737" s="2" t="s">
        <v>292</v>
      </c>
      <c r="H737" s="2" t="s">
        <v>44</v>
      </c>
      <c r="I737" s="4">
        <v>25098</v>
      </c>
    </row>
    <row r="738" spans="1:9" x14ac:dyDescent="0.25">
      <c r="A738" s="2" t="s">
        <v>18</v>
      </c>
      <c r="B738" s="2">
        <v>3000</v>
      </c>
      <c r="C738" s="2">
        <v>3</v>
      </c>
      <c r="D738" s="2" t="s">
        <v>37</v>
      </c>
      <c r="E738" s="3">
        <v>44555</v>
      </c>
      <c r="F738" s="2" t="s">
        <v>120</v>
      </c>
      <c r="G738" s="2" t="s">
        <v>171</v>
      </c>
      <c r="H738" s="2" t="s">
        <v>44</v>
      </c>
      <c r="I738" s="4">
        <v>26468</v>
      </c>
    </row>
    <row r="739" spans="1:9" x14ac:dyDescent="0.25">
      <c r="A739" s="2" t="s">
        <v>23</v>
      </c>
      <c r="B739" s="2">
        <v>1500</v>
      </c>
      <c r="C739" s="2">
        <v>5</v>
      </c>
      <c r="D739" s="2" t="s">
        <v>40</v>
      </c>
      <c r="E739" s="3">
        <v>44263</v>
      </c>
      <c r="F739" s="2" t="s">
        <v>173</v>
      </c>
      <c r="G739" s="2" t="s">
        <v>480</v>
      </c>
      <c r="H739" s="2" t="s">
        <v>44</v>
      </c>
      <c r="I739" s="4">
        <v>28612</v>
      </c>
    </row>
    <row r="740" spans="1:9" x14ac:dyDescent="0.25">
      <c r="A740" s="2" t="s">
        <v>17</v>
      </c>
      <c r="B740" s="2">
        <v>1550</v>
      </c>
      <c r="C740" s="2">
        <v>2</v>
      </c>
      <c r="D740" s="2" t="s">
        <v>39</v>
      </c>
      <c r="E740" s="3">
        <v>44452</v>
      </c>
      <c r="F740" s="2" t="s">
        <v>131</v>
      </c>
      <c r="G740" s="2" t="s">
        <v>189</v>
      </c>
      <c r="H740" s="2" t="s">
        <v>44</v>
      </c>
      <c r="I740" s="4">
        <v>22252</v>
      </c>
    </row>
    <row r="741" spans="1:9" x14ac:dyDescent="0.25">
      <c r="A741" s="2" t="s">
        <v>24</v>
      </c>
      <c r="B741" s="2">
        <v>2000</v>
      </c>
      <c r="C741" s="2">
        <v>4</v>
      </c>
      <c r="D741" s="2" t="s">
        <v>38</v>
      </c>
      <c r="E741" s="3">
        <v>44341</v>
      </c>
      <c r="F741" s="2" t="s">
        <v>216</v>
      </c>
      <c r="G741" s="2" t="s">
        <v>442</v>
      </c>
      <c r="H741" s="2" t="s">
        <v>44</v>
      </c>
      <c r="I741" s="4">
        <v>27664</v>
      </c>
    </row>
    <row r="742" spans="1:9" x14ac:dyDescent="0.25">
      <c r="A742" s="2" t="s">
        <v>11</v>
      </c>
      <c r="B742" s="2">
        <v>4500</v>
      </c>
      <c r="C742" s="2">
        <v>2</v>
      </c>
      <c r="D742" s="2" t="s">
        <v>31</v>
      </c>
      <c r="E742" s="3">
        <v>44438</v>
      </c>
      <c r="F742" s="2" t="s">
        <v>98</v>
      </c>
      <c r="G742" s="2" t="s">
        <v>246</v>
      </c>
      <c r="H742" s="2" t="s">
        <v>44</v>
      </c>
      <c r="I742" s="4">
        <v>36854</v>
      </c>
    </row>
    <row r="743" spans="1:9" x14ac:dyDescent="0.25">
      <c r="A743" s="2" t="s">
        <v>6</v>
      </c>
      <c r="B743" s="2">
        <v>1200</v>
      </c>
      <c r="C743" s="2">
        <v>3</v>
      </c>
      <c r="D743" s="2" t="s">
        <v>41</v>
      </c>
      <c r="E743" s="3">
        <v>44487</v>
      </c>
      <c r="F743" s="2" t="s">
        <v>74</v>
      </c>
      <c r="G743" s="2" t="s">
        <v>606</v>
      </c>
      <c r="H743" s="2" t="s">
        <v>44</v>
      </c>
      <c r="I743" s="4">
        <v>21824</v>
      </c>
    </row>
    <row r="744" spans="1:9" x14ac:dyDescent="0.25">
      <c r="A744" s="2" t="s">
        <v>23</v>
      </c>
      <c r="B744" s="2">
        <v>1500</v>
      </c>
      <c r="C744" s="2">
        <v>3</v>
      </c>
      <c r="D744" s="2" t="s">
        <v>36</v>
      </c>
      <c r="E744" s="3">
        <v>44377</v>
      </c>
      <c r="F744" s="2" t="s">
        <v>304</v>
      </c>
      <c r="G744" s="2" t="s">
        <v>513</v>
      </c>
      <c r="H744" s="2" t="s">
        <v>44</v>
      </c>
      <c r="I744" s="4">
        <v>24514</v>
      </c>
    </row>
    <row r="745" spans="1:9" x14ac:dyDescent="0.25">
      <c r="A745" s="2" t="s">
        <v>25</v>
      </c>
      <c r="B745" s="2">
        <v>2500</v>
      </c>
      <c r="C745" s="2">
        <v>2</v>
      </c>
      <c r="D745" s="2" t="s">
        <v>29</v>
      </c>
      <c r="E745" s="3">
        <v>44215</v>
      </c>
      <c r="F745" s="2" t="s">
        <v>134</v>
      </c>
      <c r="G745" s="2" t="s">
        <v>351</v>
      </c>
      <c r="H745" s="2" t="s">
        <v>49</v>
      </c>
      <c r="I745" s="4">
        <v>26735</v>
      </c>
    </row>
    <row r="746" spans="1:9" x14ac:dyDescent="0.25">
      <c r="A746" s="2" t="s">
        <v>9</v>
      </c>
      <c r="B746" s="2">
        <v>1500</v>
      </c>
      <c r="C746" s="2">
        <v>3</v>
      </c>
      <c r="D746" s="2" t="s">
        <v>34</v>
      </c>
      <c r="E746" s="3">
        <v>44389</v>
      </c>
      <c r="F746" s="2" t="s">
        <v>51</v>
      </c>
      <c r="G746" s="2" t="s">
        <v>55</v>
      </c>
      <c r="H746" s="2" t="s">
        <v>44</v>
      </c>
      <c r="I746" s="4">
        <v>32196</v>
      </c>
    </row>
    <row r="747" spans="1:9" x14ac:dyDescent="0.25">
      <c r="A747" s="2" t="s">
        <v>14</v>
      </c>
      <c r="B747" s="2">
        <v>2000</v>
      </c>
      <c r="C747" s="2">
        <v>1</v>
      </c>
      <c r="D747" s="2" t="s">
        <v>36</v>
      </c>
      <c r="E747" s="3">
        <v>44483</v>
      </c>
      <c r="F747" s="2" t="s">
        <v>579</v>
      </c>
      <c r="G747" s="2" t="s">
        <v>449</v>
      </c>
      <c r="H747" s="2" t="s">
        <v>49</v>
      </c>
      <c r="I747" s="4">
        <v>24093</v>
      </c>
    </row>
    <row r="748" spans="1:9" x14ac:dyDescent="0.25">
      <c r="A748" s="2" t="s">
        <v>19</v>
      </c>
      <c r="B748" s="2">
        <v>700</v>
      </c>
      <c r="C748" s="2">
        <v>1</v>
      </c>
      <c r="D748" s="2" t="s">
        <v>40</v>
      </c>
      <c r="E748" s="3">
        <v>44285</v>
      </c>
      <c r="F748" s="2" t="s">
        <v>540</v>
      </c>
      <c r="G748" s="2" t="s">
        <v>75</v>
      </c>
      <c r="H748" s="2" t="s">
        <v>44</v>
      </c>
      <c r="I748" s="4">
        <v>25430</v>
      </c>
    </row>
    <row r="749" spans="1:9" x14ac:dyDescent="0.25">
      <c r="A749" s="2" t="s">
        <v>26</v>
      </c>
      <c r="B749" s="2">
        <v>1100</v>
      </c>
      <c r="C749" s="2">
        <v>1</v>
      </c>
      <c r="D749" s="2" t="s">
        <v>31</v>
      </c>
      <c r="E749" s="3">
        <v>44546</v>
      </c>
      <c r="F749" s="2" t="s">
        <v>107</v>
      </c>
      <c r="G749" s="2" t="s">
        <v>205</v>
      </c>
      <c r="H749" s="2" t="s">
        <v>49</v>
      </c>
      <c r="I749" s="4">
        <v>31963</v>
      </c>
    </row>
    <row r="750" spans="1:9" x14ac:dyDescent="0.25">
      <c r="A750" s="2" t="s">
        <v>19</v>
      </c>
      <c r="B750" s="2">
        <v>700</v>
      </c>
      <c r="C750" s="2">
        <v>5</v>
      </c>
      <c r="D750" s="2" t="s">
        <v>41</v>
      </c>
      <c r="E750" s="3">
        <v>44475</v>
      </c>
      <c r="F750" s="2" t="s">
        <v>221</v>
      </c>
      <c r="G750" s="2" t="s">
        <v>222</v>
      </c>
      <c r="H750" s="2" t="s">
        <v>44</v>
      </c>
      <c r="I750" s="4">
        <v>35083</v>
      </c>
    </row>
    <row r="751" spans="1:9" x14ac:dyDescent="0.25">
      <c r="A751" s="2" t="s">
        <v>9</v>
      </c>
      <c r="B751" s="2">
        <v>1500</v>
      </c>
      <c r="C751" s="2">
        <v>2</v>
      </c>
      <c r="D751" s="2" t="s">
        <v>36</v>
      </c>
      <c r="E751" s="3">
        <v>44380</v>
      </c>
      <c r="F751" s="2" t="s">
        <v>87</v>
      </c>
      <c r="G751" s="2" t="s">
        <v>588</v>
      </c>
      <c r="H751" s="2" t="s">
        <v>44</v>
      </c>
      <c r="I751" s="4">
        <v>28528</v>
      </c>
    </row>
    <row r="752" spans="1:9" x14ac:dyDescent="0.25">
      <c r="A752" s="2" t="s">
        <v>12</v>
      </c>
      <c r="B752" s="2">
        <v>6500</v>
      </c>
      <c r="C752" s="2">
        <v>2</v>
      </c>
      <c r="D752" s="2" t="s">
        <v>34</v>
      </c>
      <c r="E752" s="3">
        <v>44496</v>
      </c>
      <c r="F752" s="2" t="s">
        <v>78</v>
      </c>
      <c r="G752" s="2" t="s">
        <v>79</v>
      </c>
      <c r="H752" s="2" t="s">
        <v>49</v>
      </c>
      <c r="I752" s="4">
        <v>36540</v>
      </c>
    </row>
    <row r="753" spans="1:9" x14ac:dyDescent="0.25">
      <c r="A753" s="2" t="s">
        <v>24</v>
      </c>
      <c r="B753" s="2">
        <v>2000</v>
      </c>
      <c r="C753" s="2">
        <v>5</v>
      </c>
      <c r="D753" s="2" t="s">
        <v>33</v>
      </c>
      <c r="E753" s="3">
        <v>44489</v>
      </c>
      <c r="F753" s="2" t="s">
        <v>161</v>
      </c>
      <c r="G753" s="2" t="s">
        <v>149</v>
      </c>
      <c r="H753" s="2" t="s">
        <v>49</v>
      </c>
      <c r="I753" s="4">
        <v>33864</v>
      </c>
    </row>
    <row r="754" spans="1:9" x14ac:dyDescent="0.25">
      <c r="A754" s="2" t="s">
        <v>6</v>
      </c>
      <c r="B754" s="2">
        <v>1200</v>
      </c>
      <c r="C754" s="2">
        <v>2</v>
      </c>
      <c r="D754" s="2" t="s">
        <v>38</v>
      </c>
      <c r="E754" s="3">
        <v>44445</v>
      </c>
      <c r="F754" s="2" t="s">
        <v>312</v>
      </c>
      <c r="G754" s="2" t="s">
        <v>411</v>
      </c>
      <c r="H754" s="2" t="s">
        <v>49</v>
      </c>
      <c r="I754" s="4">
        <v>26225</v>
      </c>
    </row>
    <row r="755" spans="1:9" x14ac:dyDescent="0.25">
      <c r="A755" s="2" t="s">
        <v>19</v>
      </c>
      <c r="B755" s="2">
        <v>700</v>
      </c>
      <c r="C755" s="2">
        <v>1</v>
      </c>
      <c r="D755" s="2" t="s">
        <v>35</v>
      </c>
      <c r="E755" s="3">
        <v>44223</v>
      </c>
      <c r="F755" s="2" t="s">
        <v>140</v>
      </c>
      <c r="G755" s="2" t="s">
        <v>297</v>
      </c>
      <c r="H755" s="2" t="s">
        <v>49</v>
      </c>
      <c r="I755" s="4">
        <v>20819</v>
      </c>
    </row>
    <row r="756" spans="1:9" x14ac:dyDescent="0.25">
      <c r="A756" s="2" t="s">
        <v>14</v>
      </c>
      <c r="B756" s="2">
        <v>2000</v>
      </c>
      <c r="C756" s="2">
        <v>5</v>
      </c>
      <c r="D756" s="2" t="s">
        <v>41</v>
      </c>
      <c r="E756" s="3">
        <v>44266</v>
      </c>
      <c r="F756" s="2" t="s">
        <v>216</v>
      </c>
      <c r="G756" s="2" t="s">
        <v>195</v>
      </c>
      <c r="H756" s="2" t="s">
        <v>44</v>
      </c>
      <c r="I756" s="4">
        <v>29130</v>
      </c>
    </row>
    <row r="757" spans="1:9" x14ac:dyDescent="0.25">
      <c r="A757" s="2" t="s">
        <v>14</v>
      </c>
      <c r="B757" s="2">
        <v>2000</v>
      </c>
      <c r="C757" s="2">
        <v>3</v>
      </c>
      <c r="D757" s="2" t="s">
        <v>36</v>
      </c>
      <c r="E757" s="3">
        <v>44361</v>
      </c>
      <c r="F757" s="2" t="s">
        <v>85</v>
      </c>
      <c r="G757" s="2" t="s">
        <v>86</v>
      </c>
      <c r="H757" s="2" t="s">
        <v>49</v>
      </c>
      <c r="I757" s="4">
        <v>22416</v>
      </c>
    </row>
    <row r="758" spans="1:9" x14ac:dyDescent="0.25">
      <c r="A758" s="2" t="s">
        <v>21</v>
      </c>
      <c r="B758" s="2">
        <v>2400</v>
      </c>
      <c r="C758" s="2">
        <v>2</v>
      </c>
      <c r="D758" s="2" t="s">
        <v>29</v>
      </c>
      <c r="E758" s="3">
        <v>44558</v>
      </c>
      <c r="F758" s="2" t="s">
        <v>367</v>
      </c>
      <c r="G758" s="2" t="s">
        <v>63</v>
      </c>
      <c r="H758" s="2" t="s">
        <v>49</v>
      </c>
      <c r="I758" s="4">
        <v>31075</v>
      </c>
    </row>
    <row r="759" spans="1:9" x14ac:dyDescent="0.25">
      <c r="A759" s="2" t="s">
        <v>20</v>
      </c>
      <c r="B759" s="2">
        <v>2600</v>
      </c>
      <c r="C759" s="2">
        <v>3</v>
      </c>
      <c r="D759" s="2" t="s">
        <v>29</v>
      </c>
      <c r="E759" s="3">
        <v>44300</v>
      </c>
      <c r="F759" s="2" t="s">
        <v>216</v>
      </c>
      <c r="G759" s="2" t="s">
        <v>174</v>
      </c>
      <c r="H759" s="2" t="s">
        <v>44</v>
      </c>
      <c r="I759" s="4">
        <v>32465</v>
      </c>
    </row>
    <row r="760" spans="1:9" x14ac:dyDescent="0.25">
      <c r="A760" s="2" t="s">
        <v>28</v>
      </c>
      <c r="B760" s="2">
        <v>1400</v>
      </c>
      <c r="C760" s="2">
        <v>5</v>
      </c>
      <c r="D760" s="2" t="s">
        <v>31</v>
      </c>
      <c r="E760" s="3">
        <v>44288</v>
      </c>
      <c r="F760" s="2" t="s">
        <v>98</v>
      </c>
      <c r="G760" s="2" t="s">
        <v>508</v>
      </c>
      <c r="H760" s="2" t="s">
        <v>44</v>
      </c>
      <c r="I760" s="4">
        <v>33252</v>
      </c>
    </row>
    <row r="761" spans="1:9" x14ac:dyDescent="0.25">
      <c r="A761" s="2" t="s">
        <v>23</v>
      </c>
      <c r="B761" s="2">
        <v>1500</v>
      </c>
      <c r="C761" s="2">
        <v>2</v>
      </c>
      <c r="D761" s="2" t="s">
        <v>30</v>
      </c>
      <c r="E761" s="3">
        <v>44422</v>
      </c>
      <c r="F761" s="2" t="s">
        <v>260</v>
      </c>
      <c r="G761" s="2" t="s">
        <v>261</v>
      </c>
      <c r="H761" s="2" t="s">
        <v>49</v>
      </c>
      <c r="I761" s="4">
        <v>33035</v>
      </c>
    </row>
    <row r="762" spans="1:9" x14ac:dyDescent="0.25">
      <c r="A762" s="2" t="s">
        <v>14</v>
      </c>
      <c r="B762" s="2">
        <v>2000</v>
      </c>
      <c r="C762" s="2">
        <v>2</v>
      </c>
      <c r="D762" s="2" t="s">
        <v>34</v>
      </c>
      <c r="E762" s="3">
        <v>44527</v>
      </c>
      <c r="F762" s="2" t="s">
        <v>98</v>
      </c>
      <c r="G762" s="2" t="s">
        <v>213</v>
      </c>
      <c r="H762" s="2" t="s">
        <v>44</v>
      </c>
      <c r="I762" s="4">
        <v>23276</v>
      </c>
    </row>
    <row r="763" spans="1:9" x14ac:dyDescent="0.25">
      <c r="A763" s="2" t="s">
        <v>26</v>
      </c>
      <c r="B763" s="2">
        <v>1100</v>
      </c>
      <c r="C763" s="2">
        <v>3</v>
      </c>
      <c r="D763" s="2" t="s">
        <v>41</v>
      </c>
      <c r="E763" s="3">
        <v>44407</v>
      </c>
      <c r="F763" s="2" t="s">
        <v>66</v>
      </c>
      <c r="G763" s="2" t="s">
        <v>69</v>
      </c>
      <c r="H763" s="2" t="s">
        <v>44</v>
      </c>
      <c r="I763" s="4">
        <v>35823</v>
      </c>
    </row>
    <row r="764" spans="1:9" x14ac:dyDescent="0.25">
      <c r="A764" s="2" t="s">
        <v>24</v>
      </c>
      <c r="B764" s="2">
        <v>2000</v>
      </c>
      <c r="C764" s="2">
        <v>3</v>
      </c>
      <c r="D764" s="2" t="s">
        <v>38</v>
      </c>
      <c r="E764" s="3">
        <v>44418</v>
      </c>
      <c r="F764" s="2" t="s">
        <v>51</v>
      </c>
      <c r="G764" s="2" t="s">
        <v>412</v>
      </c>
      <c r="H764" s="2" t="s">
        <v>44</v>
      </c>
      <c r="I764" s="4">
        <v>32482</v>
      </c>
    </row>
    <row r="765" spans="1:9" x14ac:dyDescent="0.25">
      <c r="A765" s="2" t="s">
        <v>6</v>
      </c>
      <c r="B765" s="2">
        <v>1200</v>
      </c>
      <c r="C765" s="2">
        <v>1</v>
      </c>
      <c r="D765" s="2" t="s">
        <v>29</v>
      </c>
      <c r="E765" s="3">
        <v>44465</v>
      </c>
      <c r="F765" s="2" t="s">
        <v>394</v>
      </c>
      <c r="G765" s="2" t="s">
        <v>526</v>
      </c>
      <c r="H765" s="2" t="s">
        <v>49</v>
      </c>
      <c r="I765" s="4">
        <v>28317</v>
      </c>
    </row>
    <row r="766" spans="1:9" x14ac:dyDescent="0.25">
      <c r="A766" s="2" t="s">
        <v>21</v>
      </c>
      <c r="B766" s="2">
        <v>2400</v>
      </c>
      <c r="C766" s="2">
        <v>5</v>
      </c>
      <c r="D766" s="2" t="s">
        <v>29</v>
      </c>
      <c r="E766" s="3">
        <v>44449</v>
      </c>
      <c r="F766" s="2" t="s">
        <v>107</v>
      </c>
      <c r="G766" s="2" t="s">
        <v>384</v>
      </c>
      <c r="H766" s="2" t="s">
        <v>49</v>
      </c>
      <c r="I766" s="4">
        <v>27776</v>
      </c>
    </row>
    <row r="767" spans="1:9" x14ac:dyDescent="0.25">
      <c r="A767" s="2" t="s">
        <v>16</v>
      </c>
      <c r="B767" s="2">
        <v>1400</v>
      </c>
      <c r="C767" s="2">
        <v>1</v>
      </c>
      <c r="D767" s="2" t="s">
        <v>29</v>
      </c>
      <c r="E767" s="3">
        <v>44531</v>
      </c>
      <c r="F767" s="2" t="s">
        <v>196</v>
      </c>
      <c r="G767" s="2" t="s">
        <v>197</v>
      </c>
      <c r="H767" s="2" t="s">
        <v>44</v>
      </c>
      <c r="I767" s="4">
        <v>29458</v>
      </c>
    </row>
    <row r="768" spans="1:9" x14ac:dyDescent="0.25">
      <c r="A768" s="2" t="s">
        <v>5</v>
      </c>
      <c r="B768" s="2">
        <v>1750</v>
      </c>
      <c r="C768" s="2">
        <v>2</v>
      </c>
      <c r="D768" s="2" t="s">
        <v>31</v>
      </c>
      <c r="E768" s="3">
        <v>44522</v>
      </c>
      <c r="F768" s="2" t="s">
        <v>239</v>
      </c>
      <c r="G768" s="2" t="s">
        <v>501</v>
      </c>
      <c r="H768" s="2" t="s">
        <v>49</v>
      </c>
      <c r="I768" s="4">
        <v>20916</v>
      </c>
    </row>
    <row r="769" spans="1:9" x14ac:dyDescent="0.25">
      <c r="A769" s="2" t="s">
        <v>20</v>
      </c>
      <c r="B769" s="2">
        <v>2600</v>
      </c>
      <c r="C769" s="2">
        <v>3</v>
      </c>
      <c r="D769" s="2" t="s">
        <v>38</v>
      </c>
      <c r="E769" s="3">
        <v>44381</v>
      </c>
      <c r="F769" s="2" t="s">
        <v>216</v>
      </c>
      <c r="G769" s="2" t="s">
        <v>502</v>
      </c>
      <c r="H769" s="2" t="s">
        <v>44</v>
      </c>
      <c r="I769" s="4">
        <v>18757</v>
      </c>
    </row>
    <row r="770" spans="1:9" x14ac:dyDescent="0.25">
      <c r="A770" s="2" t="s">
        <v>6</v>
      </c>
      <c r="B770" s="2">
        <v>1200</v>
      </c>
      <c r="C770" s="2">
        <v>2</v>
      </c>
      <c r="D770" s="2" t="s">
        <v>29</v>
      </c>
      <c r="E770" s="3">
        <v>44262</v>
      </c>
      <c r="F770" s="2" t="s">
        <v>87</v>
      </c>
      <c r="G770" s="2" t="s">
        <v>77</v>
      </c>
      <c r="H770" s="2" t="s">
        <v>44</v>
      </c>
      <c r="I770" s="4">
        <v>21522</v>
      </c>
    </row>
    <row r="771" spans="1:9" x14ac:dyDescent="0.25">
      <c r="A771" s="2" t="s">
        <v>17</v>
      </c>
      <c r="B771" s="2">
        <v>1550</v>
      </c>
      <c r="C771" s="2">
        <v>3</v>
      </c>
      <c r="D771" s="2" t="s">
        <v>32</v>
      </c>
      <c r="E771" s="3">
        <v>44510</v>
      </c>
      <c r="F771" s="2" t="s">
        <v>185</v>
      </c>
      <c r="G771" s="2" t="s">
        <v>186</v>
      </c>
      <c r="H771" s="2" t="s">
        <v>44</v>
      </c>
      <c r="I771" s="4">
        <v>21561</v>
      </c>
    </row>
    <row r="772" spans="1:9" x14ac:dyDescent="0.25">
      <c r="A772" s="2" t="s">
        <v>26</v>
      </c>
      <c r="B772" s="2">
        <v>1100</v>
      </c>
      <c r="C772" s="2">
        <v>4</v>
      </c>
      <c r="D772" s="2" t="s">
        <v>39</v>
      </c>
      <c r="E772" s="3">
        <v>44421</v>
      </c>
      <c r="F772" s="2" t="s">
        <v>87</v>
      </c>
      <c r="G772" s="2" t="s">
        <v>81</v>
      </c>
      <c r="H772" s="2" t="s">
        <v>44</v>
      </c>
      <c r="I772" s="4">
        <v>31569</v>
      </c>
    </row>
    <row r="773" spans="1:9" x14ac:dyDescent="0.25">
      <c r="A773" s="2" t="s">
        <v>8</v>
      </c>
      <c r="B773" s="2">
        <v>5500</v>
      </c>
      <c r="C773" s="2">
        <v>1</v>
      </c>
      <c r="D773" s="2" t="s">
        <v>34</v>
      </c>
      <c r="E773" s="3">
        <v>44547</v>
      </c>
      <c r="F773" s="2" t="s">
        <v>165</v>
      </c>
      <c r="G773" s="2" t="s">
        <v>266</v>
      </c>
      <c r="H773" s="2" t="s">
        <v>49</v>
      </c>
      <c r="I773" s="4">
        <v>21774</v>
      </c>
    </row>
    <row r="774" spans="1:9" x14ac:dyDescent="0.25">
      <c r="A774" s="2" t="s">
        <v>20</v>
      </c>
      <c r="B774" s="2">
        <v>2600</v>
      </c>
      <c r="C774" s="2">
        <v>4</v>
      </c>
      <c r="D774" s="2" t="s">
        <v>31</v>
      </c>
      <c r="E774" s="3">
        <v>44316</v>
      </c>
      <c r="F774" s="2" t="s">
        <v>460</v>
      </c>
      <c r="G774" s="2" t="s">
        <v>308</v>
      </c>
      <c r="H774" s="2" t="s">
        <v>49</v>
      </c>
      <c r="I774" s="4">
        <v>25392</v>
      </c>
    </row>
    <row r="775" spans="1:9" x14ac:dyDescent="0.25">
      <c r="A775" s="2" t="s">
        <v>19</v>
      </c>
      <c r="B775" s="2">
        <v>700</v>
      </c>
      <c r="C775" s="2">
        <v>1</v>
      </c>
      <c r="D775" s="2" t="s">
        <v>34</v>
      </c>
      <c r="E775" s="3">
        <v>44516</v>
      </c>
      <c r="F775" s="2" t="s">
        <v>170</v>
      </c>
      <c r="G775" s="2" t="s">
        <v>325</v>
      </c>
      <c r="H775" s="2" t="s">
        <v>44</v>
      </c>
      <c r="I775" s="4">
        <v>31764</v>
      </c>
    </row>
    <row r="776" spans="1:9" x14ac:dyDescent="0.25">
      <c r="A776" s="2" t="s">
        <v>27</v>
      </c>
      <c r="B776" s="2">
        <v>1500</v>
      </c>
      <c r="C776" s="2">
        <v>5</v>
      </c>
      <c r="D776" s="2" t="s">
        <v>35</v>
      </c>
      <c r="E776" s="3">
        <v>44370</v>
      </c>
      <c r="F776" s="2" t="s">
        <v>401</v>
      </c>
      <c r="G776" s="2" t="s">
        <v>292</v>
      </c>
      <c r="H776" s="2" t="s">
        <v>49</v>
      </c>
      <c r="I776" s="4">
        <v>21420</v>
      </c>
    </row>
    <row r="777" spans="1:9" x14ac:dyDescent="0.25">
      <c r="A777" s="2" t="s">
        <v>5</v>
      </c>
      <c r="B777" s="2">
        <v>1750</v>
      </c>
      <c r="C777" s="2">
        <v>3</v>
      </c>
      <c r="D777" s="2" t="s">
        <v>35</v>
      </c>
      <c r="E777" s="3">
        <v>44546</v>
      </c>
      <c r="F777" s="2" t="s">
        <v>377</v>
      </c>
      <c r="G777" s="2" t="s">
        <v>378</v>
      </c>
      <c r="H777" s="2" t="s">
        <v>49</v>
      </c>
      <c r="I777" s="4">
        <v>21305</v>
      </c>
    </row>
    <row r="778" spans="1:9" x14ac:dyDescent="0.25">
      <c r="A778" s="2" t="s">
        <v>28</v>
      </c>
      <c r="B778" s="2">
        <v>1400</v>
      </c>
      <c r="C778" s="2">
        <v>5</v>
      </c>
      <c r="D778" s="2" t="s">
        <v>35</v>
      </c>
      <c r="E778" s="3">
        <v>44392</v>
      </c>
      <c r="F778" s="2" t="s">
        <v>335</v>
      </c>
      <c r="G778" s="2" t="s">
        <v>530</v>
      </c>
      <c r="H778" s="2" t="s">
        <v>49</v>
      </c>
      <c r="I778" s="4">
        <v>36734</v>
      </c>
    </row>
    <row r="779" spans="1:9" x14ac:dyDescent="0.25">
      <c r="A779" s="2" t="s">
        <v>17</v>
      </c>
      <c r="B779" s="2">
        <v>1550</v>
      </c>
      <c r="C779" s="2">
        <v>3</v>
      </c>
      <c r="D779" s="2" t="s">
        <v>41</v>
      </c>
      <c r="E779" s="3">
        <v>44233</v>
      </c>
      <c r="F779" s="2" t="s">
        <v>177</v>
      </c>
      <c r="G779" s="2" t="s">
        <v>543</v>
      </c>
      <c r="H779" s="2" t="s">
        <v>49</v>
      </c>
      <c r="I779" s="4">
        <v>34433</v>
      </c>
    </row>
    <row r="780" spans="1:9" x14ac:dyDescent="0.25">
      <c r="A780" s="2" t="s">
        <v>10</v>
      </c>
      <c r="B780" s="2">
        <v>1450</v>
      </c>
      <c r="C780" s="2">
        <v>5</v>
      </c>
      <c r="D780" s="2" t="s">
        <v>36</v>
      </c>
      <c r="E780" s="3">
        <v>44363</v>
      </c>
      <c r="F780" s="2" t="s">
        <v>87</v>
      </c>
      <c r="G780" s="2" t="s">
        <v>588</v>
      </c>
      <c r="H780" s="2" t="s">
        <v>44</v>
      </c>
      <c r="I780" s="4">
        <v>28528</v>
      </c>
    </row>
    <row r="781" spans="1:9" x14ac:dyDescent="0.25">
      <c r="A781" s="2" t="s">
        <v>17</v>
      </c>
      <c r="B781" s="2">
        <v>1550</v>
      </c>
      <c r="C781" s="2">
        <v>5</v>
      </c>
      <c r="D781" s="2" t="s">
        <v>29</v>
      </c>
      <c r="E781" s="3">
        <v>44326</v>
      </c>
      <c r="F781" s="2" t="s">
        <v>479</v>
      </c>
      <c r="G781" s="2" t="s">
        <v>75</v>
      </c>
      <c r="H781" s="2" t="s">
        <v>49</v>
      </c>
      <c r="I781" s="4">
        <v>26199</v>
      </c>
    </row>
    <row r="782" spans="1:9" x14ac:dyDescent="0.25">
      <c r="A782" s="2" t="s">
        <v>17</v>
      </c>
      <c r="B782" s="2">
        <v>1550</v>
      </c>
      <c r="C782" s="2">
        <v>5</v>
      </c>
      <c r="D782" s="2" t="s">
        <v>33</v>
      </c>
      <c r="E782" s="3">
        <v>44409</v>
      </c>
      <c r="F782" s="2" t="s">
        <v>116</v>
      </c>
      <c r="G782" s="2" t="s">
        <v>117</v>
      </c>
      <c r="H782" s="2" t="s">
        <v>44</v>
      </c>
      <c r="I782" s="4">
        <v>27681</v>
      </c>
    </row>
    <row r="783" spans="1:9" x14ac:dyDescent="0.25">
      <c r="A783" s="2" t="s">
        <v>28</v>
      </c>
      <c r="B783" s="2">
        <v>1400</v>
      </c>
      <c r="C783" s="2">
        <v>4</v>
      </c>
      <c r="D783" s="2" t="s">
        <v>34</v>
      </c>
      <c r="E783" s="3">
        <v>44208</v>
      </c>
      <c r="F783" s="2" t="s">
        <v>256</v>
      </c>
      <c r="G783" s="2" t="s">
        <v>468</v>
      </c>
      <c r="H783" s="2" t="s">
        <v>44</v>
      </c>
      <c r="I783" s="4">
        <v>32705</v>
      </c>
    </row>
    <row r="784" spans="1:9" x14ac:dyDescent="0.25">
      <c r="A784" s="2" t="s">
        <v>21</v>
      </c>
      <c r="B784" s="2">
        <v>2400</v>
      </c>
      <c r="C784" s="2">
        <v>3</v>
      </c>
      <c r="D784" s="2" t="s">
        <v>38</v>
      </c>
      <c r="E784" s="3">
        <v>44359</v>
      </c>
      <c r="F784" s="2" t="s">
        <v>258</v>
      </c>
      <c r="G784" s="2" t="s">
        <v>81</v>
      </c>
      <c r="H784" s="2" t="s">
        <v>49</v>
      </c>
      <c r="I784" s="4">
        <v>33726</v>
      </c>
    </row>
    <row r="785" spans="1:9" x14ac:dyDescent="0.25">
      <c r="A785" s="2" t="s">
        <v>20</v>
      </c>
      <c r="B785" s="2">
        <v>2600</v>
      </c>
      <c r="C785" s="2">
        <v>5</v>
      </c>
      <c r="D785" s="2" t="s">
        <v>30</v>
      </c>
      <c r="E785" s="3">
        <v>44286</v>
      </c>
      <c r="F785" s="2" t="s">
        <v>402</v>
      </c>
      <c r="G785" s="2" t="s">
        <v>205</v>
      </c>
      <c r="H785" s="2" t="s">
        <v>49</v>
      </c>
      <c r="I785" s="4">
        <v>26319</v>
      </c>
    </row>
    <row r="786" spans="1:9" x14ac:dyDescent="0.25">
      <c r="A786" s="2" t="s">
        <v>28</v>
      </c>
      <c r="B786" s="2">
        <v>1400</v>
      </c>
      <c r="C786" s="2">
        <v>4</v>
      </c>
      <c r="D786" s="2" t="s">
        <v>36</v>
      </c>
      <c r="E786" s="3">
        <v>44374</v>
      </c>
      <c r="F786" s="2" t="s">
        <v>293</v>
      </c>
      <c r="G786" s="2" t="s">
        <v>99</v>
      </c>
      <c r="H786" s="2" t="s">
        <v>49</v>
      </c>
      <c r="I786" s="4">
        <v>31305</v>
      </c>
    </row>
    <row r="787" spans="1:9" x14ac:dyDescent="0.25">
      <c r="A787" s="2" t="s">
        <v>27</v>
      </c>
      <c r="B787" s="2">
        <v>1500</v>
      </c>
      <c r="C787" s="2">
        <v>2</v>
      </c>
      <c r="D787" s="2" t="s">
        <v>39</v>
      </c>
      <c r="E787" s="3">
        <v>44511</v>
      </c>
      <c r="F787" s="2" t="s">
        <v>259</v>
      </c>
      <c r="G787" s="2" t="s">
        <v>63</v>
      </c>
      <c r="H787" s="2" t="s">
        <v>49</v>
      </c>
      <c r="I787" s="4">
        <v>27921</v>
      </c>
    </row>
    <row r="788" spans="1:9" x14ac:dyDescent="0.25">
      <c r="A788" s="2" t="s">
        <v>28</v>
      </c>
      <c r="B788" s="2">
        <v>1400</v>
      </c>
      <c r="C788" s="2">
        <v>1</v>
      </c>
      <c r="D788" s="2" t="s">
        <v>34</v>
      </c>
      <c r="E788" s="3">
        <v>44277</v>
      </c>
      <c r="F788" s="2" t="s">
        <v>134</v>
      </c>
      <c r="G788" s="2" t="s">
        <v>604</v>
      </c>
      <c r="H788" s="2" t="s">
        <v>49</v>
      </c>
      <c r="I788" s="4">
        <v>24937</v>
      </c>
    </row>
    <row r="789" spans="1:9" x14ac:dyDescent="0.25">
      <c r="A789" s="2" t="s">
        <v>7</v>
      </c>
      <c r="B789" s="2">
        <v>750</v>
      </c>
      <c r="C789" s="2">
        <v>3</v>
      </c>
      <c r="D789" s="2" t="s">
        <v>30</v>
      </c>
      <c r="E789" s="3">
        <v>44227</v>
      </c>
      <c r="F789" s="2" t="s">
        <v>134</v>
      </c>
      <c r="G789" s="2" t="s">
        <v>310</v>
      </c>
      <c r="H789" s="2" t="s">
        <v>49</v>
      </c>
      <c r="I789" s="4">
        <v>20738</v>
      </c>
    </row>
    <row r="790" spans="1:9" x14ac:dyDescent="0.25">
      <c r="A790" s="2" t="s">
        <v>9</v>
      </c>
      <c r="B790" s="2">
        <v>1500</v>
      </c>
      <c r="C790" s="2">
        <v>2</v>
      </c>
      <c r="D790" s="2" t="s">
        <v>31</v>
      </c>
      <c r="E790" s="3">
        <v>44229</v>
      </c>
      <c r="F790" s="2" t="s">
        <v>439</v>
      </c>
      <c r="G790" s="2" t="s">
        <v>77</v>
      </c>
      <c r="H790" s="2" t="s">
        <v>44</v>
      </c>
      <c r="I790" s="4">
        <v>34385</v>
      </c>
    </row>
    <row r="791" spans="1:9" x14ac:dyDescent="0.25">
      <c r="A791" s="2" t="s">
        <v>6</v>
      </c>
      <c r="B791" s="2">
        <v>1200</v>
      </c>
      <c r="C791" s="2">
        <v>4</v>
      </c>
      <c r="D791" s="2" t="s">
        <v>33</v>
      </c>
      <c r="E791" s="3">
        <v>44510</v>
      </c>
      <c r="F791" s="2" t="s">
        <v>460</v>
      </c>
      <c r="G791" s="2" t="s">
        <v>606</v>
      </c>
      <c r="H791" s="2" t="s">
        <v>49</v>
      </c>
      <c r="I791" s="4">
        <v>35669</v>
      </c>
    </row>
    <row r="792" spans="1:9" x14ac:dyDescent="0.25">
      <c r="A792" s="2" t="s">
        <v>17</v>
      </c>
      <c r="B792" s="2">
        <v>1550</v>
      </c>
      <c r="C792" s="2">
        <v>2</v>
      </c>
      <c r="D792" s="2" t="s">
        <v>40</v>
      </c>
      <c r="E792" s="3">
        <v>44263</v>
      </c>
      <c r="F792" s="2" t="s">
        <v>298</v>
      </c>
      <c r="G792" s="2" t="s">
        <v>287</v>
      </c>
      <c r="H792" s="2" t="s">
        <v>44</v>
      </c>
      <c r="I792" s="4">
        <v>32562</v>
      </c>
    </row>
    <row r="793" spans="1:9" x14ac:dyDescent="0.25">
      <c r="A793" s="2" t="s">
        <v>11</v>
      </c>
      <c r="B793" s="2">
        <v>4500</v>
      </c>
      <c r="C793" s="2">
        <v>5</v>
      </c>
      <c r="D793" s="2" t="s">
        <v>32</v>
      </c>
      <c r="E793" s="3">
        <v>44475</v>
      </c>
      <c r="F793" s="2" t="s">
        <v>271</v>
      </c>
      <c r="G793" s="2" t="s">
        <v>149</v>
      </c>
      <c r="H793" s="2" t="s">
        <v>49</v>
      </c>
      <c r="I793" s="4">
        <v>26195</v>
      </c>
    </row>
    <row r="794" spans="1:9" x14ac:dyDescent="0.25">
      <c r="A794" s="2" t="s">
        <v>14</v>
      </c>
      <c r="B794" s="2">
        <v>2000</v>
      </c>
      <c r="C794" s="2">
        <v>2</v>
      </c>
      <c r="D794" s="2" t="s">
        <v>39</v>
      </c>
      <c r="E794" s="3">
        <v>44375</v>
      </c>
      <c r="F794" s="2" t="s">
        <v>267</v>
      </c>
      <c r="G794" s="2" t="s">
        <v>230</v>
      </c>
      <c r="H794" s="2" t="s">
        <v>44</v>
      </c>
      <c r="I794" s="4">
        <v>35610</v>
      </c>
    </row>
    <row r="795" spans="1:9" x14ac:dyDescent="0.25">
      <c r="A795" s="2" t="s">
        <v>22</v>
      </c>
      <c r="B795" s="2">
        <v>5200</v>
      </c>
      <c r="C795" s="2">
        <v>5</v>
      </c>
      <c r="D795" s="2" t="s">
        <v>30</v>
      </c>
      <c r="E795" s="3">
        <v>44242</v>
      </c>
      <c r="F795" s="2" t="s">
        <v>398</v>
      </c>
      <c r="G795" s="2" t="s">
        <v>83</v>
      </c>
      <c r="H795" s="2" t="s">
        <v>44</v>
      </c>
      <c r="I795" s="4">
        <v>27758</v>
      </c>
    </row>
    <row r="796" spans="1:9" x14ac:dyDescent="0.25">
      <c r="A796" s="2" t="s">
        <v>18</v>
      </c>
      <c r="B796" s="2">
        <v>3000</v>
      </c>
      <c r="C796" s="2">
        <v>5</v>
      </c>
      <c r="D796" s="2" t="s">
        <v>37</v>
      </c>
      <c r="E796" s="3">
        <v>44430</v>
      </c>
      <c r="F796" s="2" t="s">
        <v>259</v>
      </c>
      <c r="G796" s="2" t="s">
        <v>359</v>
      </c>
      <c r="H796" s="2" t="s">
        <v>49</v>
      </c>
      <c r="I796" s="4">
        <v>29659</v>
      </c>
    </row>
    <row r="797" spans="1:9" x14ac:dyDescent="0.25">
      <c r="A797" s="2" t="s">
        <v>19</v>
      </c>
      <c r="B797" s="2">
        <v>700</v>
      </c>
      <c r="C797" s="2">
        <v>5</v>
      </c>
      <c r="D797" s="2" t="s">
        <v>38</v>
      </c>
      <c r="E797" s="3">
        <v>44445</v>
      </c>
      <c r="F797" s="2" t="s">
        <v>312</v>
      </c>
      <c r="G797" s="2" t="s">
        <v>411</v>
      </c>
      <c r="H797" s="2" t="s">
        <v>49</v>
      </c>
      <c r="I797" s="4">
        <v>26225</v>
      </c>
    </row>
    <row r="798" spans="1:9" x14ac:dyDescent="0.25">
      <c r="A798" s="2" t="s">
        <v>11</v>
      </c>
      <c r="B798" s="2">
        <v>4500</v>
      </c>
      <c r="C798" s="2">
        <v>3</v>
      </c>
      <c r="D798" s="2" t="s">
        <v>38</v>
      </c>
      <c r="E798" s="3">
        <v>44383</v>
      </c>
      <c r="F798" s="2" t="s">
        <v>84</v>
      </c>
      <c r="G798" s="2" t="s">
        <v>63</v>
      </c>
      <c r="H798" s="2" t="s">
        <v>44</v>
      </c>
      <c r="I798" s="4">
        <v>23490</v>
      </c>
    </row>
    <row r="799" spans="1:9" x14ac:dyDescent="0.25">
      <c r="A799" s="2" t="s">
        <v>11</v>
      </c>
      <c r="B799" s="2">
        <v>4500</v>
      </c>
      <c r="C799" s="2">
        <v>1</v>
      </c>
      <c r="D799" s="2" t="s">
        <v>35</v>
      </c>
      <c r="E799" s="3">
        <v>44248</v>
      </c>
      <c r="F799" s="2" t="s">
        <v>239</v>
      </c>
      <c r="G799" s="2" t="s">
        <v>561</v>
      </c>
      <c r="H799" s="2" t="s">
        <v>49</v>
      </c>
      <c r="I799" s="4">
        <v>36390</v>
      </c>
    </row>
    <row r="800" spans="1:9" x14ac:dyDescent="0.25">
      <c r="A800" s="2" t="s">
        <v>17</v>
      </c>
      <c r="B800" s="2">
        <v>1550</v>
      </c>
      <c r="C800" s="2">
        <v>4</v>
      </c>
      <c r="D800" s="2" t="s">
        <v>37</v>
      </c>
      <c r="E800" s="3">
        <v>44427</v>
      </c>
      <c r="F800" s="2" t="s">
        <v>202</v>
      </c>
      <c r="G800" s="2" t="s">
        <v>203</v>
      </c>
      <c r="H800" s="2" t="s">
        <v>49</v>
      </c>
      <c r="I800" s="4">
        <v>30193</v>
      </c>
    </row>
    <row r="801" spans="1:9" x14ac:dyDescent="0.25">
      <c r="A801" s="2" t="s">
        <v>13</v>
      </c>
      <c r="B801" s="2">
        <v>2300</v>
      </c>
      <c r="C801" s="2">
        <v>3</v>
      </c>
      <c r="D801" s="2" t="s">
        <v>29</v>
      </c>
      <c r="E801" s="3">
        <v>44531</v>
      </c>
      <c r="F801" s="2" t="s">
        <v>70</v>
      </c>
      <c r="G801" s="2" t="s">
        <v>410</v>
      </c>
      <c r="H801" s="2" t="s">
        <v>44</v>
      </c>
      <c r="I801" s="4">
        <v>31006</v>
      </c>
    </row>
    <row r="802" spans="1:9" x14ac:dyDescent="0.25">
      <c r="A802" s="2" t="s">
        <v>15</v>
      </c>
      <c r="B802" s="2">
        <v>1900</v>
      </c>
      <c r="C802" s="2">
        <v>4</v>
      </c>
      <c r="D802" s="2" t="s">
        <v>38</v>
      </c>
      <c r="E802" s="3">
        <v>44328</v>
      </c>
      <c r="F802" s="2" t="s">
        <v>293</v>
      </c>
      <c r="G802" s="2" t="s">
        <v>586</v>
      </c>
      <c r="H802" s="2" t="s">
        <v>49</v>
      </c>
      <c r="I802" s="4">
        <v>31014</v>
      </c>
    </row>
    <row r="803" spans="1:9" x14ac:dyDescent="0.25">
      <c r="A803" s="2" t="s">
        <v>27</v>
      </c>
      <c r="B803" s="2">
        <v>1500</v>
      </c>
      <c r="C803" s="2">
        <v>2</v>
      </c>
      <c r="D803" s="2" t="s">
        <v>38</v>
      </c>
      <c r="E803" s="3">
        <v>44509</v>
      </c>
      <c r="F803" s="2" t="s">
        <v>137</v>
      </c>
      <c r="G803" s="2" t="s">
        <v>496</v>
      </c>
      <c r="H803" s="2" t="s">
        <v>49</v>
      </c>
      <c r="I803" s="4">
        <v>28582</v>
      </c>
    </row>
    <row r="804" spans="1:9" x14ac:dyDescent="0.25">
      <c r="A804" s="2" t="s">
        <v>26</v>
      </c>
      <c r="B804" s="2">
        <v>1100</v>
      </c>
      <c r="C804" s="2">
        <v>1</v>
      </c>
      <c r="D804" s="2" t="s">
        <v>38</v>
      </c>
      <c r="E804" s="3">
        <v>44434</v>
      </c>
      <c r="F804" s="2" t="s">
        <v>187</v>
      </c>
      <c r="G804" s="2" t="s">
        <v>495</v>
      </c>
      <c r="H804" s="2" t="s">
        <v>49</v>
      </c>
      <c r="I804" s="4">
        <v>32094</v>
      </c>
    </row>
    <row r="805" spans="1:9" x14ac:dyDescent="0.25">
      <c r="A805" s="2" t="s">
        <v>20</v>
      </c>
      <c r="B805" s="2">
        <v>2600</v>
      </c>
      <c r="C805" s="2">
        <v>3</v>
      </c>
      <c r="D805" s="2" t="s">
        <v>37</v>
      </c>
      <c r="E805" s="3">
        <v>44386</v>
      </c>
      <c r="F805" s="2" t="s">
        <v>170</v>
      </c>
      <c r="G805" s="2" t="s">
        <v>362</v>
      </c>
      <c r="H805" s="2" t="s">
        <v>44</v>
      </c>
      <c r="I805" s="4">
        <v>28727</v>
      </c>
    </row>
    <row r="806" spans="1:9" x14ac:dyDescent="0.25">
      <c r="A806" s="2" t="s">
        <v>12</v>
      </c>
      <c r="B806" s="2">
        <v>6500</v>
      </c>
      <c r="C806" s="2">
        <v>5</v>
      </c>
      <c r="D806" s="2" t="s">
        <v>39</v>
      </c>
      <c r="E806" s="3">
        <v>44397</v>
      </c>
      <c r="F806" s="2" t="s">
        <v>42</v>
      </c>
      <c r="G806" s="2" t="s">
        <v>143</v>
      </c>
      <c r="H806" s="2" t="s">
        <v>44</v>
      </c>
      <c r="I806" s="4">
        <v>22359</v>
      </c>
    </row>
    <row r="807" spans="1:9" x14ac:dyDescent="0.25">
      <c r="A807" s="2" t="s">
        <v>26</v>
      </c>
      <c r="B807" s="2">
        <v>1100</v>
      </c>
      <c r="C807" s="2">
        <v>4</v>
      </c>
      <c r="D807" s="2" t="s">
        <v>29</v>
      </c>
      <c r="E807" s="3">
        <v>44391</v>
      </c>
      <c r="F807" s="2" t="s">
        <v>239</v>
      </c>
      <c r="G807" s="2" t="s">
        <v>240</v>
      </c>
      <c r="H807" s="2" t="s">
        <v>49</v>
      </c>
      <c r="I807" s="4">
        <v>31265</v>
      </c>
    </row>
    <row r="808" spans="1:9" x14ac:dyDescent="0.25">
      <c r="A808" s="2" t="s">
        <v>20</v>
      </c>
      <c r="B808" s="2">
        <v>2600</v>
      </c>
      <c r="C808" s="2">
        <v>4</v>
      </c>
      <c r="D808" s="2" t="s">
        <v>38</v>
      </c>
      <c r="E808" s="3">
        <v>44267</v>
      </c>
      <c r="F808" s="2" t="s">
        <v>225</v>
      </c>
      <c r="G808" s="2" t="s">
        <v>86</v>
      </c>
      <c r="H808" s="2" t="s">
        <v>44</v>
      </c>
      <c r="I808" s="4">
        <v>32654</v>
      </c>
    </row>
    <row r="809" spans="1:9" x14ac:dyDescent="0.25">
      <c r="A809" s="2" t="s">
        <v>14</v>
      </c>
      <c r="B809" s="2">
        <v>2000</v>
      </c>
      <c r="C809" s="2">
        <v>4</v>
      </c>
      <c r="D809" s="2" t="s">
        <v>39</v>
      </c>
      <c r="E809" s="3">
        <v>44211</v>
      </c>
      <c r="F809" s="2" t="s">
        <v>187</v>
      </c>
      <c r="G809" s="2" t="s">
        <v>156</v>
      </c>
      <c r="H809" s="2" t="s">
        <v>49</v>
      </c>
      <c r="I809" s="4">
        <v>21926</v>
      </c>
    </row>
    <row r="810" spans="1:9" x14ac:dyDescent="0.25">
      <c r="A810" s="2" t="s">
        <v>12</v>
      </c>
      <c r="B810" s="2">
        <v>6500</v>
      </c>
      <c r="C810" s="2">
        <v>1</v>
      </c>
      <c r="D810" s="2" t="s">
        <v>40</v>
      </c>
      <c r="E810" s="3">
        <v>44232</v>
      </c>
      <c r="F810" s="2" t="s">
        <v>457</v>
      </c>
      <c r="G810" s="2" t="s">
        <v>458</v>
      </c>
      <c r="H810" s="2" t="s">
        <v>49</v>
      </c>
      <c r="I810" s="4">
        <v>30745</v>
      </c>
    </row>
    <row r="811" spans="1:9" x14ac:dyDescent="0.25">
      <c r="A811" s="2" t="s">
        <v>8</v>
      </c>
      <c r="B811" s="2">
        <v>5500</v>
      </c>
      <c r="C811" s="2">
        <v>1</v>
      </c>
      <c r="D811" s="2" t="s">
        <v>35</v>
      </c>
      <c r="E811" s="3">
        <v>44354</v>
      </c>
      <c r="F811" s="2" t="s">
        <v>140</v>
      </c>
      <c r="G811" s="2" t="s">
        <v>195</v>
      </c>
      <c r="H811" s="2" t="s">
        <v>49</v>
      </c>
      <c r="I811" s="4">
        <v>25702</v>
      </c>
    </row>
    <row r="812" spans="1:9" x14ac:dyDescent="0.25">
      <c r="A812" s="2" t="s">
        <v>7</v>
      </c>
      <c r="B812" s="2">
        <v>750</v>
      </c>
      <c r="C812" s="2">
        <v>5</v>
      </c>
      <c r="D812" s="2" t="s">
        <v>29</v>
      </c>
      <c r="E812" s="3">
        <v>44519</v>
      </c>
      <c r="F812" s="2" t="s">
        <v>131</v>
      </c>
      <c r="G812" s="2" t="s">
        <v>436</v>
      </c>
      <c r="H812" s="2" t="s">
        <v>44</v>
      </c>
      <c r="I812" s="4">
        <v>28563</v>
      </c>
    </row>
    <row r="813" spans="1:9" x14ac:dyDescent="0.25">
      <c r="A813" s="2" t="s">
        <v>5</v>
      </c>
      <c r="B813" s="2">
        <v>1750</v>
      </c>
      <c r="C813" s="2">
        <v>4</v>
      </c>
      <c r="D813" s="2" t="s">
        <v>41</v>
      </c>
      <c r="E813" s="3">
        <v>44204</v>
      </c>
      <c r="F813" s="2" t="s">
        <v>403</v>
      </c>
      <c r="G813" s="2" t="s">
        <v>389</v>
      </c>
      <c r="H813" s="2" t="s">
        <v>49</v>
      </c>
      <c r="I813" s="4">
        <v>27050</v>
      </c>
    </row>
    <row r="814" spans="1:9" x14ac:dyDescent="0.25">
      <c r="A814" s="2" t="s">
        <v>18</v>
      </c>
      <c r="B814" s="2">
        <v>3000</v>
      </c>
      <c r="C814" s="2">
        <v>4</v>
      </c>
      <c r="D814" s="2" t="s">
        <v>32</v>
      </c>
      <c r="E814" s="3">
        <v>44301</v>
      </c>
      <c r="F814" s="2" t="s">
        <v>72</v>
      </c>
      <c r="G814" s="2" t="s">
        <v>73</v>
      </c>
      <c r="H814" s="2" t="s">
        <v>49</v>
      </c>
      <c r="I814" s="4">
        <v>30167</v>
      </c>
    </row>
    <row r="815" spans="1:9" x14ac:dyDescent="0.25">
      <c r="A815" s="2" t="s">
        <v>7</v>
      </c>
      <c r="B815" s="2">
        <v>750</v>
      </c>
      <c r="C815" s="2">
        <v>1</v>
      </c>
      <c r="D815" s="2" t="s">
        <v>31</v>
      </c>
      <c r="E815" s="3">
        <v>44202</v>
      </c>
      <c r="F815" s="2" t="s">
        <v>42</v>
      </c>
      <c r="G815" s="2" t="s">
        <v>274</v>
      </c>
      <c r="H815" s="2" t="s">
        <v>44</v>
      </c>
      <c r="I815" s="4">
        <v>30739</v>
      </c>
    </row>
    <row r="816" spans="1:9" x14ac:dyDescent="0.25">
      <c r="A816" s="2" t="s">
        <v>7</v>
      </c>
      <c r="B816" s="2">
        <v>750</v>
      </c>
      <c r="C816" s="2">
        <v>5</v>
      </c>
      <c r="D816" s="2" t="s">
        <v>33</v>
      </c>
      <c r="E816" s="3">
        <v>44444</v>
      </c>
      <c r="F816" s="2" t="s">
        <v>439</v>
      </c>
      <c r="G816" s="2" t="s">
        <v>529</v>
      </c>
      <c r="H816" s="2" t="s">
        <v>44</v>
      </c>
      <c r="I816" s="4">
        <v>30919</v>
      </c>
    </row>
    <row r="817" spans="1:9" x14ac:dyDescent="0.25">
      <c r="A817" s="2" t="s">
        <v>19</v>
      </c>
      <c r="B817" s="2">
        <v>700</v>
      </c>
      <c r="C817" s="2">
        <v>3</v>
      </c>
      <c r="D817" s="2" t="s">
        <v>34</v>
      </c>
      <c r="E817" s="3">
        <v>44462</v>
      </c>
      <c r="F817" s="2" t="s">
        <v>272</v>
      </c>
      <c r="G817" s="2" t="s">
        <v>495</v>
      </c>
      <c r="H817" s="2" t="s">
        <v>49</v>
      </c>
      <c r="I817" s="4">
        <v>34134</v>
      </c>
    </row>
    <row r="818" spans="1:9" x14ac:dyDescent="0.25">
      <c r="A818" s="2" t="s">
        <v>23</v>
      </c>
      <c r="B818" s="2">
        <v>1500</v>
      </c>
      <c r="C818" s="2">
        <v>5</v>
      </c>
      <c r="D818" s="2" t="s">
        <v>41</v>
      </c>
      <c r="E818" s="3">
        <v>44547</v>
      </c>
      <c r="F818" s="2" t="s">
        <v>112</v>
      </c>
      <c r="G818" s="2" t="s">
        <v>591</v>
      </c>
      <c r="H818" s="2" t="s">
        <v>44</v>
      </c>
      <c r="I818" s="4">
        <v>26766</v>
      </c>
    </row>
    <row r="819" spans="1:9" x14ac:dyDescent="0.25">
      <c r="A819" s="2" t="s">
        <v>28</v>
      </c>
      <c r="B819" s="2">
        <v>1400</v>
      </c>
      <c r="C819" s="2">
        <v>1</v>
      </c>
      <c r="D819" s="2" t="s">
        <v>39</v>
      </c>
      <c r="E819" s="3">
        <v>44368</v>
      </c>
      <c r="F819" s="2" t="s">
        <v>239</v>
      </c>
      <c r="G819" s="2" t="s">
        <v>63</v>
      </c>
      <c r="H819" s="2" t="s">
        <v>49</v>
      </c>
      <c r="I819" s="4">
        <v>18506</v>
      </c>
    </row>
    <row r="820" spans="1:9" x14ac:dyDescent="0.25">
      <c r="A820" s="2" t="s">
        <v>28</v>
      </c>
      <c r="B820" s="2">
        <v>1400</v>
      </c>
      <c r="C820" s="2">
        <v>3</v>
      </c>
      <c r="D820" s="2" t="s">
        <v>41</v>
      </c>
      <c r="E820" s="3">
        <v>44473</v>
      </c>
      <c r="F820" s="2" t="s">
        <v>216</v>
      </c>
      <c r="G820" s="2" t="s">
        <v>485</v>
      </c>
      <c r="H820" s="2" t="s">
        <v>44</v>
      </c>
      <c r="I820" s="4">
        <v>32252</v>
      </c>
    </row>
    <row r="821" spans="1:9" x14ac:dyDescent="0.25">
      <c r="A821" s="2" t="s">
        <v>5</v>
      </c>
      <c r="B821" s="2">
        <v>1750</v>
      </c>
      <c r="C821" s="2">
        <v>1</v>
      </c>
      <c r="D821" s="2" t="s">
        <v>29</v>
      </c>
      <c r="E821" s="3">
        <v>44289</v>
      </c>
      <c r="F821" s="2" t="s">
        <v>228</v>
      </c>
      <c r="G821" s="2" t="s">
        <v>207</v>
      </c>
      <c r="H821" s="2" t="s">
        <v>44</v>
      </c>
      <c r="I821" s="4">
        <v>18957</v>
      </c>
    </row>
    <row r="822" spans="1:9" x14ac:dyDescent="0.25">
      <c r="A822" s="2" t="s">
        <v>24</v>
      </c>
      <c r="B822" s="2">
        <v>2000</v>
      </c>
      <c r="C822" s="2">
        <v>3</v>
      </c>
      <c r="D822" s="2" t="s">
        <v>40</v>
      </c>
      <c r="E822" s="3">
        <v>44265</v>
      </c>
      <c r="F822" s="2" t="s">
        <v>87</v>
      </c>
      <c r="G822" s="2" t="s">
        <v>468</v>
      </c>
      <c r="H822" s="2" t="s">
        <v>44</v>
      </c>
      <c r="I822" s="4">
        <v>32676</v>
      </c>
    </row>
    <row r="823" spans="1:9" x14ac:dyDescent="0.25">
      <c r="A823" s="2" t="s">
        <v>8</v>
      </c>
      <c r="B823" s="2">
        <v>5500</v>
      </c>
      <c r="C823" s="2">
        <v>2</v>
      </c>
      <c r="D823" s="2" t="s">
        <v>32</v>
      </c>
      <c r="E823" s="3">
        <v>44411</v>
      </c>
      <c r="F823" s="2" t="s">
        <v>217</v>
      </c>
      <c r="G823" s="2" t="s">
        <v>218</v>
      </c>
      <c r="H823" s="2" t="s">
        <v>44</v>
      </c>
      <c r="I823" s="4">
        <v>22207</v>
      </c>
    </row>
    <row r="824" spans="1:9" x14ac:dyDescent="0.25">
      <c r="A824" s="2" t="s">
        <v>23</v>
      </c>
      <c r="B824" s="2">
        <v>1500</v>
      </c>
      <c r="C824" s="2">
        <v>1</v>
      </c>
      <c r="D824" s="2" t="s">
        <v>35</v>
      </c>
      <c r="E824" s="3">
        <v>44235</v>
      </c>
      <c r="F824" s="2" t="s">
        <v>137</v>
      </c>
      <c r="G824" s="2" t="s">
        <v>63</v>
      </c>
      <c r="H824" s="2" t="s">
        <v>49</v>
      </c>
      <c r="I824" s="4">
        <v>24741</v>
      </c>
    </row>
    <row r="825" spans="1:9" x14ac:dyDescent="0.25">
      <c r="A825" s="2" t="s">
        <v>15</v>
      </c>
      <c r="B825" s="2">
        <v>1900</v>
      </c>
      <c r="C825" s="2">
        <v>2</v>
      </c>
      <c r="D825" s="2" t="s">
        <v>40</v>
      </c>
      <c r="E825" s="3">
        <v>44391</v>
      </c>
      <c r="F825" s="2" t="s">
        <v>456</v>
      </c>
      <c r="G825" s="2" t="s">
        <v>198</v>
      </c>
      <c r="H825" s="2" t="s">
        <v>49</v>
      </c>
      <c r="I825" s="4">
        <v>25028</v>
      </c>
    </row>
    <row r="826" spans="1:9" x14ac:dyDescent="0.25">
      <c r="A826" s="2" t="s">
        <v>26</v>
      </c>
      <c r="B826" s="2">
        <v>1100</v>
      </c>
      <c r="C826" s="2">
        <v>4</v>
      </c>
      <c r="D826" s="2" t="s">
        <v>30</v>
      </c>
      <c r="E826" s="3">
        <v>44373</v>
      </c>
      <c r="F826" s="2" t="s">
        <v>439</v>
      </c>
      <c r="G826" s="2" t="s">
        <v>262</v>
      </c>
      <c r="H826" s="2" t="s">
        <v>44</v>
      </c>
      <c r="I826" s="4">
        <v>31165</v>
      </c>
    </row>
    <row r="827" spans="1:9" x14ac:dyDescent="0.25">
      <c r="A827" s="2" t="s">
        <v>14</v>
      </c>
      <c r="B827" s="2">
        <v>2000</v>
      </c>
      <c r="C827" s="2">
        <v>2</v>
      </c>
      <c r="D827" s="2" t="s">
        <v>33</v>
      </c>
      <c r="E827" s="3">
        <v>44426</v>
      </c>
      <c r="F827" s="2" t="s">
        <v>265</v>
      </c>
      <c r="G827" s="2" t="s">
        <v>266</v>
      </c>
      <c r="H827" s="2" t="s">
        <v>49</v>
      </c>
      <c r="I827" s="4">
        <v>31076</v>
      </c>
    </row>
    <row r="828" spans="1:9" x14ac:dyDescent="0.25">
      <c r="A828" s="2" t="s">
        <v>26</v>
      </c>
      <c r="B828" s="2">
        <v>1100</v>
      </c>
      <c r="C828" s="2">
        <v>1</v>
      </c>
      <c r="D828" s="2" t="s">
        <v>37</v>
      </c>
      <c r="E828" s="3">
        <v>44542</v>
      </c>
      <c r="F828" s="2" t="s">
        <v>163</v>
      </c>
      <c r="G828" s="2" t="s">
        <v>516</v>
      </c>
      <c r="H828" s="2" t="s">
        <v>49</v>
      </c>
      <c r="I828" s="4">
        <v>25301</v>
      </c>
    </row>
    <row r="829" spans="1:9" x14ac:dyDescent="0.25">
      <c r="A829" s="2" t="s">
        <v>5</v>
      </c>
      <c r="B829" s="2">
        <v>1750</v>
      </c>
      <c r="C829" s="2">
        <v>4</v>
      </c>
      <c r="D829" s="2" t="s">
        <v>29</v>
      </c>
      <c r="E829" s="3">
        <v>44306</v>
      </c>
      <c r="F829" s="2" t="s">
        <v>142</v>
      </c>
      <c r="G829" s="2" t="s">
        <v>157</v>
      </c>
      <c r="H829" s="2" t="s">
        <v>49</v>
      </c>
      <c r="I829" s="4">
        <v>33294</v>
      </c>
    </row>
    <row r="830" spans="1:9" x14ac:dyDescent="0.25">
      <c r="A830" s="2" t="s">
        <v>19</v>
      </c>
      <c r="B830" s="2">
        <v>700</v>
      </c>
      <c r="C830" s="2">
        <v>1</v>
      </c>
      <c r="D830" s="2" t="s">
        <v>38</v>
      </c>
      <c r="E830" s="3">
        <v>44273</v>
      </c>
      <c r="F830" s="2" t="s">
        <v>394</v>
      </c>
      <c r="G830" s="2" t="s">
        <v>395</v>
      </c>
      <c r="H830" s="2" t="s">
        <v>49</v>
      </c>
      <c r="I830" s="4">
        <v>27665</v>
      </c>
    </row>
    <row r="831" spans="1:9" x14ac:dyDescent="0.25">
      <c r="A831" s="2" t="s">
        <v>16</v>
      </c>
      <c r="B831" s="2">
        <v>1400</v>
      </c>
      <c r="C831" s="2">
        <v>1</v>
      </c>
      <c r="D831" s="2" t="s">
        <v>41</v>
      </c>
      <c r="E831" s="3">
        <v>44361</v>
      </c>
      <c r="F831" s="2" t="s">
        <v>190</v>
      </c>
      <c r="G831" s="2" t="s">
        <v>174</v>
      </c>
      <c r="H831" s="2" t="s">
        <v>44</v>
      </c>
      <c r="I831" s="4">
        <v>22769</v>
      </c>
    </row>
    <row r="832" spans="1:9" x14ac:dyDescent="0.25">
      <c r="A832" s="2" t="s">
        <v>28</v>
      </c>
      <c r="B832" s="2">
        <v>1400</v>
      </c>
      <c r="C832" s="2">
        <v>4</v>
      </c>
      <c r="D832" s="2" t="s">
        <v>30</v>
      </c>
      <c r="E832" s="3">
        <v>44246</v>
      </c>
      <c r="F832" s="2" t="s">
        <v>260</v>
      </c>
      <c r="G832" s="2" t="s">
        <v>261</v>
      </c>
      <c r="H832" s="2" t="s">
        <v>49</v>
      </c>
      <c r="I832" s="4">
        <v>33035</v>
      </c>
    </row>
    <row r="833" spans="1:9" x14ac:dyDescent="0.25">
      <c r="A833" s="2" t="s">
        <v>15</v>
      </c>
      <c r="B833" s="2">
        <v>1900</v>
      </c>
      <c r="C833" s="2">
        <v>5</v>
      </c>
      <c r="D833" s="2" t="s">
        <v>40</v>
      </c>
      <c r="E833" s="3">
        <v>44476</v>
      </c>
      <c r="F833" s="2" t="s">
        <v>328</v>
      </c>
      <c r="G833" s="2" t="s">
        <v>200</v>
      </c>
      <c r="H833" s="2" t="s">
        <v>49</v>
      </c>
      <c r="I833" s="4">
        <v>33025</v>
      </c>
    </row>
    <row r="834" spans="1:9" x14ac:dyDescent="0.25">
      <c r="A834" s="2" t="s">
        <v>9</v>
      </c>
      <c r="B834" s="2">
        <v>1500</v>
      </c>
      <c r="C834" s="2">
        <v>1</v>
      </c>
      <c r="D834" s="2" t="s">
        <v>38</v>
      </c>
      <c r="E834" s="3">
        <v>44535</v>
      </c>
      <c r="F834" s="2" t="s">
        <v>328</v>
      </c>
      <c r="G834" s="2" t="s">
        <v>416</v>
      </c>
      <c r="H834" s="2" t="s">
        <v>49</v>
      </c>
      <c r="I834" s="4">
        <v>31366</v>
      </c>
    </row>
    <row r="835" spans="1:9" x14ac:dyDescent="0.25">
      <c r="A835" s="2" t="s">
        <v>10</v>
      </c>
      <c r="B835" s="2">
        <v>1450</v>
      </c>
      <c r="C835" s="2">
        <v>1</v>
      </c>
      <c r="D835" s="2" t="s">
        <v>39</v>
      </c>
      <c r="E835" s="3">
        <v>44222</v>
      </c>
      <c r="F835" s="2" t="s">
        <v>422</v>
      </c>
      <c r="G835" s="2" t="s">
        <v>423</v>
      </c>
      <c r="H835" s="2" t="s">
        <v>44</v>
      </c>
      <c r="I835" s="4">
        <v>29512</v>
      </c>
    </row>
    <row r="836" spans="1:9" x14ac:dyDescent="0.25">
      <c r="A836" s="2" t="s">
        <v>12</v>
      </c>
      <c r="B836" s="2">
        <v>6500</v>
      </c>
      <c r="C836" s="2">
        <v>2</v>
      </c>
      <c r="D836" s="2" t="s">
        <v>32</v>
      </c>
      <c r="E836" s="3">
        <v>44285</v>
      </c>
      <c r="F836" s="2" t="s">
        <v>80</v>
      </c>
      <c r="G836" s="2" t="s">
        <v>156</v>
      </c>
      <c r="H836" s="2" t="s">
        <v>44</v>
      </c>
      <c r="I836" s="4">
        <v>36180</v>
      </c>
    </row>
    <row r="837" spans="1:9" x14ac:dyDescent="0.25">
      <c r="A837" s="2" t="s">
        <v>5</v>
      </c>
      <c r="B837" s="2">
        <v>1750</v>
      </c>
      <c r="C837" s="2">
        <v>2</v>
      </c>
      <c r="D837" s="2" t="s">
        <v>40</v>
      </c>
      <c r="E837" s="3">
        <v>44317</v>
      </c>
      <c r="F837" s="2" t="s">
        <v>51</v>
      </c>
      <c r="G837" s="2" t="s">
        <v>352</v>
      </c>
      <c r="H837" s="2" t="s">
        <v>44</v>
      </c>
      <c r="I837" s="4">
        <v>32566</v>
      </c>
    </row>
    <row r="838" spans="1:9" x14ac:dyDescent="0.25">
      <c r="A838" s="2" t="s">
        <v>8</v>
      </c>
      <c r="B838" s="2">
        <v>5500</v>
      </c>
      <c r="C838" s="2">
        <v>3</v>
      </c>
      <c r="D838" s="2" t="s">
        <v>32</v>
      </c>
      <c r="E838" s="3">
        <v>44430</v>
      </c>
      <c r="F838" s="2" t="s">
        <v>217</v>
      </c>
      <c r="G838" s="2" t="s">
        <v>218</v>
      </c>
      <c r="H838" s="2" t="s">
        <v>44</v>
      </c>
      <c r="I838" s="4">
        <v>22207</v>
      </c>
    </row>
    <row r="839" spans="1:9" x14ac:dyDescent="0.25">
      <c r="A839" s="2" t="s">
        <v>15</v>
      </c>
      <c r="B839" s="2">
        <v>1900</v>
      </c>
      <c r="C839" s="2">
        <v>5</v>
      </c>
      <c r="D839" s="2" t="s">
        <v>32</v>
      </c>
      <c r="E839" s="3">
        <v>44424</v>
      </c>
      <c r="F839" s="2" t="s">
        <v>217</v>
      </c>
      <c r="G839" s="2" t="s">
        <v>218</v>
      </c>
      <c r="H839" s="2" t="s">
        <v>44</v>
      </c>
      <c r="I839" s="4">
        <v>22207</v>
      </c>
    </row>
    <row r="840" spans="1:9" x14ac:dyDescent="0.25">
      <c r="A840" s="2" t="s">
        <v>5</v>
      </c>
      <c r="B840" s="2">
        <v>1750</v>
      </c>
      <c r="C840" s="2">
        <v>5</v>
      </c>
      <c r="D840" s="2" t="s">
        <v>30</v>
      </c>
      <c r="E840" s="3">
        <v>44394</v>
      </c>
      <c r="F840" s="2" t="s">
        <v>58</v>
      </c>
      <c r="G840" s="2" t="s">
        <v>59</v>
      </c>
      <c r="H840" s="2" t="s">
        <v>49</v>
      </c>
      <c r="I840" s="4">
        <v>23712</v>
      </c>
    </row>
    <row r="841" spans="1:9" x14ac:dyDescent="0.25">
      <c r="A841" s="2" t="s">
        <v>28</v>
      </c>
      <c r="B841" s="2">
        <v>1400</v>
      </c>
      <c r="C841" s="2">
        <v>4</v>
      </c>
      <c r="D841" s="2" t="s">
        <v>31</v>
      </c>
      <c r="E841" s="3">
        <v>44253</v>
      </c>
      <c r="F841" s="2" t="s">
        <v>98</v>
      </c>
      <c r="G841" s="2" t="s">
        <v>508</v>
      </c>
      <c r="H841" s="2" t="s">
        <v>44</v>
      </c>
      <c r="I841" s="4">
        <v>33252</v>
      </c>
    </row>
    <row r="842" spans="1:9" x14ac:dyDescent="0.25">
      <c r="A842" s="2" t="s">
        <v>5</v>
      </c>
      <c r="B842" s="2">
        <v>1750</v>
      </c>
      <c r="C842" s="2">
        <v>1</v>
      </c>
      <c r="D842" s="2" t="s">
        <v>29</v>
      </c>
      <c r="E842" s="3">
        <v>44511</v>
      </c>
      <c r="F842" s="2" t="s">
        <v>426</v>
      </c>
      <c r="G842" s="2" t="s">
        <v>75</v>
      </c>
      <c r="H842" s="2" t="s">
        <v>49</v>
      </c>
      <c r="I842" s="4">
        <v>33756</v>
      </c>
    </row>
    <row r="843" spans="1:9" x14ac:dyDescent="0.25">
      <c r="A843" s="2" t="s">
        <v>11</v>
      </c>
      <c r="B843" s="2">
        <v>4500</v>
      </c>
      <c r="C843" s="2">
        <v>1</v>
      </c>
      <c r="D843" s="2" t="s">
        <v>29</v>
      </c>
      <c r="E843" s="3">
        <v>44326</v>
      </c>
      <c r="F843" s="2" t="s">
        <v>173</v>
      </c>
      <c r="G843" s="2" t="s">
        <v>181</v>
      </c>
      <c r="H843" s="2" t="s">
        <v>44</v>
      </c>
      <c r="I843" s="4">
        <v>32179</v>
      </c>
    </row>
    <row r="844" spans="1:9" x14ac:dyDescent="0.25">
      <c r="A844" s="2" t="s">
        <v>23</v>
      </c>
      <c r="B844" s="2">
        <v>1500</v>
      </c>
      <c r="C844" s="2">
        <v>1</v>
      </c>
      <c r="D844" s="2" t="s">
        <v>34</v>
      </c>
      <c r="E844" s="3">
        <v>44479</v>
      </c>
      <c r="F844" s="2" t="s">
        <v>563</v>
      </c>
      <c r="G844" s="2" t="s">
        <v>359</v>
      </c>
      <c r="H844" s="2" t="s">
        <v>44</v>
      </c>
      <c r="I844" s="4">
        <v>28415</v>
      </c>
    </row>
    <row r="845" spans="1:9" x14ac:dyDescent="0.25">
      <c r="A845" s="2" t="s">
        <v>10</v>
      </c>
      <c r="B845" s="2">
        <v>1450</v>
      </c>
      <c r="C845" s="2">
        <v>5</v>
      </c>
      <c r="D845" s="2" t="s">
        <v>37</v>
      </c>
      <c r="E845" s="3">
        <v>44400</v>
      </c>
      <c r="F845" s="2" t="s">
        <v>272</v>
      </c>
      <c r="G845" s="2" t="s">
        <v>620</v>
      </c>
      <c r="H845" s="2" t="s">
        <v>49</v>
      </c>
      <c r="I845" s="4">
        <v>23586</v>
      </c>
    </row>
    <row r="846" spans="1:9" x14ac:dyDescent="0.25">
      <c r="A846" s="2" t="s">
        <v>10</v>
      </c>
      <c r="B846" s="2">
        <v>1450</v>
      </c>
      <c r="C846" s="2">
        <v>5</v>
      </c>
      <c r="D846" s="2" t="s">
        <v>39</v>
      </c>
      <c r="E846" s="3">
        <v>44416</v>
      </c>
      <c r="F846" s="2" t="s">
        <v>224</v>
      </c>
      <c r="G846" s="2" t="s">
        <v>324</v>
      </c>
      <c r="H846" s="2" t="s">
        <v>44</v>
      </c>
      <c r="I846" s="4">
        <v>34650</v>
      </c>
    </row>
    <row r="847" spans="1:9" x14ac:dyDescent="0.25">
      <c r="A847" s="2" t="s">
        <v>22</v>
      </c>
      <c r="B847" s="2">
        <v>5200</v>
      </c>
      <c r="C847" s="2">
        <v>4</v>
      </c>
      <c r="D847" s="2" t="s">
        <v>30</v>
      </c>
      <c r="E847" s="3">
        <v>44528</v>
      </c>
      <c r="F847" s="2" t="s">
        <v>94</v>
      </c>
      <c r="G847" s="2" t="s">
        <v>536</v>
      </c>
      <c r="H847" s="2" t="s">
        <v>49</v>
      </c>
      <c r="I847" s="4">
        <v>33821</v>
      </c>
    </row>
    <row r="848" spans="1:9" x14ac:dyDescent="0.25">
      <c r="A848" s="2" t="s">
        <v>19</v>
      </c>
      <c r="B848" s="2">
        <v>700</v>
      </c>
      <c r="C848" s="2">
        <v>5</v>
      </c>
      <c r="D848" s="2" t="s">
        <v>39</v>
      </c>
      <c r="E848" s="3">
        <v>44527</v>
      </c>
      <c r="F848" s="2" t="s">
        <v>455</v>
      </c>
      <c r="G848" s="2" t="s">
        <v>63</v>
      </c>
      <c r="H848" s="2" t="s">
        <v>49</v>
      </c>
      <c r="I848" s="4">
        <v>23893</v>
      </c>
    </row>
    <row r="849" spans="1:9" x14ac:dyDescent="0.25">
      <c r="A849" s="2" t="s">
        <v>20</v>
      </c>
      <c r="B849" s="2">
        <v>2600</v>
      </c>
      <c r="C849" s="2">
        <v>1</v>
      </c>
      <c r="D849" s="2" t="s">
        <v>41</v>
      </c>
      <c r="E849" s="3">
        <v>44470</v>
      </c>
      <c r="F849" s="2" t="s">
        <v>216</v>
      </c>
      <c r="G849" s="2" t="s">
        <v>195</v>
      </c>
      <c r="H849" s="2" t="s">
        <v>44</v>
      </c>
      <c r="I849" s="4">
        <v>29130</v>
      </c>
    </row>
    <row r="850" spans="1:9" x14ac:dyDescent="0.25">
      <c r="A850" s="2" t="s">
        <v>14</v>
      </c>
      <c r="B850" s="2">
        <v>2000</v>
      </c>
      <c r="C850" s="2">
        <v>1</v>
      </c>
      <c r="D850" s="2" t="s">
        <v>40</v>
      </c>
      <c r="E850" s="3">
        <v>44296</v>
      </c>
      <c r="F850" s="2" t="s">
        <v>258</v>
      </c>
      <c r="G850" s="2" t="s">
        <v>75</v>
      </c>
      <c r="H850" s="2" t="s">
        <v>49</v>
      </c>
      <c r="I850" s="4">
        <v>35971</v>
      </c>
    </row>
    <row r="851" spans="1:9" x14ac:dyDescent="0.25">
      <c r="A851" s="2" t="s">
        <v>11</v>
      </c>
      <c r="B851" s="2">
        <v>4500</v>
      </c>
      <c r="C851" s="2">
        <v>3</v>
      </c>
      <c r="D851" s="2" t="s">
        <v>29</v>
      </c>
      <c r="E851" s="3">
        <v>44317</v>
      </c>
      <c r="F851" s="2" t="s">
        <v>233</v>
      </c>
      <c r="G851" s="2" t="s">
        <v>172</v>
      </c>
      <c r="H851" s="2" t="s">
        <v>49</v>
      </c>
      <c r="I851" s="4">
        <v>27495</v>
      </c>
    </row>
    <row r="852" spans="1:9" x14ac:dyDescent="0.25">
      <c r="A852" s="2" t="s">
        <v>22</v>
      </c>
      <c r="B852" s="2">
        <v>5200</v>
      </c>
      <c r="C852" s="2">
        <v>2</v>
      </c>
      <c r="D852" s="2" t="s">
        <v>41</v>
      </c>
      <c r="E852" s="3">
        <v>44462</v>
      </c>
      <c r="F852" s="2" t="s">
        <v>216</v>
      </c>
      <c r="G852" s="2" t="s">
        <v>69</v>
      </c>
      <c r="H852" s="2" t="s">
        <v>44</v>
      </c>
      <c r="I852" s="4">
        <v>28992</v>
      </c>
    </row>
    <row r="853" spans="1:9" x14ac:dyDescent="0.25">
      <c r="A853" s="2" t="s">
        <v>6</v>
      </c>
      <c r="B853" s="2">
        <v>1200</v>
      </c>
      <c r="C853" s="2">
        <v>4</v>
      </c>
      <c r="D853" s="2" t="s">
        <v>31</v>
      </c>
      <c r="E853" s="3">
        <v>44368</v>
      </c>
      <c r="F853" s="2" t="s">
        <v>45</v>
      </c>
      <c r="G853" s="2" t="s">
        <v>278</v>
      </c>
      <c r="H853" s="2" t="s">
        <v>44</v>
      </c>
      <c r="I853" s="4">
        <v>19406</v>
      </c>
    </row>
    <row r="854" spans="1:9" x14ac:dyDescent="0.25">
      <c r="A854" s="2" t="s">
        <v>24</v>
      </c>
      <c r="B854" s="2">
        <v>2000</v>
      </c>
      <c r="C854" s="2">
        <v>5</v>
      </c>
      <c r="D854" s="2" t="s">
        <v>40</v>
      </c>
      <c r="E854" s="3">
        <v>44270</v>
      </c>
      <c r="F854" s="2" t="s">
        <v>267</v>
      </c>
      <c r="G854" s="2" t="s">
        <v>55</v>
      </c>
      <c r="H854" s="2" t="s">
        <v>44</v>
      </c>
      <c r="I854" s="4">
        <v>29760</v>
      </c>
    </row>
    <row r="855" spans="1:9" x14ac:dyDescent="0.25">
      <c r="A855" s="2" t="s">
        <v>13</v>
      </c>
      <c r="B855" s="2">
        <v>2300</v>
      </c>
      <c r="C855" s="2">
        <v>3</v>
      </c>
      <c r="D855" s="2" t="s">
        <v>31</v>
      </c>
      <c r="E855" s="3">
        <v>44425</v>
      </c>
      <c r="F855" s="2" t="s">
        <v>279</v>
      </c>
      <c r="G855" s="2" t="s">
        <v>231</v>
      </c>
      <c r="H855" s="2" t="s">
        <v>44</v>
      </c>
      <c r="I855" s="4">
        <v>27511</v>
      </c>
    </row>
    <row r="856" spans="1:9" x14ac:dyDescent="0.25">
      <c r="A856" s="2" t="s">
        <v>19</v>
      </c>
      <c r="B856" s="2">
        <v>700</v>
      </c>
      <c r="C856" s="2">
        <v>1</v>
      </c>
      <c r="D856" s="2" t="s">
        <v>40</v>
      </c>
      <c r="E856" s="3">
        <v>44247</v>
      </c>
      <c r="F856" s="2" t="s">
        <v>321</v>
      </c>
      <c r="G856" s="2" t="s">
        <v>55</v>
      </c>
      <c r="H856" s="2" t="s">
        <v>49</v>
      </c>
      <c r="I856" s="4">
        <v>22483</v>
      </c>
    </row>
    <row r="857" spans="1:9" x14ac:dyDescent="0.25">
      <c r="A857" s="2" t="s">
        <v>15</v>
      </c>
      <c r="B857" s="2">
        <v>1900</v>
      </c>
      <c r="C857" s="2">
        <v>5</v>
      </c>
      <c r="D857" s="2" t="s">
        <v>37</v>
      </c>
      <c r="E857" s="3">
        <v>44489</v>
      </c>
      <c r="F857" s="2" t="s">
        <v>173</v>
      </c>
      <c r="G857" s="2" t="s">
        <v>75</v>
      </c>
      <c r="H857" s="2" t="s">
        <v>44</v>
      </c>
      <c r="I857" s="4">
        <v>29655</v>
      </c>
    </row>
    <row r="858" spans="1:9" x14ac:dyDescent="0.25">
      <c r="A858" s="2" t="s">
        <v>15</v>
      </c>
      <c r="B858" s="2">
        <v>1900</v>
      </c>
      <c r="C858" s="2">
        <v>4</v>
      </c>
      <c r="D858" s="2" t="s">
        <v>41</v>
      </c>
      <c r="E858" s="3">
        <v>44460</v>
      </c>
      <c r="F858" s="2" t="s">
        <v>479</v>
      </c>
      <c r="G858" s="2" t="s">
        <v>592</v>
      </c>
      <c r="H858" s="2" t="s">
        <v>49</v>
      </c>
      <c r="I858" s="4">
        <v>30837</v>
      </c>
    </row>
    <row r="859" spans="1:9" x14ac:dyDescent="0.25">
      <c r="A859" s="2" t="s">
        <v>19</v>
      </c>
      <c r="B859" s="2">
        <v>700</v>
      </c>
      <c r="C859" s="2">
        <v>5</v>
      </c>
      <c r="D859" s="2" t="s">
        <v>33</v>
      </c>
      <c r="E859" s="3">
        <v>44285</v>
      </c>
      <c r="F859" s="2" t="s">
        <v>571</v>
      </c>
      <c r="G859" s="2" t="s">
        <v>474</v>
      </c>
      <c r="H859" s="2" t="s">
        <v>49</v>
      </c>
      <c r="I859" s="4">
        <v>21750</v>
      </c>
    </row>
    <row r="860" spans="1:9" x14ac:dyDescent="0.25">
      <c r="A860" s="2" t="s">
        <v>18</v>
      </c>
      <c r="B860" s="2">
        <v>3000</v>
      </c>
      <c r="C860" s="2">
        <v>1</v>
      </c>
      <c r="D860" s="2" t="s">
        <v>36</v>
      </c>
      <c r="E860" s="3">
        <v>44244</v>
      </c>
      <c r="F860" s="2" t="s">
        <v>74</v>
      </c>
      <c r="G860" s="2" t="s">
        <v>169</v>
      </c>
      <c r="H860" s="2" t="s">
        <v>44</v>
      </c>
      <c r="I860" s="4">
        <v>34026</v>
      </c>
    </row>
    <row r="861" spans="1:9" x14ac:dyDescent="0.25">
      <c r="A861" s="2" t="s">
        <v>22</v>
      </c>
      <c r="B861" s="2">
        <v>5200</v>
      </c>
      <c r="C861" s="2">
        <v>5</v>
      </c>
      <c r="D861" s="2" t="s">
        <v>38</v>
      </c>
      <c r="E861" s="3">
        <v>44476</v>
      </c>
      <c r="F861" s="2" t="s">
        <v>51</v>
      </c>
      <c r="G861" s="2" t="s">
        <v>412</v>
      </c>
      <c r="H861" s="2" t="s">
        <v>44</v>
      </c>
      <c r="I861" s="4">
        <v>32482</v>
      </c>
    </row>
    <row r="862" spans="1:9" x14ac:dyDescent="0.25">
      <c r="A862" s="2" t="s">
        <v>19</v>
      </c>
      <c r="B862" s="2">
        <v>700</v>
      </c>
      <c r="C862" s="2">
        <v>5</v>
      </c>
      <c r="D862" s="2" t="s">
        <v>33</v>
      </c>
      <c r="E862" s="3">
        <v>44478</v>
      </c>
      <c r="F862" s="2" t="s">
        <v>225</v>
      </c>
      <c r="G862" s="2" t="s">
        <v>81</v>
      </c>
      <c r="H862" s="2" t="s">
        <v>44</v>
      </c>
      <c r="I862" s="4">
        <v>26346</v>
      </c>
    </row>
    <row r="863" spans="1:9" x14ac:dyDescent="0.25">
      <c r="A863" s="2" t="s">
        <v>19</v>
      </c>
      <c r="B863" s="2">
        <v>700</v>
      </c>
      <c r="C863" s="2">
        <v>5</v>
      </c>
      <c r="D863" s="2" t="s">
        <v>29</v>
      </c>
      <c r="E863" s="3">
        <v>44437</v>
      </c>
      <c r="F863" s="2" t="s">
        <v>293</v>
      </c>
      <c r="G863" s="2" t="s">
        <v>495</v>
      </c>
      <c r="H863" s="2" t="s">
        <v>49</v>
      </c>
      <c r="I863" s="4">
        <v>35510</v>
      </c>
    </row>
    <row r="864" spans="1:9" x14ac:dyDescent="0.25">
      <c r="A864" s="2" t="s">
        <v>10</v>
      </c>
      <c r="B864" s="2">
        <v>1450</v>
      </c>
      <c r="C864" s="2">
        <v>4</v>
      </c>
      <c r="D864" s="2" t="s">
        <v>36</v>
      </c>
      <c r="E864" s="3">
        <v>44314</v>
      </c>
      <c r="F864" s="2" t="s">
        <v>78</v>
      </c>
      <c r="G864" s="2" t="s">
        <v>429</v>
      </c>
      <c r="H864" s="2" t="s">
        <v>49</v>
      </c>
      <c r="I864" s="4">
        <v>21181</v>
      </c>
    </row>
    <row r="865" spans="1:9" x14ac:dyDescent="0.25">
      <c r="A865" s="2" t="s">
        <v>6</v>
      </c>
      <c r="B865" s="2">
        <v>1200</v>
      </c>
      <c r="C865" s="2">
        <v>3</v>
      </c>
      <c r="D865" s="2" t="s">
        <v>36</v>
      </c>
      <c r="E865" s="3">
        <v>44338</v>
      </c>
      <c r="F865" s="2" t="s">
        <v>239</v>
      </c>
      <c r="G865" s="2" t="s">
        <v>152</v>
      </c>
      <c r="H865" s="2" t="s">
        <v>49</v>
      </c>
      <c r="I865" s="4">
        <v>32841</v>
      </c>
    </row>
    <row r="866" spans="1:9" x14ac:dyDescent="0.25">
      <c r="A866" s="2" t="s">
        <v>19</v>
      </c>
      <c r="B866" s="2">
        <v>700</v>
      </c>
      <c r="C866" s="2">
        <v>4</v>
      </c>
      <c r="D866" s="2" t="s">
        <v>29</v>
      </c>
      <c r="E866" s="3">
        <v>44510</v>
      </c>
      <c r="F866" s="2" t="s">
        <v>247</v>
      </c>
      <c r="G866" s="2" t="s">
        <v>130</v>
      </c>
      <c r="H866" s="2" t="s">
        <v>44</v>
      </c>
      <c r="I866" s="4">
        <v>33342</v>
      </c>
    </row>
    <row r="867" spans="1:9" x14ac:dyDescent="0.25">
      <c r="A867" s="2" t="s">
        <v>7</v>
      </c>
      <c r="B867" s="2">
        <v>750</v>
      </c>
      <c r="C867" s="2">
        <v>5</v>
      </c>
      <c r="D867" s="2" t="s">
        <v>34</v>
      </c>
      <c r="E867" s="3">
        <v>44203</v>
      </c>
      <c r="F867" s="2" t="s">
        <v>241</v>
      </c>
      <c r="G867" s="2" t="s">
        <v>242</v>
      </c>
      <c r="H867" s="2" t="s">
        <v>49</v>
      </c>
      <c r="I867" s="4">
        <v>30191</v>
      </c>
    </row>
    <row r="868" spans="1:9" x14ac:dyDescent="0.25">
      <c r="A868" s="2" t="s">
        <v>7</v>
      </c>
      <c r="B868" s="2">
        <v>750</v>
      </c>
      <c r="C868" s="2">
        <v>2</v>
      </c>
      <c r="D868" s="2" t="s">
        <v>33</v>
      </c>
      <c r="E868" s="3">
        <v>44400</v>
      </c>
      <c r="F868" s="2" t="s">
        <v>460</v>
      </c>
      <c r="G868" s="2" t="s">
        <v>606</v>
      </c>
      <c r="H868" s="2" t="s">
        <v>49</v>
      </c>
      <c r="I868" s="4">
        <v>35669</v>
      </c>
    </row>
    <row r="869" spans="1:9" x14ac:dyDescent="0.25">
      <c r="A869" s="2" t="s">
        <v>9</v>
      </c>
      <c r="B869" s="2">
        <v>1500</v>
      </c>
      <c r="C869" s="2">
        <v>2</v>
      </c>
      <c r="D869" s="2" t="s">
        <v>40</v>
      </c>
      <c r="E869" s="3">
        <v>44419</v>
      </c>
      <c r="F869" s="2" t="s">
        <v>78</v>
      </c>
      <c r="G869" s="2" t="s">
        <v>294</v>
      </c>
      <c r="H869" s="2" t="s">
        <v>49</v>
      </c>
      <c r="I869" s="4">
        <v>30553</v>
      </c>
    </row>
    <row r="870" spans="1:9" x14ac:dyDescent="0.25">
      <c r="A870" s="2" t="s">
        <v>12</v>
      </c>
      <c r="B870" s="2">
        <v>6500</v>
      </c>
      <c r="C870" s="2">
        <v>3</v>
      </c>
      <c r="D870" s="2" t="s">
        <v>41</v>
      </c>
      <c r="E870" s="3">
        <v>44346</v>
      </c>
      <c r="F870" s="2" t="s">
        <v>301</v>
      </c>
      <c r="G870" s="2" t="s">
        <v>255</v>
      </c>
      <c r="H870" s="2" t="s">
        <v>49</v>
      </c>
      <c r="I870" s="4">
        <v>34914</v>
      </c>
    </row>
    <row r="871" spans="1:9" x14ac:dyDescent="0.25">
      <c r="A871" s="2" t="s">
        <v>11</v>
      </c>
      <c r="B871" s="2">
        <v>4500</v>
      </c>
      <c r="C871" s="2">
        <v>3</v>
      </c>
      <c r="D871" s="2" t="s">
        <v>40</v>
      </c>
      <c r="E871" s="3">
        <v>44394</v>
      </c>
      <c r="F871" s="2" t="s">
        <v>328</v>
      </c>
      <c r="G871" s="2" t="s">
        <v>200</v>
      </c>
      <c r="H871" s="2" t="s">
        <v>49</v>
      </c>
      <c r="I871" s="4">
        <v>33025</v>
      </c>
    </row>
    <row r="872" spans="1:9" x14ac:dyDescent="0.25">
      <c r="A872" s="2" t="s">
        <v>21</v>
      </c>
      <c r="B872" s="2">
        <v>2400</v>
      </c>
      <c r="C872" s="2">
        <v>1</v>
      </c>
      <c r="D872" s="2" t="s">
        <v>34</v>
      </c>
      <c r="E872" s="3">
        <v>44486</v>
      </c>
      <c r="F872" s="2" t="s">
        <v>98</v>
      </c>
      <c r="G872" s="2" t="s">
        <v>213</v>
      </c>
      <c r="H872" s="2" t="s">
        <v>44</v>
      </c>
      <c r="I872" s="4">
        <v>23276</v>
      </c>
    </row>
    <row r="873" spans="1:9" x14ac:dyDescent="0.25">
      <c r="A873" s="2" t="s">
        <v>26</v>
      </c>
      <c r="B873" s="2">
        <v>1100</v>
      </c>
      <c r="C873" s="2">
        <v>3</v>
      </c>
      <c r="D873" s="2" t="s">
        <v>32</v>
      </c>
      <c r="E873" s="3">
        <v>44231</v>
      </c>
      <c r="F873" s="2" t="s">
        <v>341</v>
      </c>
      <c r="G873" s="2" t="s">
        <v>342</v>
      </c>
      <c r="H873" s="2" t="s">
        <v>49</v>
      </c>
      <c r="I873" s="4">
        <v>25751</v>
      </c>
    </row>
    <row r="874" spans="1:9" x14ac:dyDescent="0.25">
      <c r="A874" s="2" t="s">
        <v>11</v>
      </c>
      <c r="B874" s="2">
        <v>4500</v>
      </c>
      <c r="C874" s="2">
        <v>4</v>
      </c>
      <c r="D874" s="2" t="s">
        <v>34</v>
      </c>
      <c r="E874" s="3">
        <v>44480</v>
      </c>
      <c r="F874" s="2" t="s">
        <v>98</v>
      </c>
      <c r="G874" s="2" t="s">
        <v>213</v>
      </c>
      <c r="H874" s="2" t="s">
        <v>44</v>
      </c>
      <c r="I874" s="4">
        <v>23276</v>
      </c>
    </row>
    <row r="875" spans="1:9" x14ac:dyDescent="0.25">
      <c r="A875" s="2" t="s">
        <v>12</v>
      </c>
      <c r="B875" s="2">
        <v>6500</v>
      </c>
      <c r="C875" s="2">
        <v>5</v>
      </c>
      <c r="D875" s="2" t="s">
        <v>33</v>
      </c>
      <c r="E875" s="3">
        <v>44267</v>
      </c>
      <c r="F875" s="2" t="s">
        <v>295</v>
      </c>
      <c r="G875" s="2" t="s">
        <v>296</v>
      </c>
      <c r="H875" s="2" t="s">
        <v>49</v>
      </c>
      <c r="I875" s="4">
        <v>34584</v>
      </c>
    </row>
    <row r="876" spans="1:9" x14ac:dyDescent="0.25">
      <c r="A876" s="2" t="s">
        <v>26</v>
      </c>
      <c r="B876" s="2">
        <v>1100</v>
      </c>
      <c r="C876" s="2">
        <v>2</v>
      </c>
      <c r="D876" s="2" t="s">
        <v>29</v>
      </c>
      <c r="E876" s="3">
        <v>44311</v>
      </c>
      <c r="F876" s="2" t="s">
        <v>98</v>
      </c>
      <c r="G876" s="2" t="s">
        <v>511</v>
      </c>
      <c r="H876" s="2" t="s">
        <v>44</v>
      </c>
      <c r="I876" s="4">
        <v>30253</v>
      </c>
    </row>
    <row r="877" spans="1:9" x14ac:dyDescent="0.25">
      <c r="A877" s="2" t="s">
        <v>20</v>
      </c>
      <c r="B877" s="2">
        <v>2600</v>
      </c>
      <c r="C877" s="2">
        <v>3</v>
      </c>
      <c r="D877" s="2" t="s">
        <v>30</v>
      </c>
      <c r="E877" s="3">
        <v>44241</v>
      </c>
      <c r="F877" s="2" t="s">
        <v>109</v>
      </c>
      <c r="G877" s="2" t="s">
        <v>63</v>
      </c>
      <c r="H877" s="2" t="s">
        <v>44</v>
      </c>
      <c r="I877" s="4">
        <v>20396</v>
      </c>
    </row>
    <row r="878" spans="1:9" x14ac:dyDescent="0.25">
      <c r="A878" s="2" t="s">
        <v>27</v>
      </c>
      <c r="B878" s="2">
        <v>1500</v>
      </c>
      <c r="C878" s="2">
        <v>3</v>
      </c>
      <c r="D878" s="2" t="s">
        <v>41</v>
      </c>
      <c r="E878" s="3">
        <v>44464</v>
      </c>
      <c r="F878" s="2" t="s">
        <v>173</v>
      </c>
      <c r="G878" s="2" t="s">
        <v>198</v>
      </c>
      <c r="H878" s="2" t="s">
        <v>44</v>
      </c>
      <c r="I878" s="4">
        <v>33421</v>
      </c>
    </row>
    <row r="879" spans="1:9" x14ac:dyDescent="0.25">
      <c r="A879" s="2" t="s">
        <v>18</v>
      </c>
      <c r="B879" s="2">
        <v>3000</v>
      </c>
      <c r="C879" s="2">
        <v>4</v>
      </c>
      <c r="D879" s="2" t="s">
        <v>38</v>
      </c>
      <c r="E879" s="3">
        <v>44482</v>
      </c>
      <c r="F879" s="2" t="s">
        <v>217</v>
      </c>
      <c r="G879" s="2" t="s">
        <v>326</v>
      </c>
      <c r="H879" s="2" t="s">
        <v>44</v>
      </c>
      <c r="I879" s="4">
        <v>19151</v>
      </c>
    </row>
    <row r="880" spans="1:9" x14ac:dyDescent="0.25">
      <c r="A880" s="2" t="s">
        <v>13</v>
      </c>
      <c r="B880" s="2">
        <v>2300</v>
      </c>
      <c r="C880" s="2">
        <v>4</v>
      </c>
      <c r="D880" s="2" t="s">
        <v>35</v>
      </c>
      <c r="E880" s="3">
        <v>44449</v>
      </c>
      <c r="F880" s="2" t="s">
        <v>60</v>
      </c>
      <c r="G880" s="2" t="s">
        <v>61</v>
      </c>
      <c r="H880" s="2" t="s">
        <v>49</v>
      </c>
      <c r="I880" s="4">
        <v>31683</v>
      </c>
    </row>
    <row r="881" spans="1:9" x14ac:dyDescent="0.25">
      <c r="A881" s="2" t="s">
        <v>9</v>
      </c>
      <c r="B881" s="2">
        <v>1500</v>
      </c>
      <c r="C881" s="2">
        <v>1</v>
      </c>
      <c r="D881" s="2" t="s">
        <v>29</v>
      </c>
      <c r="E881" s="3">
        <v>44203</v>
      </c>
      <c r="F881" s="2" t="s">
        <v>173</v>
      </c>
      <c r="G881" s="2" t="s">
        <v>181</v>
      </c>
      <c r="H881" s="2" t="s">
        <v>44</v>
      </c>
      <c r="I881" s="4">
        <v>32179</v>
      </c>
    </row>
    <row r="882" spans="1:9" x14ac:dyDescent="0.25">
      <c r="A882" s="2" t="s">
        <v>22</v>
      </c>
      <c r="B882" s="2">
        <v>5200</v>
      </c>
      <c r="C882" s="2">
        <v>4</v>
      </c>
      <c r="D882" s="2" t="s">
        <v>40</v>
      </c>
      <c r="E882" s="3">
        <v>44334</v>
      </c>
      <c r="F882" s="2" t="s">
        <v>461</v>
      </c>
      <c r="G882" s="2" t="s">
        <v>83</v>
      </c>
      <c r="H882" s="2" t="s">
        <v>49</v>
      </c>
      <c r="I882" s="4">
        <v>35735</v>
      </c>
    </row>
    <row r="883" spans="1:9" x14ac:dyDescent="0.25">
      <c r="A883" s="2" t="s">
        <v>8</v>
      </c>
      <c r="B883" s="2">
        <v>5500</v>
      </c>
      <c r="C883" s="2">
        <v>2</v>
      </c>
      <c r="D883" s="2" t="s">
        <v>39</v>
      </c>
      <c r="E883" s="3">
        <v>44364</v>
      </c>
      <c r="F883" s="2" t="s">
        <v>107</v>
      </c>
      <c r="G883" s="2" t="s">
        <v>89</v>
      </c>
      <c r="H883" s="2" t="s">
        <v>49</v>
      </c>
      <c r="I883" s="4">
        <v>31807</v>
      </c>
    </row>
    <row r="884" spans="1:9" x14ac:dyDescent="0.25">
      <c r="A884" s="2" t="s">
        <v>12</v>
      </c>
      <c r="B884" s="2">
        <v>6500</v>
      </c>
      <c r="C884" s="2">
        <v>1</v>
      </c>
      <c r="D884" s="2" t="s">
        <v>32</v>
      </c>
      <c r="E884" s="3">
        <v>44487</v>
      </c>
      <c r="F884" s="2" t="s">
        <v>377</v>
      </c>
      <c r="G884" s="2" t="s">
        <v>89</v>
      </c>
      <c r="H884" s="2" t="s">
        <v>49</v>
      </c>
      <c r="I884" s="4">
        <v>30121</v>
      </c>
    </row>
    <row r="885" spans="1:9" x14ac:dyDescent="0.25">
      <c r="A885" s="2" t="s">
        <v>22</v>
      </c>
      <c r="B885" s="2">
        <v>5200</v>
      </c>
      <c r="C885" s="2">
        <v>1</v>
      </c>
      <c r="D885" s="2" t="s">
        <v>31</v>
      </c>
      <c r="E885" s="3">
        <v>44361</v>
      </c>
      <c r="F885" s="2" t="s">
        <v>605</v>
      </c>
      <c r="G885" s="2" t="s">
        <v>380</v>
      </c>
      <c r="H885" s="2" t="s">
        <v>49</v>
      </c>
      <c r="I885" s="4">
        <v>33869</v>
      </c>
    </row>
    <row r="886" spans="1:9" x14ac:dyDescent="0.25">
      <c r="A886" s="2" t="s">
        <v>26</v>
      </c>
      <c r="B886" s="2">
        <v>1100</v>
      </c>
      <c r="C886" s="2">
        <v>2</v>
      </c>
      <c r="D886" s="2" t="s">
        <v>29</v>
      </c>
      <c r="E886" s="3">
        <v>44466</v>
      </c>
      <c r="F886" s="2" t="s">
        <v>129</v>
      </c>
      <c r="G886" s="2" t="s">
        <v>130</v>
      </c>
      <c r="H886" s="2" t="s">
        <v>49</v>
      </c>
      <c r="I886" s="4">
        <v>24024</v>
      </c>
    </row>
    <row r="887" spans="1:9" x14ac:dyDescent="0.25">
      <c r="A887" s="2" t="s">
        <v>12</v>
      </c>
      <c r="B887" s="2">
        <v>6500</v>
      </c>
      <c r="C887" s="2">
        <v>1</v>
      </c>
      <c r="D887" s="2" t="s">
        <v>39</v>
      </c>
      <c r="E887" s="3">
        <v>44514</v>
      </c>
      <c r="F887" s="2" t="s">
        <v>314</v>
      </c>
      <c r="G887" s="2" t="s">
        <v>315</v>
      </c>
      <c r="H887" s="2" t="s">
        <v>44</v>
      </c>
      <c r="I887" s="4">
        <v>31424</v>
      </c>
    </row>
    <row r="888" spans="1:9" x14ac:dyDescent="0.25">
      <c r="A888" s="2" t="s">
        <v>7</v>
      </c>
      <c r="B888" s="2">
        <v>750</v>
      </c>
      <c r="C888" s="2">
        <v>3</v>
      </c>
      <c r="D888" s="2" t="s">
        <v>34</v>
      </c>
      <c r="E888" s="3">
        <v>44210</v>
      </c>
      <c r="F888" s="2" t="s">
        <v>170</v>
      </c>
      <c r="G888" s="2" t="s">
        <v>325</v>
      </c>
      <c r="H888" s="2" t="s">
        <v>44</v>
      </c>
      <c r="I888" s="4">
        <v>31764</v>
      </c>
    </row>
    <row r="889" spans="1:9" x14ac:dyDescent="0.25">
      <c r="A889" s="2" t="s">
        <v>25</v>
      </c>
      <c r="B889" s="2">
        <v>2500</v>
      </c>
      <c r="C889" s="2">
        <v>4</v>
      </c>
      <c r="D889" s="2" t="s">
        <v>33</v>
      </c>
      <c r="E889" s="3">
        <v>44351</v>
      </c>
      <c r="F889" s="2" t="s">
        <v>219</v>
      </c>
      <c r="G889" s="2" t="s">
        <v>220</v>
      </c>
      <c r="H889" s="2" t="s">
        <v>49</v>
      </c>
      <c r="I889" s="4">
        <v>22589</v>
      </c>
    </row>
    <row r="890" spans="1:9" x14ac:dyDescent="0.25">
      <c r="A890" s="2" t="s">
        <v>8</v>
      </c>
      <c r="B890" s="2">
        <v>5500</v>
      </c>
      <c r="C890" s="2">
        <v>1</v>
      </c>
      <c r="D890" s="2" t="s">
        <v>40</v>
      </c>
      <c r="E890" s="3">
        <v>44524</v>
      </c>
      <c r="F890" s="2" t="s">
        <v>321</v>
      </c>
      <c r="G890" s="2" t="s">
        <v>55</v>
      </c>
      <c r="H890" s="2" t="s">
        <v>49</v>
      </c>
      <c r="I890" s="4">
        <v>22483</v>
      </c>
    </row>
    <row r="891" spans="1:9" x14ac:dyDescent="0.25">
      <c r="A891" s="2" t="s">
        <v>13</v>
      </c>
      <c r="B891" s="2">
        <v>2300</v>
      </c>
      <c r="C891" s="2">
        <v>5</v>
      </c>
      <c r="D891" s="2" t="s">
        <v>32</v>
      </c>
      <c r="E891" s="3">
        <v>44336</v>
      </c>
      <c r="F891" s="2" t="s">
        <v>137</v>
      </c>
      <c r="G891" s="2" t="s">
        <v>174</v>
      </c>
      <c r="H891" s="2" t="s">
        <v>49</v>
      </c>
      <c r="I891" s="4">
        <v>22798</v>
      </c>
    </row>
    <row r="892" spans="1:9" x14ac:dyDescent="0.25">
      <c r="A892" s="2" t="s">
        <v>13</v>
      </c>
      <c r="B892" s="2">
        <v>2300</v>
      </c>
      <c r="C892" s="2">
        <v>5</v>
      </c>
      <c r="D892" s="2" t="s">
        <v>30</v>
      </c>
      <c r="E892" s="3">
        <v>44484</v>
      </c>
      <c r="F892" s="2" t="s">
        <v>260</v>
      </c>
      <c r="G892" s="2" t="s">
        <v>261</v>
      </c>
      <c r="H892" s="2" t="s">
        <v>49</v>
      </c>
      <c r="I892" s="4">
        <v>33035</v>
      </c>
    </row>
    <row r="893" spans="1:9" x14ac:dyDescent="0.25">
      <c r="A893" s="2" t="s">
        <v>9</v>
      </c>
      <c r="B893" s="2">
        <v>1500</v>
      </c>
      <c r="C893" s="2">
        <v>3</v>
      </c>
      <c r="D893" s="2" t="s">
        <v>40</v>
      </c>
      <c r="E893" s="3">
        <v>44347</v>
      </c>
      <c r="F893" s="2" t="s">
        <v>293</v>
      </c>
      <c r="G893" s="2" t="s">
        <v>63</v>
      </c>
      <c r="H893" s="2" t="s">
        <v>49</v>
      </c>
      <c r="I893" s="4">
        <v>36322</v>
      </c>
    </row>
    <row r="894" spans="1:9" x14ac:dyDescent="0.25">
      <c r="A894" s="2" t="s">
        <v>26</v>
      </c>
      <c r="B894" s="2">
        <v>1100</v>
      </c>
      <c r="C894" s="2">
        <v>3</v>
      </c>
      <c r="D894" s="2" t="s">
        <v>31</v>
      </c>
      <c r="E894" s="3">
        <v>44508</v>
      </c>
      <c r="F894" s="2" t="s">
        <v>260</v>
      </c>
      <c r="G894" s="2" t="s">
        <v>203</v>
      </c>
      <c r="H894" s="2" t="s">
        <v>49</v>
      </c>
      <c r="I894" s="4">
        <v>29734</v>
      </c>
    </row>
    <row r="895" spans="1:9" x14ac:dyDescent="0.25">
      <c r="A895" s="2" t="s">
        <v>12</v>
      </c>
      <c r="B895" s="2">
        <v>6500</v>
      </c>
      <c r="C895" s="2">
        <v>4</v>
      </c>
      <c r="D895" s="2" t="s">
        <v>39</v>
      </c>
      <c r="E895" s="3">
        <v>44517</v>
      </c>
      <c r="F895" s="2" t="s">
        <v>64</v>
      </c>
      <c r="G895" s="2" t="s">
        <v>594</v>
      </c>
      <c r="H895" s="2" t="s">
        <v>44</v>
      </c>
      <c r="I895" s="4">
        <v>36419</v>
      </c>
    </row>
    <row r="896" spans="1:9" x14ac:dyDescent="0.25">
      <c r="A896" s="2" t="s">
        <v>27</v>
      </c>
      <c r="B896" s="2">
        <v>1500</v>
      </c>
      <c r="C896" s="2">
        <v>2</v>
      </c>
      <c r="D896" s="2" t="s">
        <v>40</v>
      </c>
      <c r="E896" s="3">
        <v>44388</v>
      </c>
      <c r="F896" s="2" t="s">
        <v>461</v>
      </c>
      <c r="G896" s="2" t="s">
        <v>83</v>
      </c>
      <c r="H896" s="2" t="s">
        <v>49</v>
      </c>
      <c r="I896" s="4">
        <v>35735</v>
      </c>
    </row>
    <row r="897" spans="1:9" x14ac:dyDescent="0.25">
      <c r="A897" s="2" t="s">
        <v>11</v>
      </c>
      <c r="B897" s="2">
        <v>4500</v>
      </c>
      <c r="C897" s="2">
        <v>2</v>
      </c>
      <c r="D897" s="2" t="s">
        <v>33</v>
      </c>
      <c r="E897" s="3">
        <v>44439</v>
      </c>
      <c r="F897" s="2" t="s">
        <v>460</v>
      </c>
      <c r="G897" s="2" t="s">
        <v>606</v>
      </c>
      <c r="H897" s="2" t="s">
        <v>49</v>
      </c>
      <c r="I897" s="4">
        <v>35669</v>
      </c>
    </row>
    <row r="898" spans="1:9" x14ac:dyDescent="0.25">
      <c r="A898" s="2" t="s">
        <v>10</v>
      </c>
      <c r="B898" s="2">
        <v>1450</v>
      </c>
      <c r="C898" s="2">
        <v>3</v>
      </c>
      <c r="D898" s="2" t="s">
        <v>35</v>
      </c>
      <c r="E898" s="3">
        <v>44464</v>
      </c>
      <c r="F898" s="2" t="s">
        <v>153</v>
      </c>
      <c r="G898" s="2" t="s">
        <v>143</v>
      </c>
      <c r="H898" s="2" t="s">
        <v>44</v>
      </c>
      <c r="I898" s="4">
        <v>18457</v>
      </c>
    </row>
    <row r="899" spans="1:9" x14ac:dyDescent="0.25">
      <c r="A899" s="2" t="s">
        <v>28</v>
      </c>
      <c r="B899" s="2">
        <v>1400</v>
      </c>
      <c r="C899" s="2">
        <v>1</v>
      </c>
      <c r="D899" s="2" t="s">
        <v>29</v>
      </c>
      <c r="E899" s="3">
        <v>44219</v>
      </c>
      <c r="F899" s="2" t="s">
        <v>107</v>
      </c>
      <c r="G899" s="2" t="s">
        <v>81</v>
      </c>
      <c r="H899" s="2" t="s">
        <v>49</v>
      </c>
      <c r="I899" s="4">
        <v>29856</v>
      </c>
    </row>
    <row r="900" spans="1:9" x14ac:dyDescent="0.25">
      <c r="A900" s="2" t="s">
        <v>24</v>
      </c>
      <c r="B900" s="2">
        <v>2000</v>
      </c>
      <c r="C900" s="2">
        <v>4</v>
      </c>
      <c r="D900" s="2" t="s">
        <v>36</v>
      </c>
      <c r="E900" s="3">
        <v>44370</v>
      </c>
      <c r="F900" s="2" t="s">
        <v>96</v>
      </c>
      <c r="G900" s="2" t="s">
        <v>97</v>
      </c>
      <c r="H900" s="2" t="s">
        <v>44</v>
      </c>
      <c r="I900" s="4">
        <v>28285</v>
      </c>
    </row>
    <row r="901" spans="1:9" x14ac:dyDescent="0.25">
      <c r="A901" s="2" t="s">
        <v>20</v>
      </c>
      <c r="B901" s="2">
        <v>2600</v>
      </c>
      <c r="C901" s="2">
        <v>3</v>
      </c>
      <c r="D901" s="2" t="s">
        <v>36</v>
      </c>
      <c r="E901" s="3">
        <v>44372</v>
      </c>
      <c r="F901" s="2" t="s">
        <v>87</v>
      </c>
      <c r="G901" s="2" t="s">
        <v>454</v>
      </c>
      <c r="H901" s="2" t="s">
        <v>44</v>
      </c>
      <c r="I901" s="4">
        <v>22986</v>
      </c>
    </row>
    <row r="902" spans="1:9" x14ac:dyDescent="0.25">
      <c r="A902" s="2" t="s">
        <v>23</v>
      </c>
      <c r="B902" s="2">
        <v>1500</v>
      </c>
      <c r="C902" s="2">
        <v>5</v>
      </c>
      <c r="D902" s="2" t="s">
        <v>34</v>
      </c>
      <c r="E902" s="3">
        <v>44500</v>
      </c>
      <c r="F902" s="2" t="s">
        <v>170</v>
      </c>
      <c r="G902" s="2" t="s">
        <v>325</v>
      </c>
      <c r="H902" s="2" t="s">
        <v>44</v>
      </c>
      <c r="I902" s="4">
        <v>31764</v>
      </c>
    </row>
    <row r="903" spans="1:9" x14ac:dyDescent="0.25">
      <c r="A903" s="2" t="s">
        <v>27</v>
      </c>
      <c r="B903" s="2">
        <v>1500</v>
      </c>
      <c r="C903" s="2">
        <v>2</v>
      </c>
      <c r="D903" s="2" t="s">
        <v>41</v>
      </c>
      <c r="E903" s="3">
        <v>44239</v>
      </c>
      <c r="F903" s="2" t="s">
        <v>177</v>
      </c>
      <c r="G903" s="2" t="s">
        <v>480</v>
      </c>
      <c r="H903" s="2" t="s">
        <v>49</v>
      </c>
      <c r="I903" s="4">
        <v>32007</v>
      </c>
    </row>
    <row r="904" spans="1:9" x14ac:dyDescent="0.25">
      <c r="A904" s="2" t="s">
        <v>14</v>
      </c>
      <c r="B904" s="2">
        <v>2000</v>
      </c>
      <c r="C904" s="2">
        <v>2</v>
      </c>
      <c r="D904" s="2" t="s">
        <v>36</v>
      </c>
      <c r="E904" s="3">
        <v>44457</v>
      </c>
      <c r="F904" s="2" t="s">
        <v>302</v>
      </c>
      <c r="G904" s="2" t="s">
        <v>566</v>
      </c>
      <c r="H904" s="2" t="s">
        <v>49</v>
      </c>
      <c r="I904" s="4">
        <v>27853</v>
      </c>
    </row>
    <row r="905" spans="1:9" x14ac:dyDescent="0.25">
      <c r="A905" s="2" t="s">
        <v>8</v>
      </c>
      <c r="B905" s="2">
        <v>5500</v>
      </c>
      <c r="C905" s="2">
        <v>5</v>
      </c>
      <c r="D905" s="2" t="s">
        <v>38</v>
      </c>
      <c r="E905" s="3">
        <v>44206</v>
      </c>
      <c r="F905" s="2" t="s">
        <v>140</v>
      </c>
      <c r="G905" s="2" t="s">
        <v>310</v>
      </c>
      <c r="H905" s="2" t="s">
        <v>49</v>
      </c>
      <c r="I905" s="4">
        <v>30655</v>
      </c>
    </row>
    <row r="906" spans="1:9" x14ac:dyDescent="0.25">
      <c r="A906" s="2" t="s">
        <v>27</v>
      </c>
      <c r="B906" s="2">
        <v>1500</v>
      </c>
      <c r="C906" s="2">
        <v>1</v>
      </c>
      <c r="D906" s="2" t="s">
        <v>32</v>
      </c>
      <c r="E906" s="3">
        <v>44423</v>
      </c>
      <c r="F906" s="2" t="s">
        <v>247</v>
      </c>
      <c r="G906" s="2" t="s">
        <v>308</v>
      </c>
      <c r="H906" s="2" t="s">
        <v>44</v>
      </c>
      <c r="I906" s="4">
        <v>20824</v>
      </c>
    </row>
    <row r="907" spans="1:9" x14ac:dyDescent="0.25">
      <c r="A907" s="2" t="s">
        <v>8</v>
      </c>
      <c r="B907" s="2">
        <v>5500</v>
      </c>
      <c r="C907" s="2">
        <v>1</v>
      </c>
      <c r="D907" s="2" t="s">
        <v>35</v>
      </c>
      <c r="E907" s="3">
        <v>44420</v>
      </c>
      <c r="F907" s="2" t="s">
        <v>153</v>
      </c>
      <c r="G907" s="2" t="s">
        <v>143</v>
      </c>
      <c r="H907" s="2" t="s">
        <v>44</v>
      </c>
      <c r="I907" s="4">
        <v>18457</v>
      </c>
    </row>
    <row r="908" spans="1:9" x14ac:dyDescent="0.25">
      <c r="A908" s="2" t="s">
        <v>18</v>
      </c>
      <c r="B908" s="2">
        <v>3000</v>
      </c>
      <c r="C908" s="2">
        <v>1</v>
      </c>
      <c r="D908" s="2" t="s">
        <v>32</v>
      </c>
      <c r="E908" s="3">
        <v>44561</v>
      </c>
      <c r="F908" s="2" t="s">
        <v>109</v>
      </c>
      <c r="G908" s="2" t="s">
        <v>243</v>
      </c>
      <c r="H908" s="2" t="s">
        <v>44</v>
      </c>
      <c r="I908" s="4">
        <v>19583</v>
      </c>
    </row>
    <row r="909" spans="1:9" x14ac:dyDescent="0.25">
      <c r="A909" s="2" t="s">
        <v>18</v>
      </c>
      <c r="B909" s="2">
        <v>3000</v>
      </c>
      <c r="C909" s="2">
        <v>5</v>
      </c>
      <c r="D909" s="2" t="s">
        <v>30</v>
      </c>
      <c r="E909" s="3">
        <v>44310</v>
      </c>
      <c r="F909" s="2" t="s">
        <v>134</v>
      </c>
      <c r="G909" s="2" t="s">
        <v>135</v>
      </c>
      <c r="H909" s="2" t="s">
        <v>49</v>
      </c>
      <c r="I909" s="4">
        <v>26564</v>
      </c>
    </row>
    <row r="910" spans="1:9" x14ac:dyDescent="0.25">
      <c r="A910" s="2" t="s">
        <v>21</v>
      </c>
      <c r="B910" s="2">
        <v>2400</v>
      </c>
      <c r="C910" s="2">
        <v>1</v>
      </c>
      <c r="D910" s="2" t="s">
        <v>34</v>
      </c>
      <c r="E910" s="3">
        <v>44508</v>
      </c>
      <c r="F910" s="2" t="s">
        <v>365</v>
      </c>
      <c r="G910" s="2" t="s">
        <v>220</v>
      </c>
      <c r="H910" s="2" t="s">
        <v>49</v>
      </c>
      <c r="I910" s="4">
        <v>28548</v>
      </c>
    </row>
    <row r="911" spans="1:9" x14ac:dyDescent="0.25">
      <c r="A911" s="2" t="s">
        <v>5</v>
      </c>
      <c r="B911" s="2">
        <v>1750</v>
      </c>
      <c r="C911" s="2">
        <v>3</v>
      </c>
      <c r="D911" s="2" t="s">
        <v>32</v>
      </c>
      <c r="E911" s="3">
        <v>44272</v>
      </c>
      <c r="F911" s="2" t="s">
        <v>190</v>
      </c>
      <c r="G911" s="2" t="s">
        <v>246</v>
      </c>
      <c r="H911" s="2" t="s">
        <v>44</v>
      </c>
      <c r="I911" s="4">
        <v>30077</v>
      </c>
    </row>
    <row r="912" spans="1:9" x14ac:dyDescent="0.25">
      <c r="A912" s="2" t="s">
        <v>23</v>
      </c>
      <c r="B912" s="2">
        <v>1500</v>
      </c>
      <c r="C912" s="2">
        <v>2</v>
      </c>
      <c r="D912" s="2" t="s">
        <v>29</v>
      </c>
      <c r="E912" s="3">
        <v>44329</v>
      </c>
      <c r="F912" s="2" t="s">
        <v>107</v>
      </c>
      <c r="G912" s="2" t="s">
        <v>81</v>
      </c>
      <c r="H912" s="2" t="s">
        <v>49</v>
      </c>
      <c r="I912" s="4">
        <v>29856</v>
      </c>
    </row>
    <row r="913" spans="1:9" x14ac:dyDescent="0.25">
      <c r="A913" s="2" t="s">
        <v>26</v>
      </c>
      <c r="B913" s="2">
        <v>1100</v>
      </c>
      <c r="C913" s="2">
        <v>5</v>
      </c>
      <c r="D913" s="2" t="s">
        <v>34</v>
      </c>
      <c r="E913" s="3">
        <v>44521</v>
      </c>
      <c r="F913" s="2" t="s">
        <v>439</v>
      </c>
      <c r="G913" s="2" t="s">
        <v>484</v>
      </c>
      <c r="H913" s="2" t="s">
        <v>44</v>
      </c>
      <c r="I913" s="4">
        <v>22560</v>
      </c>
    </row>
    <row r="914" spans="1:9" x14ac:dyDescent="0.25">
      <c r="A914" s="2" t="s">
        <v>14</v>
      </c>
      <c r="B914" s="2">
        <v>2000</v>
      </c>
      <c r="C914" s="2">
        <v>2</v>
      </c>
      <c r="D914" s="2" t="s">
        <v>37</v>
      </c>
      <c r="E914" s="3">
        <v>44423</v>
      </c>
      <c r="F914" s="2" t="s">
        <v>224</v>
      </c>
      <c r="G914" s="2" t="s">
        <v>171</v>
      </c>
      <c r="H914" s="2" t="s">
        <v>44</v>
      </c>
      <c r="I914" s="4">
        <v>22490</v>
      </c>
    </row>
    <row r="915" spans="1:9" x14ac:dyDescent="0.25">
      <c r="A915" s="2" t="s">
        <v>21</v>
      </c>
      <c r="B915" s="2">
        <v>2400</v>
      </c>
      <c r="C915" s="2">
        <v>3</v>
      </c>
      <c r="D915" s="2" t="s">
        <v>32</v>
      </c>
      <c r="E915" s="3">
        <v>44396</v>
      </c>
      <c r="F915" s="2" t="s">
        <v>50</v>
      </c>
      <c r="G915" s="2" t="s">
        <v>51</v>
      </c>
      <c r="H915" s="2" t="s">
        <v>49</v>
      </c>
      <c r="I915" s="4">
        <v>25021</v>
      </c>
    </row>
    <row r="916" spans="1:9" x14ac:dyDescent="0.25">
      <c r="A916" s="2" t="s">
        <v>16</v>
      </c>
      <c r="B916" s="2">
        <v>1400</v>
      </c>
      <c r="C916" s="2">
        <v>5</v>
      </c>
      <c r="D916" s="2" t="s">
        <v>37</v>
      </c>
      <c r="E916" s="3">
        <v>44532</v>
      </c>
      <c r="F916" s="2" t="s">
        <v>335</v>
      </c>
      <c r="G916" s="2" t="s">
        <v>83</v>
      </c>
      <c r="H916" s="2" t="s">
        <v>49</v>
      </c>
      <c r="I916" s="4">
        <v>29726</v>
      </c>
    </row>
    <row r="917" spans="1:9" x14ac:dyDescent="0.25">
      <c r="A917" s="2" t="s">
        <v>19</v>
      </c>
      <c r="B917" s="2">
        <v>700</v>
      </c>
      <c r="C917" s="2">
        <v>3</v>
      </c>
      <c r="D917" s="2" t="s">
        <v>30</v>
      </c>
      <c r="E917" s="3">
        <v>44401</v>
      </c>
      <c r="F917" s="2" t="s">
        <v>252</v>
      </c>
      <c r="G917" s="2" t="s">
        <v>253</v>
      </c>
      <c r="H917" s="2" t="s">
        <v>49</v>
      </c>
      <c r="I917" s="4">
        <v>30654</v>
      </c>
    </row>
    <row r="918" spans="1:9" x14ac:dyDescent="0.25">
      <c r="A918" s="2" t="s">
        <v>21</v>
      </c>
      <c r="B918" s="2">
        <v>2400</v>
      </c>
      <c r="C918" s="2">
        <v>2</v>
      </c>
      <c r="D918" s="2" t="s">
        <v>37</v>
      </c>
      <c r="E918" s="3">
        <v>44435</v>
      </c>
      <c r="F918" s="2" t="s">
        <v>202</v>
      </c>
      <c r="G918" s="2" t="s">
        <v>203</v>
      </c>
      <c r="H918" s="2" t="s">
        <v>49</v>
      </c>
      <c r="I918" s="4">
        <v>30193</v>
      </c>
    </row>
    <row r="919" spans="1:9" x14ac:dyDescent="0.25">
      <c r="A919" s="2" t="s">
        <v>21</v>
      </c>
      <c r="B919" s="2">
        <v>2400</v>
      </c>
      <c r="C919" s="2">
        <v>4</v>
      </c>
      <c r="D919" s="2" t="s">
        <v>32</v>
      </c>
      <c r="E919" s="3">
        <v>44473</v>
      </c>
      <c r="F919" s="2" t="s">
        <v>312</v>
      </c>
      <c r="G919" s="2" t="s">
        <v>63</v>
      </c>
      <c r="H919" s="2" t="s">
        <v>49</v>
      </c>
      <c r="I919" s="4">
        <v>20954</v>
      </c>
    </row>
    <row r="920" spans="1:9" x14ac:dyDescent="0.25">
      <c r="A920" s="2" t="s">
        <v>21</v>
      </c>
      <c r="B920" s="2">
        <v>2400</v>
      </c>
      <c r="C920" s="2">
        <v>2</v>
      </c>
      <c r="D920" s="2" t="s">
        <v>37</v>
      </c>
      <c r="E920" s="3">
        <v>44438</v>
      </c>
      <c r="F920" s="2" t="s">
        <v>87</v>
      </c>
      <c r="G920" s="2" t="s">
        <v>205</v>
      </c>
      <c r="H920" s="2" t="s">
        <v>44</v>
      </c>
      <c r="I920" s="4">
        <v>33504</v>
      </c>
    </row>
    <row r="921" spans="1:9" x14ac:dyDescent="0.25">
      <c r="A921" s="2" t="s">
        <v>24</v>
      </c>
      <c r="B921" s="2">
        <v>2000</v>
      </c>
      <c r="C921" s="2">
        <v>3</v>
      </c>
      <c r="D921" s="2" t="s">
        <v>35</v>
      </c>
      <c r="E921" s="3">
        <v>44263</v>
      </c>
      <c r="F921" s="2" t="s">
        <v>401</v>
      </c>
      <c r="G921" s="2" t="s">
        <v>292</v>
      </c>
      <c r="H921" s="2" t="s">
        <v>49</v>
      </c>
      <c r="I921" s="4">
        <v>21420</v>
      </c>
    </row>
    <row r="922" spans="1:9" x14ac:dyDescent="0.25">
      <c r="A922" s="2" t="s">
        <v>10</v>
      </c>
      <c r="B922" s="2">
        <v>1450</v>
      </c>
      <c r="C922" s="2">
        <v>3</v>
      </c>
      <c r="D922" s="2" t="s">
        <v>36</v>
      </c>
      <c r="E922" s="3">
        <v>44387</v>
      </c>
      <c r="F922" s="2" t="s">
        <v>486</v>
      </c>
      <c r="G922" s="2" t="s">
        <v>308</v>
      </c>
      <c r="H922" s="2" t="s">
        <v>44</v>
      </c>
      <c r="I922" s="4">
        <v>35988</v>
      </c>
    </row>
    <row r="923" spans="1:9" x14ac:dyDescent="0.25">
      <c r="A923" s="2" t="s">
        <v>19</v>
      </c>
      <c r="B923" s="2">
        <v>700</v>
      </c>
      <c r="C923" s="2">
        <v>1</v>
      </c>
      <c r="D923" s="2" t="s">
        <v>36</v>
      </c>
      <c r="E923" s="3">
        <v>44368</v>
      </c>
      <c r="F923" s="2" t="s">
        <v>306</v>
      </c>
      <c r="G923" s="2" t="s">
        <v>307</v>
      </c>
      <c r="H923" s="2" t="s">
        <v>49</v>
      </c>
      <c r="I923" s="4">
        <v>29978</v>
      </c>
    </row>
    <row r="924" spans="1:9" x14ac:dyDescent="0.25">
      <c r="A924" s="2" t="s">
        <v>14</v>
      </c>
      <c r="B924" s="2">
        <v>2000</v>
      </c>
      <c r="C924" s="2">
        <v>4</v>
      </c>
      <c r="D924" s="2" t="s">
        <v>34</v>
      </c>
      <c r="E924" s="3">
        <v>44400</v>
      </c>
      <c r="F924" s="2" t="s">
        <v>173</v>
      </c>
      <c r="G924" s="2" t="s">
        <v>174</v>
      </c>
      <c r="H924" s="2" t="s">
        <v>44</v>
      </c>
      <c r="I924" s="4">
        <v>20273</v>
      </c>
    </row>
    <row r="925" spans="1:9" x14ac:dyDescent="0.25">
      <c r="A925" s="2" t="s">
        <v>25</v>
      </c>
      <c r="B925" s="2">
        <v>2500</v>
      </c>
      <c r="C925" s="2">
        <v>3</v>
      </c>
      <c r="D925" s="2" t="s">
        <v>33</v>
      </c>
      <c r="E925" s="3">
        <v>44452</v>
      </c>
      <c r="F925" s="2" t="s">
        <v>54</v>
      </c>
      <c r="G925" s="2" t="s">
        <v>55</v>
      </c>
      <c r="H925" s="2" t="s">
        <v>49</v>
      </c>
      <c r="I925" s="4">
        <v>23250</v>
      </c>
    </row>
    <row r="926" spans="1:9" x14ac:dyDescent="0.25">
      <c r="A926" s="2" t="s">
        <v>8</v>
      </c>
      <c r="B926" s="2">
        <v>5500</v>
      </c>
      <c r="C926" s="2">
        <v>2</v>
      </c>
      <c r="D926" s="2" t="s">
        <v>31</v>
      </c>
      <c r="E926" s="3">
        <v>44289</v>
      </c>
      <c r="F926" s="2" t="s">
        <v>405</v>
      </c>
      <c r="G926" s="2" t="s">
        <v>451</v>
      </c>
      <c r="H926" s="2" t="s">
        <v>44</v>
      </c>
      <c r="I926" s="4">
        <v>22469</v>
      </c>
    </row>
    <row r="927" spans="1:9" x14ac:dyDescent="0.25">
      <c r="A927" s="2" t="s">
        <v>17</v>
      </c>
      <c r="B927" s="2">
        <v>1550</v>
      </c>
      <c r="C927" s="2">
        <v>1</v>
      </c>
      <c r="D927" s="2" t="s">
        <v>36</v>
      </c>
      <c r="E927" s="3">
        <v>44309</v>
      </c>
      <c r="F927" s="2" t="s">
        <v>595</v>
      </c>
      <c r="G927" s="2" t="s">
        <v>83</v>
      </c>
      <c r="H927" s="2" t="s">
        <v>49</v>
      </c>
      <c r="I927" s="4">
        <v>36243</v>
      </c>
    </row>
    <row r="928" spans="1:9" x14ac:dyDescent="0.25">
      <c r="A928" s="2" t="s">
        <v>7</v>
      </c>
      <c r="B928" s="2">
        <v>750</v>
      </c>
      <c r="C928" s="2">
        <v>5</v>
      </c>
      <c r="D928" s="2" t="s">
        <v>35</v>
      </c>
      <c r="E928" s="3">
        <v>44237</v>
      </c>
      <c r="F928" s="2" t="s">
        <v>84</v>
      </c>
      <c r="G928" s="2" t="s">
        <v>99</v>
      </c>
      <c r="H928" s="2" t="s">
        <v>44</v>
      </c>
      <c r="I928" s="4">
        <v>26109</v>
      </c>
    </row>
    <row r="929" spans="1:9" x14ac:dyDescent="0.25">
      <c r="A929" s="2" t="s">
        <v>14</v>
      </c>
      <c r="B929" s="2">
        <v>2000</v>
      </c>
      <c r="C929" s="2">
        <v>5</v>
      </c>
      <c r="D929" s="2" t="s">
        <v>29</v>
      </c>
      <c r="E929" s="3">
        <v>44422</v>
      </c>
      <c r="F929" s="2" t="s">
        <v>120</v>
      </c>
      <c r="G929" s="2" t="s">
        <v>121</v>
      </c>
      <c r="H929" s="2" t="s">
        <v>44</v>
      </c>
      <c r="I929" s="4">
        <v>23989</v>
      </c>
    </row>
    <row r="930" spans="1:9" x14ac:dyDescent="0.25">
      <c r="A930" s="2" t="s">
        <v>25</v>
      </c>
      <c r="B930" s="2">
        <v>2500</v>
      </c>
      <c r="C930" s="2">
        <v>1</v>
      </c>
      <c r="D930" s="2" t="s">
        <v>39</v>
      </c>
      <c r="E930" s="3">
        <v>44534</v>
      </c>
      <c r="F930" s="2" t="s">
        <v>60</v>
      </c>
      <c r="G930" s="2" t="s">
        <v>75</v>
      </c>
      <c r="H930" s="2" t="s">
        <v>49</v>
      </c>
      <c r="I930" s="4">
        <v>18664</v>
      </c>
    </row>
    <row r="931" spans="1:9" x14ac:dyDescent="0.25">
      <c r="A931" s="2" t="s">
        <v>15</v>
      </c>
      <c r="B931" s="2">
        <v>1900</v>
      </c>
      <c r="C931" s="2">
        <v>1</v>
      </c>
      <c r="D931" s="2" t="s">
        <v>31</v>
      </c>
      <c r="E931" s="3">
        <v>44531</v>
      </c>
      <c r="F931" s="2" t="s">
        <v>460</v>
      </c>
      <c r="G931" s="2" t="s">
        <v>308</v>
      </c>
      <c r="H931" s="2" t="s">
        <v>49</v>
      </c>
      <c r="I931" s="4">
        <v>25392</v>
      </c>
    </row>
    <row r="932" spans="1:9" x14ac:dyDescent="0.25">
      <c r="A932" s="2" t="s">
        <v>11</v>
      </c>
      <c r="B932" s="2">
        <v>4500</v>
      </c>
      <c r="C932" s="2">
        <v>5</v>
      </c>
      <c r="D932" s="2" t="s">
        <v>39</v>
      </c>
      <c r="E932" s="3">
        <v>44345</v>
      </c>
      <c r="F932" s="2" t="s">
        <v>284</v>
      </c>
      <c r="G932" s="2" t="s">
        <v>311</v>
      </c>
      <c r="H932" s="2" t="s">
        <v>49</v>
      </c>
      <c r="I932" s="4">
        <v>35065</v>
      </c>
    </row>
    <row r="933" spans="1:9" x14ac:dyDescent="0.25">
      <c r="A933" s="2" t="s">
        <v>9</v>
      </c>
      <c r="B933" s="2">
        <v>1500</v>
      </c>
      <c r="C933" s="2">
        <v>3</v>
      </c>
      <c r="D933" s="2" t="s">
        <v>40</v>
      </c>
      <c r="E933" s="3">
        <v>44256</v>
      </c>
      <c r="F933" s="2" t="s">
        <v>120</v>
      </c>
      <c r="G933" s="2" t="s">
        <v>578</v>
      </c>
      <c r="H933" s="2" t="s">
        <v>44</v>
      </c>
      <c r="I933" s="4">
        <v>27100</v>
      </c>
    </row>
    <row r="934" spans="1:9" x14ac:dyDescent="0.25">
      <c r="A934" s="2" t="s">
        <v>11</v>
      </c>
      <c r="B934" s="2">
        <v>4500</v>
      </c>
      <c r="C934" s="2">
        <v>3</v>
      </c>
      <c r="D934" s="2" t="s">
        <v>37</v>
      </c>
      <c r="E934" s="3">
        <v>44247</v>
      </c>
      <c r="F934" s="2" t="s">
        <v>144</v>
      </c>
      <c r="G934" s="2" t="s">
        <v>42</v>
      </c>
      <c r="H934" s="2" t="s">
        <v>49</v>
      </c>
      <c r="I934" s="4">
        <v>21953</v>
      </c>
    </row>
    <row r="935" spans="1:9" x14ac:dyDescent="0.25">
      <c r="A935" s="2" t="s">
        <v>22</v>
      </c>
      <c r="B935" s="2">
        <v>5200</v>
      </c>
      <c r="C935" s="2">
        <v>4</v>
      </c>
      <c r="D935" s="2" t="s">
        <v>35</v>
      </c>
      <c r="E935" s="3">
        <v>44327</v>
      </c>
      <c r="F935" s="2" t="s">
        <v>109</v>
      </c>
      <c r="G935" s="2" t="s">
        <v>287</v>
      </c>
      <c r="H935" s="2" t="s">
        <v>44</v>
      </c>
      <c r="I935" s="4">
        <v>25203</v>
      </c>
    </row>
    <row r="936" spans="1:9" x14ac:dyDescent="0.25">
      <c r="A936" s="2" t="s">
        <v>28</v>
      </c>
      <c r="B936" s="2">
        <v>1400</v>
      </c>
      <c r="C936" s="2">
        <v>1</v>
      </c>
      <c r="D936" s="2" t="s">
        <v>41</v>
      </c>
      <c r="E936" s="3">
        <v>44319</v>
      </c>
      <c r="F936" s="2" t="s">
        <v>403</v>
      </c>
      <c r="G936" s="2" t="s">
        <v>389</v>
      </c>
      <c r="H936" s="2" t="s">
        <v>49</v>
      </c>
      <c r="I936" s="4">
        <v>27050</v>
      </c>
    </row>
    <row r="937" spans="1:9" x14ac:dyDescent="0.25">
      <c r="A937" s="2" t="s">
        <v>18</v>
      </c>
      <c r="B937" s="2">
        <v>3000</v>
      </c>
      <c r="C937" s="2">
        <v>2</v>
      </c>
      <c r="D937" s="2" t="s">
        <v>38</v>
      </c>
      <c r="E937" s="3">
        <v>44462</v>
      </c>
      <c r="F937" s="2" t="s">
        <v>444</v>
      </c>
      <c r="G937" s="2" t="s">
        <v>322</v>
      </c>
      <c r="H937" s="2" t="s">
        <v>49</v>
      </c>
      <c r="I937" s="4">
        <v>32337</v>
      </c>
    </row>
    <row r="938" spans="1:9" x14ac:dyDescent="0.25">
      <c r="A938" s="2" t="s">
        <v>14</v>
      </c>
      <c r="B938" s="2">
        <v>2000</v>
      </c>
      <c r="C938" s="2">
        <v>2</v>
      </c>
      <c r="D938" s="2" t="s">
        <v>34</v>
      </c>
      <c r="E938" s="3">
        <v>44305</v>
      </c>
      <c r="F938" s="2" t="s">
        <v>148</v>
      </c>
      <c r="G938" s="2" t="s">
        <v>81</v>
      </c>
      <c r="H938" s="2" t="s">
        <v>49</v>
      </c>
      <c r="I938" s="4">
        <v>34473</v>
      </c>
    </row>
    <row r="939" spans="1:9" x14ac:dyDescent="0.25">
      <c r="A939" s="2" t="s">
        <v>19</v>
      </c>
      <c r="B939" s="2">
        <v>700</v>
      </c>
      <c r="C939" s="2">
        <v>5</v>
      </c>
      <c r="D939" s="2" t="s">
        <v>39</v>
      </c>
      <c r="E939" s="3">
        <v>44360</v>
      </c>
      <c r="F939" s="2" t="s">
        <v>533</v>
      </c>
      <c r="G939" s="2" t="s">
        <v>534</v>
      </c>
      <c r="H939" s="2" t="s">
        <v>49</v>
      </c>
      <c r="I939" s="4">
        <v>29459</v>
      </c>
    </row>
    <row r="940" spans="1:9" x14ac:dyDescent="0.25">
      <c r="A940" s="2" t="s">
        <v>22</v>
      </c>
      <c r="B940" s="2">
        <v>5200</v>
      </c>
      <c r="C940" s="2">
        <v>2</v>
      </c>
      <c r="D940" s="2" t="s">
        <v>39</v>
      </c>
      <c r="E940" s="3">
        <v>44430</v>
      </c>
      <c r="F940" s="2" t="s">
        <v>42</v>
      </c>
      <c r="G940" s="2" t="s">
        <v>63</v>
      </c>
      <c r="H940" s="2" t="s">
        <v>44</v>
      </c>
      <c r="I940" s="4">
        <v>22924</v>
      </c>
    </row>
    <row r="941" spans="1:9" x14ac:dyDescent="0.25">
      <c r="A941" s="2" t="s">
        <v>9</v>
      </c>
      <c r="B941" s="2">
        <v>1500</v>
      </c>
      <c r="C941" s="2">
        <v>3</v>
      </c>
      <c r="D941" s="2" t="s">
        <v>39</v>
      </c>
      <c r="E941" s="3">
        <v>44335</v>
      </c>
      <c r="F941" s="2" t="s">
        <v>247</v>
      </c>
      <c r="G941" s="2" t="s">
        <v>248</v>
      </c>
      <c r="H941" s="2" t="s">
        <v>44</v>
      </c>
      <c r="I941" s="4">
        <v>35911</v>
      </c>
    </row>
    <row r="942" spans="1:9" x14ac:dyDescent="0.25">
      <c r="A942" s="2" t="s">
        <v>5</v>
      </c>
      <c r="B942" s="2">
        <v>1750</v>
      </c>
      <c r="C942" s="2">
        <v>2</v>
      </c>
      <c r="D942" s="2" t="s">
        <v>32</v>
      </c>
      <c r="E942" s="3">
        <v>44293</v>
      </c>
      <c r="F942" s="2" t="s">
        <v>98</v>
      </c>
      <c r="G942" s="2" t="s">
        <v>380</v>
      </c>
      <c r="H942" s="2" t="s">
        <v>44</v>
      </c>
      <c r="I942" s="4">
        <v>29461</v>
      </c>
    </row>
    <row r="943" spans="1:9" x14ac:dyDescent="0.25">
      <c r="A943" s="2" t="s">
        <v>10</v>
      </c>
      <c r="B943" s="2">
        <v>1450</v>
      </c>
      <c r="C943" s="2">
        <v>4</v>
      </c>
      <c r="D943" s="2" t="s">
        <v>29</v>
      </c>
      <c r="E943" s="3">
        <v>44393</v>
      </c>
      <c r="F943" s="2" t="s">
        <v>190</v>
      </c>
      <c r="G943" s="2" t="s">
        <v>313</v>
      </c>
      <c r="H943" s="2" t="s">
        <v>44</v>
      </c>
      <c r="I943" s="4">
        <v>19708</v>
      </c>
    </row>
    <row r="944" spans="1:9" x14ac:dyDescent="0.25">
      <c r="A944" s="2" t="s">
        <v>24</v>
      </c>
      <c r="B944" s="2">
        <v>2000</v>
      </c>
      <c r="C944" s="2">
        <v>1</v>
      </c>
      <c r="D944" s="2" t="s">
        <v>29</v>
      </c>
      <c r="E944" s="3">
        <v>44426</v>
      </c>
      <c r="F944" s="2" t="s">
        <v>140</v>
      </c>
      <c r="G944" s="2" t="s">
        <v>246</v>
      </c>
      <c r="H944" s="2" t="s">
        <v>49</v>
      </c>
      <c r="I944" s="4">
        <v>20152</v>
      </c>
    </row>
    <row r="945" spans="1:9" x14ac:dyDescent="0.25">
      <c r="A945" s="2" t="s">
        <v>7</v>
      </c>
      <c r="B945" s="2">
        <v>750</v>
      </c>
      <c r="C945" s="2">
        <v>4</v>
      </c>
      <c r="D945" s="2" t="s">
        <v>35</v>
      </c>
      <c r="E945" s="3">
        <v>44484</v>
      </c>
      <c r="F945" s="2" t="s">
        <v>51</v>
      </c>
      <c r="G945" s="2" t="s">
        <v>524</v>
      </c>
      <c r="H945" s="2" t="s">
        <v>44</v>
      </c>
      <c r="I945" s="4">
        <v>24170</v>
      </c>
    </row>
    <row r="946" spans="1:9" x14ac:dyDescent="0.25">
      <c r="A946" s="2" t="s">
        <v>16</v>
      </c>
      <c r="B946" s="2">
        <v>1400</v>
      </c>
      <c r="C946" s="2">
        <v>5</v>
      </c>
      <c r="D946" s="2" t="s">
        <v>33</v>
      </c>
      <c r="E946" s="3">
        <v>44395</v>
      </c>
      <c r="F946" s="2" t="s">
        <v>385</v>
      </c>
      <c r="G946" s="2" t="s">
        <v>565</v>
      </c>
      <c r="H946" s="2" t="s">
        <v>44</v>
      </c>
      <c r="I946" s="4">
        <v>35467</v>
      </c>
    </row>
    <row r="947" spans="1:9" x14ac:dyDescent="0.25">
      <c r="A947" s="2" t="s">
        <v>23</v>
      </c>
      <c r="B947" s="2">
        <v>1500</v>
      </c>
      <c r="C947" s="2">
        <v>3</v>
      </c>
      <c r="D947" s="2" t="s">
        <v>32</v>
      </c>
      <c r="E947" s="3">
        <v>44426</v>
      </c>
      <c r="F947" s="2" t="s">
        <v>258</v>
      </c>
      <c r="G947" s="2" t="s">
        <v>164</v>
      </c>
      <c r="H947" s="2" t="s">
        <v>49</v>
      </c>
      <c r="I947" s="4">
        <v>21676</v>
      </c>
    </row>
    <row r="948" spans="1:9" x14ac:dyDescent="0.25">
      <c r="A948" s="2" t="s">
        <v>25</v>
      </c>
      <c r="B948" s="2">
        <v>2500</v>
      </c>
      <c r="C948" s="2">
        <v>3</v>
      </c>
      <c r="D948" s="2" t="s">
        <v>33</v>
      </c>
      <c r="E948" s="3">
        <v>44316</v>
      </c>
      <c r="F948" s="2" t="s">
        <v>76</v>
      </c>
      <c r="G948" s="2" t="s">
        <v>201</v>
      </c>
      <c r="H948" s="2" t="s">
        <v>49</v>
      </c>
      <c r="I948" s="4">
        <v>24594</v>
      </c>
    </row>
    <row r="949" spans="1:9" x14ac:dyDescent="0.25">
      <c r="A949" s="2" t="s">
        <v>23</v>
      </c>
      <c r="B949" s="2">
        <v>1500</v>
      </c>
      <c r="C949" s="2">
        <v>4</v>
      </c>
      <c r="D949" s="2" t="s">
        <v>35</v>
      </c>
      <c r="E949" s="3">
        <v>44488</v>
      </c>
      <c r="F949" s="2" t="s">
        <v>402</v>
      </c>
      <c r="G949" s="2" t="s">
        <v>292</v>
      </c>
      <c r="H949" s="2" t="s">
        <v>49</v>
      </c>
      <c r="I949" s="4">
        <v>24715</v>
      </c>
    </row>
    <row r="950" spans="1:9" x14ac:dyDescent="0.25">
      <c r="A950" s="2" t="s">
        <v>22</v>
      </c>
      <c r="B950" s="2">
        <v>5200</v>
      </c>
      <c r="C950" s="2">
        <v>2</v>
      </c>
      <c r="D950" s="2" t="s">
        <v>38</v>
      </c>
      <c r="E950" s="3">
        <v>44539</v>
      </c>
      <c r="F950" s="2" t="s">
        <v>272</v>
      </c>
      <c r="G950" s="2" t="s">
        <v>273</v>
      </c>
      <c r="H950" s="2" t="s">
        <v>49</v>
      </c>
      <c r="I950" s="4">
        <v>30689</v>
      </c>
    </row>
    <row r="951" spans="1:9" x14ac:dyDescent="0.25">
      <c r="A951" s="2" t="s">
        <v>23</v>
      </c>
      <c r="B951" s="2">
        <v>1500</v>
      </c>
      <c r="C951" s="2">
        <v>1</v>
      </c>
      <c r="D951" s="2" t="s">
        <v>38</v>
      </c>
      <c r="E951" s="3">
        <v>44290</v>
      </c>
      <c r="F951" s="2" t="s">
        <v>87</v>
      </c>
      <c r="G951" s="2" t="s">
        <v>133</v>
      </c>
      <c r="H951" s="2" t="s">
        <v>44</v>
      </c>
      <c r="I951" s="4">
        <v>36163</v>
      </c>
    </row>
    <row r="952" spans="1:9" x14ac:dyDescent="0.25">
      <c r="A952" s="2" t="s">
        <v>24</v>
      </c>
      <c r="B952" s="2">
        <v>2000</v>
      </c>
      <c r="C952" s="2">
        <v>4</v>
      </c>
      <c r="D952" s="2" t="s">
        <v>30</v>
      </c>
      <c r="E952" s="3">
        <v>44463</v>
      </c>
      <c r="F952" s="2" t="s">
        <v>45</v>
      </c>
      <c r="G952" s="2" t="s">
        <v>46</v>
      </c>
      <c r="H952" s="2" t="s">
        <v>44</v>
      </c>
      <c r="I952" s="4">
        <v>32614</v>
      </c>
    </row>
    <row r="953" spans="1:9" x14ac:dyDescent="0.25">
      <c r="A953" s="2" t="s">
        <v>10</v>
      </c>
      <c r="B953" s="2">
        <v>1450</v>
      </c>
      <c r="C953" s="2">
        <v>3</v>
      </c>
      <c r="D953" s="2" t="s">
        <v>30</v>
      </c>
      <c r="E953" s="3">
        <v>44538</v>
      </c>
      <c r="F953" s="2" t="s">
        <v>78</v>
      </c>
      <c r="G953" s="2" t="s">
        <v>443</v>
      </c>
      <c r="H953" s="2" t="s">
        <v>49</v>
      </c>
      <c r="I953" s="4">
        <v>35369</v>
      </c>
    </row>
    <row r="954" spans="1:9" x14ac:dyDescent="0.25">
      <c r="A954" s="2" t="s">
        <v>20</v>
      </c>
      <c r="B954" s="2">
        <v>2600</v>
      </c>
      <c r="C954" s="2">
        <v>3</v>
      </c>
      <c r="D954" s="2" t="s">
        <v>36</v>
      </c>
      <c r="E954" s="3">
        <v>44199</v>
      </c>
      <c r="F954" s="2" t="s">
        <v>408</v>
      </c>
      <c r="G954" s="2" t="s">
        <v>55</v>
      </c>
      <c r="H954" s="2" t="s">
        <v>49</v>
      </c>
      <c r="I954" s="4">
        <v>22393</v>
      </c>
    </row>
    <row r="955" spans="1:9" x14ac:dyDescent="0.25">
      <c r="A955" s="2" t="s">
        <v>15</v>
      </c>
      <c r="B955" s="2">
        <v>1900</v>
      </c>
      <c r="C955" s="2">
        <v>1</v>
      </c>
      <c r="D955" s="2" t="s">
        <v>39</v>
      </c>
      <c r="E955" s="3">
        <v>44521</v>
      </c>
      <c r="F955" s="2" t="s">
        <v>60</v>
      </c>
      <c r="G955" s="2" t="s">
        <v>75</v>
      </c>
      <c r="H955" s="2" t="s">
        <v>49</v>
      </c>
      <c r="I955" s="4">
        <v>18664</v>
      </c>
    </row>
    <row r="956" spans="1:9" x14ac:dyDescent="0.25">
      <c r="A956" s="2" t="s">
        <v>11</v>
      </c>
      <c r="B956" s="2">
        <v>4500</v>
      </c>
      <c r="C956" s="2">
        <v>5</v>
      </c>
      <c r="D956" s="2" t="s">
        <v>39</v>
      </c>
      <c r="E956" s="3">
        <v>44531</v>
      </c>
      <c r="F956" s="2" t="s">
        <v>289</v>
      </c>
      <c r="G956" s="2" t="s">
        <v>83</v>
      </c>
      <c r="H956" s="2" t="s">
        <v>44</v>
      </c>
      <c r="I956" s="4">
        <v>20233</v>
      </c>
    </row>
    <row r="957" spans="1:9" x14ac:dyDescent="0.25">
      <c r="A957" s="2" t="s">
        <v>25</v>
      </c>
      <c r="B957" s="2">
        <v>2500</v>
      </c>
      <c r="C957" s="2">
        <v>2</v>
      </c>
      <c r="D957" s="2" t="s">
        <v>41</v>
      </c>
      <c r="E957" s="3">
        <v>44280</v>
      </c>
      <c r="F957" s="2" t="s">
        <v>267</v>
      </c>
      <c r="G957" s="2" t="s">
        <v>308</v>
      </c>
      <c r="H957" s="2" t="s">
        <v>44</v>
      </c>
      <c r="I957" s="4">
        <v>30823</v>
      </c>
    </row>
    <row r="958" spans="1:9" x14ac:dyDescent="0.25">
      <c r="A958" s="2" t="s">
        <v>19</v>
      </c>
      <c r="B958" s="2">
        <v>700</v>
      </c>
      <c r="C958" s="2">
        <v>1</v>
      </c>
      <c r="D958" s="2" t="s">
        <v>30</v>
      </c>
      <c r="E958" s="3">
        <v>44290</v>
      </c>
      <c r="F958" s="2" t="s">
        <v>120</v>
      </c>
      <c r="G958" s="2" t="s">
        <v>549</v>
      </c>
      <c r="H958" s="2" t="s">
        <v>44</v>
      </c>
      <c r="I958" s="4">
        <v>21751</v>
      </c>
    </row>
    <row r="959" spans="1:9" x14ac:dyDescent="0.25">
      <c r="A959" s="2" t="s">
        <v>17</v>
      </c>
      <c r="B959" s="2">
        <v>1550</v>
      </c>
      <c r="C959" s="2">
        <v>4</v>
      </c>
      <c r="D959" s="2" t="s">
        <v>33</v>
      </c>
      <c r="E959" s="3">
        <v>44384</v>
      </c>
      <c r="F959" s="2" t="s">
        <v>601</v>
      </c>
      <c r="G959" s="2" t="s">
        <v>123</v>
      </c>
      <c r="H959" s="2" t="s">
        <v>44</v>
      </c>
      <c r="I959" s="4">
        <v>29735</v>
      </c>
    </row>
    <row r="960" spans="1:9" x14ac:dyDescent="0.25">
      <c r="A960" s="2" t="s">
        <v>5</v>
      </c>
      <c r="B960" s="2">
        <v>1750</v>
      </c>
      <c r="C960" s="2">
        <v>5</v>
      </c>
      <c r="D960" s="2" t="s">
        <v>31</v>
      </c>
      <c r="E960" s="3">
        <v>44391</v>
      </c>
      <c r="F960" s="2" t="s">
        <v>98</v>
      </c>
      <c r="G960" s="2" t="s">
        <v>508</v>
      </c>
      <c r="H960" s="2" t="s">
        <v>44</v>
      </c>
      <c r="I960" s="4">
        <v>33252</v>
      </c>
    </row>
    <row r="961" spans="1:9" x14ac:dyDescent="0.25">
      <c r="A961" s="2" t="s">
        <v>15</v>
      </c>
      <c r="B961" s="2">
        <v>1900</v>
      </c>
      <c r="C961" s="2">
        <v>5</v>
      </c>
      <c r="D961" s="2" t="s">
        <v>40</v>
      </c>
      <c r="E961" s="3">
        <v>44323</v>
      </c>
      <c r="F961" s="2" t="s">
        <v>80</v>
      </c>
      <c r="G961" s="2" t="s">
        <v>75</v>
      </c>
      <c r="H961" s="2" t="s">
        <v>44</v>
      </c>
      <c r="I961" s="4">
        <v>32180</v>
      </c>
    </row>
    <row r="962" spans="1:9" x14ac:dyDescent="0.25">
      <c r="A962" s="2" t="s">
        <v>10</v>
      </c>
      <c r="B962" s="2">
        <v>1450</v>
      </c>
      <c r="C962" s="2">
        <v>3</v>
      </c>
      <c r="D962" s="2" t="s">
        <v>32</v>
      </c>
      <c r="E962" s="3">
        <v>44377</v>
      </c>
      <c r="F962" s="2" t="s">
        <v>155</v>
      </c>
      <c r="G962" s="2" t="s">
        <v>274</v>
      </c>
      <c r="H962" s="2" t="s">
        <v>44</v>
      </c>
      <c r="I962" s="4">
        <v>33478</v>
      </c>
    </row>
    <row r="963" spans="1:9" x14ac:dyDescent="0.25">
      <c r="A963" s="2" t="s">
        <v>5</v>
      </c>
      <c r="B963" s="2">
        <v>1750</v>
      </c>
      <c r="C963" s="2">
        <v>2</v>
      </c>
      <c r="D963" s="2" t="s">
        <v>37</v>
      </c>
      <c r="E963" s="3">
        <v>44416</v>
      </c>
      <c r="F963" s="2" t="s">
        <v>202</v>
      </c>
      <c r="G963" s="2" t="s">
        <v>203</v>
      </c>
      <c r="H963" s="2" t="s">
        <v>49</v>
      </c>
      <c r="I963" s="4">
        <v>30193</v>
      </c>
    </row>
    <row r="964" spans="1:9" x14ac:dyDescent="0.25">
      <c r="A964" s="2" t="s">
        <v>24</v>
      </c>
      <c r="B964" s="2">
        <v>2000</v>
      </c>
      <c r="C964" s="2">
        <v>4</v>
      </c>
      <c r="D964" s="2" t="s">
        <v>31</v>
      </c>
      <c r="E964" s="3">
        <v>44206</v>
      </c>
      <c r="F964" s="2" t="s">
        <v>259</v>
      </c>
      <c r="G964" s="2" t="s">
        <v>276</v>
      </c>
      <c r="H964" s="2" t="s">
        <v>49</v>
      </c>
      <c r="I964" s="4">
        <v>25235</v>
      </c>
    </row>
    <row r="965" spans="1:9" x14ac:dyDescent="0.25">
      <c r="A965" s="2" t="s">
        <v>8</v>
      </c>
      <c r="B965" s="2">
        <v>5500</v>
      </c>
      <c r="C965" s="2">
        <v>3</v>
      </c>
      <c r="D965" s="2" t="s">
        <v>38</v>
      </c>
      <c r="E965" s="3">
        <v>44528</v>
      </c>
      <c r="F965" s="2" t="s">
        <v>107</v>
      </c>
      <c r="G965" s="2" t="s">
        <v>340</v>
      </c>
      <c r="H965" s="2" t="s">
        <v>49</v>
      </c>
      <c r="I965" s="4">
        <v>23329</v>
      </c>
    </row>
    <row r="966" spans="1:9" x14ac:dyDescent="0.25">
      <c r="A966" s="2" t="s">
        <v>24</v>
      </c>
      <c r="B966" s="2">
        <v>2000</v>
      </c>
      <c r="C966" s="2">
        <v>5</v>
      </c>
      <c r="D966" s="2" t="s">
        <v>32</v>
      </c>
      <c r="E966" s="3">
        <v>44230</v>
      </c>
      <c r="F966" s="2" t="s">
        <v>161</v>
      </c>
      <c r="G966" s="2" t="s">
        <v>105</v>
      </c>
      <c r="H966" s="2" t="s">
        <v>49</v>
      </c>
      <c r="I966" s="4">
        <v>36694</v>
      </c>
    </row>
    <row r="967" spans="1:9" x14ac:dyDescent="0.25">
      <c r="A967" s="2" t="s">
        <v>25</v>
      </c>
      <c r="B967" s="2">
        <v>2500</v>
      </c>
      <c r="C967" s="2">
        <v>3</v>
      </c>
      <c r="D967" s="2" t="s">
        <v>39</v>
      </c>
      <c r="E967" s="3">
        <v>44423</v>
      </c>
      <c r="F967" s="2" t="s">
        <v>518</v>
      </c>
      <c r="G967" s="2" t="s">
        <v>273</v>
      </c>
      <c r="H967" s="2" t="s">
        <v>44</v>
      </c>
      <c r="I967" s="4">
        <v>33177</v>
      </c>
    </row>
    <row r="968" spans="1:9" x14ac:dyDescent="0.25">
      <c r="A968" s="2" t="s">
        <v>27</v>
      </c>
      <c r="B968" s="2">
        <v>1500</v>
      </c>
      <c r="C968" s="2">
        <v>2</v>
      </c>
      <c r="D968" s="2" t="s">
        <v>29</v>
      </c>
      <c r="E968" s="3">
        <v>44372</v>
      </c>
      <c r="F968" s="2" t="s">
        <v>120</v>
      </c>
      <c r="G968" s="2" t="s">
        <v>71</v>
      </c>
      <c r="H968" s="2" t="s">
        <v>44</v>
      </c>
      <c r="I968" s="4">
        <v>32835</v>
      </c>
    </row>
    <row r="969" spans="1:9" x14ac:dyDescent="0.25">
      <c r="A969" s="2" t="s">
        <v>28</v>
      </c>
      <c r="B969" s="2">
        <v>1400</v>
      </c>
      <c r="C969" s="2">
        <v>4</v>
      </c>
      <c r="D969" s="2" t="s">
        <v>38</v>
      </c>
      <c r="E969" s="3">
        <v>44458</v>
      </c>
      <c r="F969" s="2" t="s">
        <v>217</v>
      </c>
      <c r="G969" s="2" t="s">
        <v>326</v>
      </c>
      <c r="H969" s="2" t="s">
        <v>44</v>
      </c>
      <c r="I969" s="4">
        <v>19151</v>
      </c>
    </row>
    <row r="970" spans="1:9" x14ac:dyDescent="0.25">
      <c r="A970" s="2" t="s">
        <v>12</v>
      </c>
      <c r="B970" s="2">
        <v>6500</v>
      </c>
      <c r="C970" s="2">
        <v>5</v>
      </c>
      <c r="D970" s="2" t="s">
        <v>29</v>
      </c>
      <c r="E970" s="3">
        <v>44414</v>
      </c>
      <c r="F970" s="2" t="s">
        <v>293</v>
      </c>
      <c r="G970" s="2" t="s">
        <v>495</v>
      </c>
      <c r="H970" s="2" t="s">
        <v>49</v>
      </c>
      <c r="I970" s="4">
        <v>35510</v>
      </c>
    </row>
    <row r="971" spans="1:9" x14ac:dyDescent="0.25">
      <c r="A971" s="2" t="s">
        <v>9</v>
      </c>
      <c r="B971" s="2">
        <v>1500</v>
      </c>
      <c r="C971" s="2">
        <v>2</v>
      </c>
      <c r="D971" s="2" t="s">
        <v>30</v>
      </c>
      <c r="E971" s="3">
        <v>44479</v>
      </c>
      <c r="F971" s="2" t="s">
        <v>260</v>
      </c>
      <c r="G971" s="2" t="s">
        <v>261</v>
      </c>
      <c r="H971" s="2" t="s">
        <v>49</v>
      </c>
      <c r="I971" s="4">
        <v>33035</v>
      </c>
    </row>
    <row r="972" spans="1:9" x14ac:dyDescent="0.25">
      <c r="A972" s="2" t="s">
        <v>23</v>
      </c>
      <c r="B972" s="2">
        <v>1500</v>
      </c>
      <c r="C972" s="2">
        <v>2</v>
      </c>
      <c r="D972" s="2" t="s">
        <v>29</v>
      </c>
      <c r="E972" s="3">
        <v>44336</v>
      </c>
      <c r="F972" s="2" t="s">
        <v>173</v>
      </c>
      <c r="G972" s="2" t="s">
        <v>181</v>
      </c>
      <c r="H972" s="2" t="s">
        <v>44</v>
      </c>
      <c r="I972" s="4">
        <v>32179</v>
      </c>
    </row>
    <row r="973" spans="1:9" x14ac:dyDescent="0.25">
      <c r="A973" s="2" t="s">
        <v>23</v>
      </c>
      <c r="B973" s="2">
        <v>1500</v>
      </c>
      <c r="C973" s="2">
        <v>1</v>
      </c>
      <c r="D973" s="2" t="s">
        <v>29</v>
      </c>
      <c r="E973" s="3">
        <v>44510</v>
      </c>
      <c r="F973" s="2" t="s">
        <v>109</v>
      </c>
      <c r="G973" s="2" t="s">
        <v>291</v>
      </c>
      <c r="H973" s="2" t="s">
        <v>44</v>
      </c>
      <c r="I973" s="4">
        <v>29680</v>
      </c>
    </row>
    <row r="974" spans="1:9" x14ac:dyDescent="0.25">
      <c r="A974" s="2" t="s">
        <v>15</v>
      </c>
      <c r="B974" s="2">
        <v>1900</v>
      </c>
      <c r="C974" s="2">
        <v>4</v>
      </c>
      <c r="D974" s="2" t="s">
        <v>41</v>
      </c>
      <c r="E974" s="3">
        <v>44428</v>
      </c>
      <c r="F974" s="2" t="s">
        <v>190</v>
      </c>
      <c r="G974" s="2" t="s">
        <v>174</v>
      </c>
      <c r="H974" s="2" t="s">
        <v>44</v>
      </c>
      <c r="I974" s="4">
        <v>22769</v>
      </c>
    </row>
    <row r="975" spans="1:9" x14ac:dyDescent="0.25">
      <c r="A975" s="2" t="s">
        <v>7</v>
      </c>
      <c r="B975" s="2">
        <v>750</v>
      </c>
      <c r="C975" s="2">
        <v>4</v>
      </c>
      <c r="D975" s="2" t="s">
        <v>40</v>
      </c>
      <c r="E975" s="3">
        <v>44366</v>
      </c>
      <c r="F975" s="2" t="s">
        <v>470</v>
      </c>
      <c r="G975" s="2" t="s">
        <v>83</v>
      </c>
      <c r="H975" s="2" t="s">
        <v>49</v>
      </c>
      <c r="I975" s="4">
        <v>26920</v>
      </c>
    </row>
    <row r="976" spans="1:9" x14ac:dyDescent="0.25">
      <c r="A976" s="2" t="s">
        <v>25</v>
      </c>
      <c r="B976" s="2">
        <v>2500</v>
      </c>
      <c r="C976" s="2">
        <v>2</v>
      </c>
      <c r="D976" s="2" t="s">
        <v>31</v>
      </c>
      <c r="E976" s="3">
        <v>44472</v>
      </c>
      <c r="F976" s="2" t="s">
        <v>66</v>
      </c>
      <c r="G976" s="2" t="s">
        <v>238</v>
      </c>
      <c r="H976" s="2" t="s">
        <v>44</v>
      </c>
      <c r="I976" s="4">
        <v>31319</v>
      </c>
    </row>
    <row r="977" spans="1:9" x14ac:dyDescent="0.25">
      <c r="A977" s="2" t="s">
        <v>10</v>
      </c>
      <c r="B977" s="2">
        <v>1450</v>
      </c>
      <c r="C977" s="2">
        <v>2</v>
      </c>
      <c r="D977" s="2" t="s">
        <v>41</v>
      </c>
      <c r="E977" s="3">
        <v>44287</v>
      </c>
      <c r="F977" s="2" t="s">
        <v>179</v>
      </c>
      <c r="G977" s="2" t="s">
        <v>193</v>
      </c>
      <c r="H977" s="2" t="s">
        <v>44</v>
      </c>
      <c r="I977" s="4">
        <v>26033</v>
      </c>
    </row>
    <row r="978" spans="1:9" x14ac:dyDescent="0.25">
      <c r="A978" s="2" t="s">
        <v>18</v>
      </c>
      <c r="B978" s="2">
        <v>3000</v>
      </c>
      <c r="C978" s="2">
        <v>1</v>
      </c>
      <c r="D978" s="2" t="s">
        <v>30</v>
      </c>
      <c r="E978" s="3">
        <v>44500</v>
      </c>
      <c r="F978" s="2" t="s">
        <v>66</v>
      </c>
      <c r="G978" s="2" t="s">
        <v>230</v>
      </c>
      <c r="H978" s="2" t="s">
        <v>44</v>
      </c>
      <c r="I978" s="4">
        <v>21983</v>
      </c>
    </row>
    <row r="979" spans="1:9" x14ac:dyDescent="0.25">
      <c r="A979" s="2" t="s">
        <v>21</v>
      </c>
      <c r="B979" s="2">
        <v>2400</v>
      </c>
      <c r="C979" s="2">
        <v>3</v>
      </c>
      <c r="D979" s="2" t="s">
        <v>30</v>
      </c>
      <c r="E979" s="3">
        <v>44527</v>
      </c>
      <c r="F979" s="2" t="s">
        <v>66</v>
      </c>
      <c r="G979" s="2" t="s">
        <v>230</v>
      </c>
      <c r="H979" s="2" t="s">
        <v>44</v>
      </c>
      <c r="I979" s="4">
        <v>21983</v>
      </c>
    </row>
    <row r="980" spans="1:9" x14ac:dyDescent="0.25">
      <c r="A980" s="2" t="s">
        <v>12</v>
      </c>
      <c r="B980" s="2">
        <v>6500</v>
      </c>
      <c r="C980" s="2">
        <v>1</v>
      </c>
      <c r="D980" s="2" t="s">
        <v>29</v>
      </c>
      <c r="E980" s="3">
        <v>44355</v>
      </c>
      <c r="F980" s="2" t="s">
        <v>228</v>
      </c>
      <c r="G980" s="2" t="s">
        <v>207</v>
      </c>
      <c r="H980" s="2" t="s">
        <v>44</v>
      </c>
      <c r="I980" s="4">
        <v>18957</v>
      </c>
    </row>
    <row r="981" spans="1:9" x14ac:dyDescent="0.25">
      <c r="A981" s="2" t="s">
        <v>10</v>
      </c>
      <c r="B981" s="2">
        <v>1450</v>
      </c>
      <c r="C981" s="2">
        <v>1</v>
      </c>
      <c r="D981" s="2" t="s">
        <v>31</v>
      </c>
      <c r="E981" s="3">
        <v>44416</v>
      </c>
      <c r="F981" s="2" t="s">
        <v>257</v>
      </c>
      <c r="G981" s="2" t="s">
        <v>345</v>
      </c>
      <c r="H981" s="2" t="s">
        <v>44</v>
      </c>
      <c r="I981" s="4">
        <v>36422</v>
      </c>
    </row>
    <row r="982" spans="1:9" x14ac:dyDescent="0.25">
      <c r="A982" s="2" t="s">
        <v>18</v>
      </c>
      <c r="B982" s="2">
        <v>3000</v>
      </c>
      <c r="C982" s="2">
        <v>4</v>
      </c>
      <c r="D982" s="2" t="s">
        <v>32</v>
      </c>
      <c r="E982" s="3">
        <v>44287</v>
      </c>
      <c r="F982" s="2" t="s">
        <v>70</v>
      </c>
      <c r="G982" s="2" t="s">
        <v>360</v>
      </c>
      <c r="H982" s="2" t="s">
        <v>44</v>
      </c>
      <c r="I982" s="4">
        <v>32167</v>
      </c>
    </row>
    <row r="983" spans="1:9" x14ac:dyDescent="0.25">
      <c r="A983" s="2" t="s">
        <v>14</v>
      </c>
      <c r="B983" s="2">
        <v>2000</v>
      </c>
      <c r="C983" s="2">
        <v>1</v>
      </c>
      <c r="D983" s="2" t="s">
        <v>33</v>
      </c>
      <c r="E983" s="3">
        <v>44283</v>
      </c>
      <c r="F983" s="2" t="s">
        <v>190</v>
      </c>
      <c r="G983" s="2" t="s">
        <v>63</v>
      </c>
      <c r="H983" s="2" t="s">
        <v>44</v>
      </c>
      <c r="I983" s="4">
        <v>33780</v>
      </c>
    </row>
    <row r="984" spans="1:9" x14ac:dyDescent="0.25">
      <c r="A984" s="2" t="s">
        <v>19</v>
      </c>
      <c r="B984" s="2">
        <v>700</v>
      </c>
      <c r="C984" s="2">
        <v>5</v>
      </c>
      <c r="D984" s="2" t="s">
        <v>34</v>
      </c>
      <c r="E984" s="3">
        <v>44440</v>
      </c>
      <c r="F984" s="2" t="s">
        <v>74</v>
      </c>
      <c r="G984" s="2" t="s">
        <v>213</v>
      </c>
      <c r="H984" s="2" t="s">
        <v>44</v>
      </c>
      <c r="I984" s="4">
        <v>31453</v>
      </c>
    </row>
    <row r="985" spans="1:9" x14ac:dyDescent="0.25">
      <c r="A985" s="2" t="s">
        <v>17</v>
      </c>
      <c r="B985" s="2">
        <v>1550</v>
      </c>
      <c r="C985" s="2">
        <v>3</v>
      </c>
      <c r="D985" s="2" t="s">
        <v>30</v>
      </c>
      <c r="E985" s="3">
        <v>44495</v>
      </c>
      <c r="F985" s="2" t="s">
        <v>506</v>
      </c>
      <c r="G985" s="2" t="s">
        <v>269</v>
      </c>
      <c r="H985" s="2" t="s">
        <v>49</v>
      </c>
      <c r="I985" s="4">
        <v>18645</v>
      </c>
    </row>
    <row r="986" spans="1:9" x14ac:dyDescent="0.25">
      <c r="A986" s="2" t="s">
        <v>22</v>
      </c>
      <c r="B986" s="2">
        <v>5200</v>
      </c>
      <c r="C986" s="2">
        <v>3</v>
      </c>
      <c r="D986" s="2" t="s">
        <v>32</v>
      </c>
      <c r="E986" s="3">
        <v>44486</v>
      </c>
      <c r="F986" s="2" t="s">
        <v>548</v>
      </c>
      <c r="G986" s="2" t="s">
        <v>203</v>
      </c>
      <c r="H986" s="2" t="s">
        <v>49</v>
      </c>
      <c r="I986" s="4">
        <v>24586</v>
      </c>
    </row>
    <row r="987" spans="1:9" x14ac:dyDescent="0.25">
      <c r="A987" s="2" t="s">
        <v>13</v>
      </c>
      <c r="B987" s="2">
        <v>2300</v>
      </c>
      <c r="C987" s="2">
        <v>4</v>
      </c>
      <c r="D987" s="2" t="s">
        <v>31</v>
      </c>
      <c r="E987" s="3">
        <v>44390</v>
      </c>
      <c r="F987" s="2" t="s">
        <v>288</v>
      </c>
      <c r="G987" s="2" t="s">
        <v>362</v>
      </c>
      <c r="H987" s="2" t="s">
        <v>49</v>
      </c>
      <c r="I987" s="4">
        <v>24425</v>
      </c>
    </row>
    <row r="988" spans="1:9" x14ac:dyDescent="0.25">
      <c r="A988" s="2" t="s">
        <v>21</v>
      </c>
      <c r="B988" s="2">
        <v>2400</v>
      </c>
      <c r="C988" s="2">
        <v>1</v>
      </c>
      <c r="D988" s="2" t="s">
        <v>38</v>
      </c>
      <c r="E988" s="3">
        <v>44330</v>
      </c>
      <c r="F988" s="2" t="s">
        <v>216</v>
      </c>
      <c r="G988" s="2" t="s">
        <v>502</v>
      </c>
      <c r="H988" s="2" t="s">
        <v>44</v>
      </c>
      <c r="I988" s="4">
        <v>18757</v>
      </c>
    </row>
    <row r="989" spans="1:9" x14ac:dyDescent="0.25">
      <c r="A989" s="2" t="s">
        <v>17</v>
      </c>
      <c r="B989" s="2">
        <v>1550</v>
      </c>
      <c r="C989" s="2">
        <v>1</v>
      </c>
      <c r="D989" s="2" t="s">
        <v>41</v>
      </c>
      <c r="E989" s="3">
        <v>44372</v>
      </c>
      <c r="F989" s="2" t="s">
        <v>216</v>
      </c>
      <c r="G989" s="2" t="s">
        <v>274</v>
      </c>
      <c r="H989" s="2" t="s">
        <v>44</v>
      </c>
      <c r="I989" s="4">
        <v>35037</v>
      </c>
    </row>
    <row r="990" spans="1:9" x14ac:dyDescent="0.25">
      <c r="A990" s="2" t="s">
        <v>11</v>
      </c>
      <c r="B990" s="2">
        <v>4500</v>
      </c>
      <c r="C990" s="2">
        <v>4</v>
      </c>
      <c r="D990" s="2" t="s">
        <v>37</v>
      </c>
      <c r="E990" s="3">
        <v>44412</v>
      </c>
      <c r="F990" s="2" t="s">
        <v>173</v>
      </c>
      <c r="G990" s="2" t="s">
        <v>75</v>
      </c>
      <c r="H990" s="2" t="s">
        <v>44</v>
      </c>
      <c r="I990" s="4">
        <v>29655</v>
      </c>
    </row>
    <row r="991" spans="1:9" x14ac:dyDescent="0.25">
      <c r="A991" s="2" t="s">
        <v>12</v>
      </c>
      <c r="B991" s="2">
        <v>6500</v>
      </c>
      <c r="C991" s="2">
        <v>5</v>
      </c>
      <c r="D991" s="2" t="s">
        <v>35</v>
      </c>
      <c r="E991" s="3">
        <v>44530</v>
      </c>
      <c r="F991" s="2" t="s">
        <v>190</v>
      </c>
      <c r="G991" s="2" t="s">
        <v>174</v>
      </c>
      <c r="H991" s="2" t="s">
        <v>44</v>
      </c>
      <c r="I991" s="4">
        <v>22981</v>
      </c>
    </row>
    <row r="992" spans="1:9" x14ac:dyDescent="0.25">
      <c r="A992" s="2" t="s">
        <v>18</v>
      </c>
      <c r="B992" s="2">
        <v>3000</v>
      </c>
      <c r="C992" s="2">
        <v>4</v>
      </c>
      <c r="D992" s="2" t="s">
        <v>32</v>
      </c>
      <c r="E992" s="3">
        <v>44279</v>
      </c>
      <c r="F992" s="2" t="s">
        <v>76</v>
      </c>
      <c r="G992" s="2" t="s">
        <v>358</v>
      </c>
      <c r="H992" s="2" t="s">
        <v>49</v>
      </c>
      <c r="I992" s="4">
        <v>33495</v>
      </c>
    </row>
    <row r="993" spans="1:9" x14ac:dyDescent="0.25">
      <c r="A993" s="2" t="s">
        <v>23</v>
      </c>
      <c r="B993" s="2">
        <v>1500</v>
      </c>
      <c r="C993" s="2">
        <v>2</v>
      </c>
      <c r="D993" s="2" t="s">
        <v>41</v>
      </c>
      <c r="E993" s="3">
        <v>44277</v>
      </c>
      <c r="F993" s="2" t="s">
        <v>127</v>
      </c>
      <c r="G993" s="2" t="s">
        <v>128</v>
      </c>
      <c r="H993" s="2" t="s">
        <v>44</v>
      </c>
      <c r="I993" s="4">
        <v>26107</v>
      </c>
    </row>
    <row r="994" spans="1:9" x14ac:dyDescent="0.25">
      <c r="A994" s="2" t="s">
        <v>8</v>
      </c>
      <c r="B994" s="2">
        <v>5500</v>
      </c>
      <c r="C994" s="2">
        <v>5</v>
      </c>
      <c r="D994" s="2" t="s">
        <v>29</v>
      </c>
      <c r="E994" s="3">
        <v>44418</v>
      </c>
      <c r="F994" s="2" t="s">
        <v>173</v>
      </c>
      <c r="G994" s="2" t="s">
        <v>181</v>
      </c>
      <c r="H994" s="2" t="s">
        <v>44</v>
      </c>
      <c r="I994" s="4">
        <v>32179</v>
      </c>
    </row>
    <row r="995" spans="1:9" x14ac:dyDescent="0.25">
      <c r="A995" s="2" t="s">
        <v>11</v>
      </c>
      <c r="B995" s="2">
        <v>4500</v>
      </c>
      <c r="C995" s="2">
        <v>5</v>
      </c>
      <c r="D995" s="2" t="s">
        <v>40</v>
      </c>
      <c r="E995" s="3">
        <v>44287</v>
      </c>
      <c r="F995" s="2" t="s">
        <v>629</v>
      </c>
      <c r="G995" s="2" t="s">
        <v>346</v>
      </c>
      <c r="H995" s="2" t="s">
        <v>44</v>
      </c>
      <c r="I995" s="4">
        <v>32927</v>
      </c>
    </row>
    <row r="996" spans="1:9" x14ac:dyDescent="0.25">
      <c r="A996" s="2" t="s">
        <v>13</v>
      </c>
      <c r="B996" s="2">
        <v>2300</v>
      </c>
      <c r="C996" s="2">
        <v>2</v>
      </c>
      <c r="D996" s="2" t="s">
        <v>29</v>
      </c>
      <c r="E996" s="3">
        <v>44392</v>
      </c>
      <c r="F996" s="2" t="s">
        <v>137</v>
      </c>
      <c r="G996" s="2" t="s">
        <v>273</v>
      </c>
      <c r="H996" s="2" t="s">
        <v>49</v>
      </c>
      <c r="I996" s="4">
        <v>23843</v>
      </c>
    </row>
    <row r="997" spans="1:9" x14ac:dyDescent="0.25">
      <c r="A997" s="2" t="s">
        <v>12</v>
      </c>
      <c r="B997" s="2">
        <v>6500</v>
      </c>
      <c r="C997" s="2">
        <v>1</v>
      </c>
      <c r="D997" s="2" t="s">
        <v>36</v>
      </c>
      <c r="E997" s="3">
        <v>44345</v>
      </c>
      <c r="F997" s="2" t="s">
        <v>328</v>
      </c>
      <c r="G997" s="2" t="s">
        <v>430</v>
      </c>
      <c r="H997" s="2" t="s">
        <v>49</v>
      </c>
      <c r="I997" s="4">
        <v>34792</v>
      </c>
    </row>
    <row r="998" spans="1:9" x14ac:dyDescent="0.25">
      <c r="A998" s="2" t="s">
        <v>26</v>
      </c>
      <c r="B998" s="2">
        <v>1100</v>
      </c>
      <c r="C998" s="2">
        <v>3</v>
      </c>
      <c r="D998" s="2" t="s">
        <v>34</v>
      </c>
      <c r="E998" s="3">
        <v>44454</v>
      </c>
      <c r="F998" s="2" t="s">
        <v>165</v>
      </c>
      <c r="G998" s="2" t="s">
        <v>246</v>
      </c>
      <c r="H998" s="2" t="s">
        <v>49</v>
      </c>
      <c r="I998" s="4">
        <v>31238</v>
      </c>
    </row>
    <row r="999" spans="1:9" x14ac:dyDescent="0.25">
      <c r="A999" s="2" t="s">
        <v>14</v>
      </c>
      <c r="B999" s="2">
        <v>2000</v>
      </c>
      <c r="C999" s="2">
        <v>1</v>
      </c>
      <c r="D999" s="2" t="s">
        <v>36</v>
      </c>
      <c r="E999" s="3">
        <v>44502</v>
      </c>
      <c r="F999" s="2" t="s">
        <v>239</v>
      </c>
      <c r="G999" s="2" t="s">
        <v>157</v>
      </c>
      <c r="H999" s="2" t="s">
        <v>49</v>
      </c>
      <c r="I999" s="4">
        <v>28094</v>
      </c>
    </row>
    <row r="1000" spans="1:9" x14ac:dyDescent="0.25">
      <c r="A1000" s="2" t="s">
        <v>22</v>
      </c>
      <c r="B1000" s="2">
        <v>5200</v>
      </c>
      <c r="C1000" s="2">
        <v>1</v>
      </c>
      <c r="D1000" s="2" t="s">
        <v>38</v>
      </c>
      <c r="E1000" s="3">
        <v>44451</v>
      </c>
      <c r="F1000" s="2" t="s">
        <v>167</v>
      </c>
      <c r="G1000" s="2" t="s">
        <v>168</v>
      </c>
      <c r="H1000" s="2" t="s">
        <v>44</v>
      </c>
      <c r="I1000" s="4">
        <v>32536</v>
      </c>
    </row>
    <row r="1001" spans="1:9" x14ac:dyDescent="0.25">
      <c r="A1001" s="2" t="s">
        <v>26</v>
      </c>
      <c r="B1001" s="2">
        <v>1100</v>
      </c>
      <c r="C1001" s="2">
        <v>4</v>
      </c>
      <c r="D1001" s="2" t="s">
        <v>31</v>
      </c>
      <c r="E1001" s="3">
        <v>44294</v>
      </c>
      <c r="F1001" s="2" t="s">
        <v>52</v>
      </c>
      <c r="G1001" s="2" t="s">
        <v>203</v>
      </c>
      <c r="H1001" s="2" t="s">
        <v>44</v>
      </c>
      <c r="I1001" s="4">
        <v>34955</v>
      </c>
    </row>
    <row r="1002" spans="1:9" x14ac:dyDescent="0.25">
      <c r="A1002" s="2" t="s">
        <v>10</v>
      </c>
      <c r="B1002" s="2">
        <v>1450</v>
      </c>
      <c r="C1002" s="2">
        <v>4</v>
      </c>
      <c r="D1002" s="2" t="s">
        <v>29</v>
      </c>
      <c r="E1002" s="3">
        <v>44499</v>
      </c>
      <c r="F1002" s="2" t="s">
        <v>52</v>
      </c>
      <c r="G1002" s="2" t="s">
        <v>53</v>
      </c>
      <c r="H1002" s="2" t="s">
        <v>44</v>
      </c>
      <c r="I1002" s="4">
        <v>33858</v>
      </c>
    </row>
    <row r="1003" spans="1:9" x14ac:dyDescent="0.25">
      <c r="A1003" s="2" t="s">
        <v>24</v>
      </c>
      <c r="B1003" s="2">
        <v>2000</v>
      </c>
      <c r="C1003" s="2">
        <v>4</v>
      </c>
      <c r="D1003" s="2" t="s">
        <v>38</v>
      </c>
      <c r="E1003" s="3">
        <v>44256</v>
      </c>
      <c r="F1003" s="2" t="s">
        <v>361</v>
      </c>
      <c r="G1003" s="2" t="s">
        <v>203</v>
      </c>
      <c r="H1003" s="2" t="s">
        <v>49</v>
      </c>
      <c r="I1003" s="4">
        <v>36075</v>
      </c>
    </row>
    <row r="1004" spans="1:9" x14ac:dyDescent="0.25">
      <c r="A1004" s="2" t="s">
        <v>7</v>
      </c>
      <c r="B1004" s="2">
        <v>750</v>
      </c>
      <c r="C1004" s="2">
        <v>5</v>
      </c>
      <c r="D1004" s="2" t="s">
        <v>30</v>
      </c>
      <c r="E1004" s="3">
        <v>44441</v>
      </c>
      <c r="F1004" s="2" t="s">
        <v>111</v>
      </c>
      <c r="G1004" s="2" t="s">
        <v>51</v>
      </c>
      <c r="H1004" s="2" t="s">
        <v>44</v>
      </c>
      <c r="I1004" s="4">
        <v>22664</v>
      </c>
    </row>
    <row r="1005" spans="1:9" x14ac:dyDescent="0.25">
      <c r="A1005" s="2" t="s">
        <v>7</v>
      </c>
      <c r="B1005" s="2">
        <v>750</v>
      </c>
      <c r="C1005" s="2">
        <v>5</v>
      </c>
      <c r="D1005" s="2" t="s">
        <v>30</v>
      </c>
      <c r="E1005" s="3">
        <v>44399</v>
      </c>
      <c r="F1005" s="2" t="s">
        <v>260</v>
      </c>
      <c r="G1005" s="2" t="s">
        <v>261</v>
      </c>
      <c r="H1005" s="2" t="s">
        <v>49</v>
      </c>
      <c r="I1005" s="4">
        <v>33035</v>
      </c>
    </row>
    <row r="1006" spans="1:9" x14ac:dyDescent="0.25">
      <c r="A1006" s="2" t="s">
        <v>8</v>
      </c>
      <c r="B1006" s="2">
        <v>5500</v>
      </c>
      <c r="C1006" s="2">
        <v>1</v>
      </c>
      <c r="D1006" s="2" t="s">
        <v>41</v>
      </c>
      <c r="E1006" s="3">
        <v>44237</v>
      </c>
      <c r="F1006" s="2" t="s">
        <v>155</v>
      </c>
      <c r="G1006" s="2" t="s">
        <v>213</v>
      </c>
      <c r="H1006" s="2" t="s">
        <v>44</v>
      </c>
      <c r="I1006" s="4">
        <v>21088</v>
      </c>
    </row>
    <row r="1007" spans="1:9" x14ac:dyDescent="0.25">
      <c r="A1007" s="2" t="s">
        <v>24</v>
      </c>
      <c r="B1007" s="2">
        <v>2000</v>
      </c>
      <c r="C1007" s="2">
        <v>2</v>
      </c>
      <c r="D1007" s="2" t="s">
        <v>38</v>
      </c>
      <c r="E1007" s="3">
        <v>44531</v>
      </c>
      <c r="F1007" s="2" t="s">
        <v>187</v>
      </c>
      <c r="G1007" s="2" t="s">
        <v>495</v>
      </c>
      <c r="H1007" s="2" t="s">
        <v>49</v>
      </c>
      <c r="I1007" s="4">
        <v>32094</v>
      </c>
    </row>
    <row r="1008" spans="1:9" x14ac:dyDescent="0.25">
      <c r="A1008" s="2" t="s">
        <v>28</v>
      </c>
      <c r="B1008" s="2">
        <v>1400</v>
      </c>
      <c r="C1008" s="2">
        <v>3</v>
      </c>
      <c r="D1008" s="2" t="s">
        <v>29</v>
      </c>
      <c r="E1008" s="3">
        <v>44321</v>
      </c>
      <c r="F1008" s="2" t="s">
        <v>225</v>
      </c>
      <c r="G1008" s="2" t="s">
        <v>226</v>
      </c>
      <c r="H1008" s="2" t="s">
        <v>44</v>
      </c>
      <c r="I1008" s="4">
        <v>36143</v>
      </c>
    </row>
    <row r="1009" spans="1:9" x14ac:dyDescent="0.25">
      <c r="A1009" s="2" t="s">
        <v>9</v>
      </c>
      <c r="B1009" s="2">
        <v>1500</v>
      </c>
      <c r="C1009" s="2">
        <v>5</v>
      </c>
      <c r="D1009" s="2" t="s">
        <v>29</v>
      </c>
      <c r="E1009" s="3">
        <v>44211</v>
      </c>
      <c r="F1009" s="2" t="s">
        <v>142</v>
      </c>
      <c r="G1009" s="2" t="s">
        <v>389</v>
      </c>
      <c r="H1009" s="2" t="s">
        <v>49</v>
      </c>
      <c r="I1009" s="4">
        <v>26911</v>
      </c>
    </row>
    <row r="1010" spans="1:9" x14ac:dyDescent="0.25">
      <c r="A1010" s="2" t="s">
        <v>24</v>
      </c>
      <c r="B1010" s="2">
        <v>2000</v>
      </c>
      <c r="C1010" s="2">
        <v>5</v>
      </c>
      <c r="D1010" s="2" t="s">
        <v>33</v>
      </c>
      <c r="E1010" s="3">
        <v>44357</v>
      </c>
      <c r="F1010" s="2" t="s">
        <v>66</v>
      </c>
      <c r="G1010" s="2" t="s">
        <v>67</v>
      </c>
      <c r="H1010" s="2" t="s">
        <v>44</v>
      </c>
      <c r="I1010" s="4">
        <v>36762</v>
      </c>
    </row>
    <row r="1011" spans="1:9" x14ac:dyDescent="0.25">
      <c r="A1011" s="2" t="s">
        <v>21</v>
      </c>
      <c r="B1011" s="2">
        <v>2400</v>
      </c>
      <c r="C1011" s="2">
        <v>2</v>
      </c>
      <c r="D1011" s="2" t="s">
        <v>36</v>
      </c>
      <c r="E1011" s="3">
        <v>44205</v>
      </c>
      <c r="F1011" s="2" t="s">
        <v>328</v>
      </c>
      <c r="G1011" s="2" t="s">
        <v>430</v>
      </c>
      <c r="H1011" s="2" t="s">
        <v>49</v>
      </c>
      <c r="I1011" s="4">
        <v>34792</v>
      </c>
    </row>
    <row r="1012" spans="1:9" x14ac:dyDescent="0.25">
      <c r="A1012" s="2" t="s">
        <v>18</v>
      </c>
      <c r="B1012" s="2">
        <v>3000</v>
      </c>
      <c r="C1012" s="2">
        <v>3</v>
      </c>
      <c r="D1012" s="2" t="s">
        <v>30</v>
      </c>
      <c r="E1012" s="3">
        <v>44223</v>
      </c>
      <c r="F1012" s="2" t="s">
        <v>42</v>
      </c>
      <c r="G1012" s="2" t="s">
        <v>300</v>
      </c>
      <c r="H1012" s="2" t="s">
        <v>44</v>
      </c>
      <c r="I1012" s="4">
        <v>18694</v>
      </c>
    </row>
    <row r="1013" spans="1:9" x14ac:dyDescent="0.25">
      <c r="A1013" s="2" t="s">
        <v>5</v>
      </c>
      <c r="B1013" s="2">
        <v>1750</v>
      </c>
      <c r="C1013" s="2">
        <v>4</v>
      </c>
      <c r="D1013" s="2" t="s">
        <v>34</v>
      </c>
      <c r="E1013" s="3">
        <v>44449</v>
      </c>
      <c r="F1013" s="2" t="s">
        <v>120</v>
      </c>
      <c r="G1013" s="2" t="s">
        <v>169</v>
      </c>
      <c r="H1013" s="2" t="s">
        <v>44</v>
      </c>
      <c r="I1013" s="4">
        <v>33230</v>
      </c>
    </row>
    <row r="1014" spans="1:9" x14ac:dyDescent="0.25">
      <c r="A1014" s="2" t="s">
        <v>24</v>
      </c>
      <c r="B1014" s="2">
        <v>2000</v>
      </c>
      <c r="C1014" s="2">
        <v>2</v>
      </c>
      <c r="D1014" s="2" t="s">
        <v>36</v>
      </c>
      <c r="E1014" s="3">
        <v>44330</v>
      </c>
      <c r="F1014" s="2" t="s">
        <v>78</v>
      </c>
      <c r="G1014" s="2" t="s">
        <v>413</v>
      </c>
      <c r="H1014" s="2" t="s">
        <v>49</v>
      </c>
      <c r="I1014" s="4">
        <v>22075</v>
      </c>
    </row>
    <row r="1015" spans="1:9" x14ac:dyDescent="0.25">
      <c r="A1015" s="2" t="s">
        <v>6</v>
      </c>
      <c r="B1015" s="2">
        <v>1200</v>
      </c>
      <c r="C1015" s="2">
        <v>2</v>
      </c>
      <c r="D1015" s="2" t="s">
        <v>41</v>
      </c>
      <c r="E1015" s="3">
        <v>44536</v>
      </c>
      <c r="F1015" s="2" t="s">
        <v>118</v>
      </c>
      <c r="G1015" s="2" t="s">
        <v>319</v>
      </c>
      <c r="H1015" s="2" t="s">
        <v>49</v>
      </c>
      <c r="I1015" s="4">
        <v>25135</v>
      </c>
    </row>
    <row r="1016" spans="1:9" x14ac:dyDescent="0.25">
      <c r="A1016" s="2" t="s">
        <v>11</v>
      </c>
      <c r="B1016" s="2">
        <v>4500</v>
      </c>
      <c r="C1016" s="2">
        <v>3</v>
      </c>
      <c r="D1016" s="2" t="s">
        <v>34</v>
      </c>
      <c r="E1016" s="3">
        <v>44475</v>
      </c>
      <c r="F1016" s="2" t="s">
        <v>84</v>
      </c>
      <c r="G1016" s="2" t="s">
        <v>586</v>
      </c>
      <c r="H1016" s="2" t="s">
        <v>44</v>
      </c>
      <c r="I1016" s="4">
        <v>21624</v>
      </c>
    </row>
    <row r="1017" spans="1:9" x14ac:dyDescent="0.25">
      <c r="A1017" s="2" t="s">
        <v>17</v>
      </c>
      <c r="B1017" s="2">
        <v>1550</v>
      </c>
      <c r="C1017" s="2">
        <v>5</v>
      </c>
      <c r="D1017" s="2" t="s">
        <v>29</v>
      </c>
      <c r="E1017" s="3">
        <v>44384</v>
      </c>
      <c r="F1017" s="2" t="s">
        <v>131</v>
      </c>
      <c r="G1017" s="2" t="s">
        <v>309</v>
      </c>
      <c r="H1017" s="2" t="s">
        <v>44</v>
      </c>
      <c r="I1017" s="4">
        <v>25888</v>
      </c>
    </row>
    <row r="1018" spans="1:9" x14ac:dyDescent="0.25">
      <c r="A1018" s="2" t="s">
        <v>10</v>
      </c>
      <c r="B1018" s="2">
        <v>1450</v>
      </c>
      <c r="C1018" s="2">
        <v>5</v>
      </c>
      <c r="D1018" s="2" t="s">
        <v>39</v>
      </c>
      <c r="E1018" s="3">
        <v>44378</v>
      </c>
      <c r="F1018" s="2" t="s">
        <v>510</v>
      </c>
      <c r="G1018" s="2" t="s">
        <v>482</v>
      </c>
      <c r="H1018" s="2" t="s">
        <v>49</v>
      </c>
      <c r="I1018" s="4">
        <v>34955</v>
      </c>
    </row>
    <row r="1019" spans="1:9" x14ac:dyDescent="0.25">
      <c r="A1019" s="2" t="s">
        <v>13</v>
      </c>
      <c r="B1019" s="2">
        <v>2300</v>
      </c>
      <c r="C1019" s="2">
        <v>3</v>
      </c>
      <c r="D1019" s="2" t="s">
        <v>30</v>
      </c>
      <c r="E1019" s="3">
        <v>44506</v>
      </c>
      <c r="F1019" s="2" t="s">
        <v>76</v>
      </c>
      <c r="G1019" s="2" t="s">
        <v>77</v>
      </c>
      <c r="H1019" s="2" t="s">
        <v>49</v>
      </c>
      <c r="I1019" s="4">
        <v>28816</v>
      </c>
    </row>
    <row r="1020" spans="1:9" x14ac:dyDescent="0.25">
      <c r="A1020" s="2" t="s">
        <v>28</v>
      </c>
      <c r="B1020" s="2">
        <v>1400</v>
      </c>
      <c r="C1020" s="2">
        <v>5</v>
      </c>
      <c r="D1020" s="2" t="s">
        <v>29</v>
      </c>
      <c r="E1020" s="3">
        <v>44265</v>
      </c>
      <c r="F1020" s="2" t="s">
        <v>293</v>
      </c>
      <c r="G1020" s="2" t="s">
        <v>495</v>
      </c>
      <c r="H1020" s="2" t="s">
        <v>49</v>
      </c>
      <c r="I1020" s="4">
        <v>35510</v>
      </c>
    </row>
    <row r="1021" spans="1:9" x14ac:dyDescent="0.25">
      <c r="A1021" s="2" t="s">
        <v>11</v>
      </c>
      <c r="B1021" s="2">
        <v>4500</v>
      </c>
      <c r="C1021" s="2">
        <v>5</v>
      </c>
      <c r="D1021" s="2" t="s">
        <v>31</v>
      </c>
      <c r="E1021" s="3">
        <v>44201</v>
      </c>
      <c r="F1021" s="2" t="s">
        <v>399</v>
      </c>
      <c r="G1021" s="2" t="s">
        <v>128</v>
      </c>
      <c r="H1021" s="2" t="s">
        <v>44</v>
      </c>
      <c r="I1021" s="4">
        <v>34836</v>
      </c>
    </row>
    <row r="1022" spans="1:9" x14ac:dyDescent="0.25">
      <c r="A1022" s="2" t="s">
        <v>7</v>
      </c>
      <c r="B1022" s="2">
        <v>750</v>
      </c>
      <c r="C1022" s="2">
        <v>4</v>
      </c>
      <c r="D1022" s="2" t="s">
        <v>37</v>
      </c>
      <c r="E1022" s="3">
        <v>44428</v>
      </c>
      <c r="F1022" s="2" t="s">
        <v>431</v>
      </c>
      <c r="G1022" s="2" t="s">
        <v>432</v>
      </c>
      <c r="H1022" s="2" t="s">
        <v>49</v>
      </c>
      <c r="I1022" s="4">
        <v>36471</v>
      </c>
    </row>
    <row r="1023" spans="1:9" x14ac:dyDescent="0.25">
      <c r="A1023" s="2" t="s">
        <v>16</v>
      </c>
      <c r="B1023" s="2">
        <v>1400</v>
      </c>
      <c r="C1023" s="2">
        <v>2</v>
      </c>
      <c r="D1023" s="2" t="s">
        <v>36</v>
      </c>
      <c r="E1023" s="3">
        <v>44267</v>
      </c>
      <c r="F1023" s="2" t="s">
        <v>87</v>
      </c>
      <c r="G1023" s="2" t="s">
        <v>454</v>
      </c>
      <c r="H1023" s="2" t="s">
        <v>44</v>
      </c>
      <c r="I1023" s="4">
        <v>22986</v>
      </c>
    </row>
    <row r="1024" spans="1:9" x14ac:dyDescent="0.25">
      <c r="A1024" s="2" t="s">
        <v>5</v>
      </c>
      <c r="B1024" s="2">
        <v>1750</v>
      </c>
      <c r="C1024" s="2">
        <v>3</v>
      </c>
      <c r="D1024" s="2" t="s">
        <v>36</v>
      </c>
      <c r="E1024" s="3">
        <v>44544</v>
      </c>
      <c r="F1024" s="2" t="s">
        <v>155</v>
      </c>
      <c r="G1024" s="2" t="s">
        <v>573</v>
      </c>
      <c r="H1024" s="2" t="s">
        <v>44</v>
      </c>
      <c r="I1024" s="4">
        <v>34059</v>
      </c>
    </row>
    <row r="1025" spans="1:9" x14ac:dyDescent="0.25">
      <c r="A1025" s="2" t="s">
        <v>23</v>
      </c>
      <c r="B1025" s="2">
        <v>1500</v>
      </c>
      <c r="C1025" s="2">
        <v>3</v>
      </c>
      <c r="D1025" s="2" t="s">
        <v>31</v>
      </c>
      <c r="E1025" s="3">
        <v>44323</v>
      </c>
      <c r="F1025" s="2" t="s">
        <v>264</v>
      </c>
      <c r="G1025" s="2" t="s">
        <v>449</v>
      </c>
      <c r="H1025" s="2" t="s">
        <v>49</v>
      </c>
      <c r="I1025" s="4">
        <v>34122</v>
      </c>
    </row>
    <row r="1026" spans="1:9" x14ac:dyDescent="0.25">
      <c r="A1026" s="2" t="s">
        <v>22</v>
      </c>
      <c r="B1026" s="2">
        <v>5200</v>
      </c>
      <c r="C1026" s="2">
        <v>2</v>
      </c>
      <c r="D1026" s="2" t="s">
        <v>36</v>
      </c>
      <c r="E1026" s="3">
        <v>44314</v>
      </c>
      <c r="F1026" s="2" t="s">
        <v>170</v>
      </c>
      <c r="G1026" s="2" t="s">
        <v>386</v>
      </c>
      <c r="H1026" s="2" t="s">
        <v>44</v>
      </c>
      <c r="I1026" s="4">
        <v>20620</v>
      </c>
    </row>
    <row r="1027" spans="1:9" x14ac:dyDescent="0.25">
      <c r="A1027" s="2" t="s">
        <v>27</v>
      </c>
      <c r="B1027" s="2">
        <v>1500</v>
      </c>
      <c r="C1027" s="2">
        <v>4</v>
      </c>
      <c r="D1027" s="2" t="s">
        <v>29</v>
      </c>
      <c r="E1027" s="3">
        <v>44544</v>
      </c>
      <c r="F1027" s="2" t="s">
        <v>589</v>
      </c>
      <c r="G1027" s="2" t="s">
        <v>586</v>
      </c>
      <c r="H1027" s="2" t="s">
        <v>44</v>
      </c>
      <c r="I1027" s="4">
        <v>20204</v>
      </c>
    </row>
    <row r="1028" spans="1:9" x14ac:dyDescent="0.25">
      <c r="A1028" s="2" t="s">
        <v>18</v>
      </c>
      <c r="B1028" s="2">
        <v>3000</v>
      </c>
      <c r="C1028" s="2">
        <v>1</v>
      </c>
      <c r="D1028" s="2" t="s">
        <v>33</v>
      </c>
      <c r="E1028" s="3">
        <v>44531</v>
      </c>
      <c r="F1028" s="2" t="s">
        <v>42</v>
      </c>
      <c r="G1028" s="2" t="s">
        <v>459</v>
      </c>
      <c r="H1028" s="2" t="s">
        <v>44</v>
      </c>
      <c r="I1028" s="4">
        <v>30122</v>
      </c>
    </row>
    <row r="1029" spans="1:9" x14ac:dyDescent="0.25">
      <c r="A1029" s="2" t="s">
        <v>5</v>
      </c>
      <c r="B1029" s="2">
        <v>1750</v>
      </c>
      <c r="C1029" s="2">
        <v>5</v>
      </c>
      <c r="D1029" s="2" t="s">
        <v>39</v>
      </c>
      <c r="E1029" s="3">
        <v>44482</v>
      </c>
      <c r="F1029" s="2" t="s">
        <v>98</v>
      </c>
      <c r="G1029" s="2" t="s">
        <v>349</v>
      </c>
      <c r="H1029" s="2" t="s">
        <v>44</v>
      </c>
      <c r="I1029" s="4">
        <v>36677</v>
      </c>
    </row>
    <row r="1030" spans="1:9" x14ac:dyDescent="0.25">
      <c r="A1030" s="2" t="s">
        <v>21</v>
      </c>
      <c r="B1030" s="2">
        <v>2400</v>
      </c>
      <c r="C1030" s="2">
        <v>2</v>
      </c>
      <c r="D1030" s="2" t="s">
        <v>32</v>
      </c>
      <c r="E1030" s="3">
        <v>44219</v>
      </c>
      <c r="F1030" s="2" t="s">
        <v>51</v>
      </c>
      <c r="G1030" s="2" t="s">
        <v>99</v>
      </c>
      <c r="H1030" s="2" t="s">
        <v>44</v>
      </c>
      <c r="I1030" s="4">
        <v>18276</v>
      </c>
    </row>
    <row r="1031" spans="1:9" x14ac:dyDescent="0.25">
      <c r="A1031" s="2" t="s">
        <v>20</v>
      </c>
      <c r="B1031" s="2">
        <v>2600</v>
      </c>
      <c r="C1031" s="2">
        <v>1</v>
      </c>
      <c r="D1031" s="2" t="s">
        <v>35</v>
      </c>
      <c r="E1031" s="3">
        <v>44517</v>
      </c>
      <c r="F1031" s="2" t="s">
        <v>153</v>
      </c>
      <c r="G1031" s="2" t="s">
        <v>143</v>
      </c>
      <c r="H1031" s="2" t="s">
        <v>44</v>
      </c>
      <c r="I1031" s="4">
        <v>18457</v>
      </c>
    </row>
    <row r="1032" spans="1:9" x14ac:dyDescent="0.25">
      <c r="A1032" s="2" t="s">
        <v>20</v>
      </c>
      <c r="B1032" s="2">
        <v>2600</v>
      </c>
      <c r="C1032" s="2">
        <v>5</v>
      </c>
      <c r="D1032" s="2" t="s">
        <v>32</v>
      </c>
      <c r="E1032" s="3">
        <v>44301</v>
      </c>
      <c r="F1032" s="2" t="s">
        <v>585</v>
      </c>
      <c r="G1032" s="2" t="s">
        <v>276</v>
      </c>
      <c r="H1032" s="2" t="s">
        <v>44</v>
      </c>
      <c r="I1032" s="4">
        <v>19843</v>
      </c>
    </row>
    <row r="1033" spans="1:9" x14ac:dyDescent="0.25">
      <c r="A1033" s="2" t="s">
        <v>25</v>
      </c>
      <c r="B1033" s="2">
        <v>2500</v>
      </c>
      <c r="C1033" s="2">
        <v>4</v>
      </c>
      <c r="D1033" s="2" t="s">
        <v>36</v>
      </c>
      <c r="E1033" s="3">
        <v>44450</v>
      </c>
      <c r="F1033" s="2" t="s">
        <v>170</v>
      </c>
      <c r="G1033" s="2" t="s">
        <v>386</v>
      </c>
      <c r="H1033" s="2" t="s">
        <v>44</v>
      </c>
      <c r="I1033" s="4">
        <v>20620</v>
      </c>
    </row>
    <row r="1034" spans="1:9" x14ac:dyDescent="0.25">
      <c r="A1034" s="2" t="s">
        <v>28</v>
      </c>
      <c r="B1034" s="2">
        <v>1400</v>
      </c>
      <c r="C1034" s="2">
        <v>1</v>
      </c>
      <c r="D1034" s="2" t="s">
        <v>41</v>
      </c>
      <c r="E1034" s="3">
        <v>44323</v>
      </c>
      <c r="F1034" s="2" t="s">
        <v>74</v>
      </c>
      <c r="G1034" s="2" t="s">
        <v>63</v>
      </c>
      <c r="H1034" s="2" t="s">
        <v>44</v>
      </c>
      <c r="I1034" s="4">
        <v>34771</v>
      </c>
    </row>
    <row r="1035" spans="1:9" x14ac:dyDescent="0.25">
      <c r="A1035" s="2" t="s">
        <v>16</v>
      </c>
      <c r="B1035" s="2">
        <v>1400</v>
      </c>
      <c r="C1035" s="2">
        <v>3</v>
      </c>
      <c r="D1035" s="2" t="s">
        <v>41</v>
      </c>
      <c r="E1035" s="3">
        <v>44437</v>
      </c>
      <c r="F1035" s="2" t="s">
        <v>403</v>
      </c>
      <c r="G1035" s="2" t="s">
        <v>389</v>
      </c>
      <c r="H1035" s="2" t="s">
        <v>49</v>
      </c>
      <c r="I1035" s="4">
        <v>27050</v>
      </c>
    </row>
    <row r="1036" spans="1:9" x14ac:dyDescent="0.25">
      <c r="A1036" s="2" t="s">
        <v>7</v>
      </c>
      <c r="B1036" s="2">
        <v>750</v>
      </c>
      <c r="C1036" s="2">
        <v>2</v>
      </c>
      <c r="D1036" s="2" t="s">
        <v>37</v>
      </c>
      <c r="E1036" s="3">
        <v>44410</v>
      </c>
      <c r="F1036" s="2" t="s">
        <v>610</v>
      </c>
      <c r="G1036" s="2" t="s">
        <v>220</v>
      </c>
      <c r="H1036" s="2" t="s">
        <v>44</v>
      </c>
      <c r="I1036" s="4">
        <v>28170</v>
      </c>
    </row>
    <row r="1037" spans="1:9" x14ac:dyDescent="0.25">
      <c r="A1037" s="2" t="s">
        <v>15</v>
      </c>
      <c r="B1037" s="2">
        <v>1900</v>
      </c>
      <c r="C1037" s="2">
        <v>3</v>
      </c>
      <c r="D1037" s="2" t="s">
        <v>35</v>
      </c>
      <c r="E1037" s="3">
        <v>44451</v>
      </c>
      <c r="F1037" s="2" t="s">
        <v>401</v>
      </c>
      <c r="G1037" s="2" t="s">
        <v>292</v>
      </c>
      <c r="H1037" s="2" t="s">
        <v>49</v>
      </c>
      <c r="I1037" s="4">
        <v>21420</v>
      </c>
    </row>
    <row r="1038" spans="1:9" x14ac:dyDescent="0.25">
      <c r="A1038" s="2" t="s">
        <v>17</v>
      </c>
      <c r="B1038" s="2">
        <v>1550</v>
      </c>
      <c r="C1038" s="2">
        <v>1</v>
      </c>
      <c r="D1038" s="2" t="s">
        <v>33</v>
      </c>
      <c r="E1038" s="3">
        <v>44384</v>
      </c>
      <c r="F1038" s="2" t="s">
        <v>140</v>
      </c>
      <c r="G1038" s="2" t="s">
        <v>141</v>
      </c>
      <c r="H1038" s="2" t="s">
        <v>49</v>
      </c>
      <c r="I1038" s="4">
        <v>31366</v>
      </c>
    </row>
    <row r="1039" spans="1:9" x14ac:dyDescent="0.25">
      <c r="A1039" s="2" t="s">
        <v>25</v>
      </c>
      <c r="B1039" s="2">
        <v>2500</v>
      </c>
      <c r="C1039" s="2">
        <v>5</v>
      </c>
      <c r="D1039" s="2" t="s">
        <v>30</v>
      </c>
      <c r="E1039" s="3">
        <v>44224</v>
      </c>
      <c r="F1039" s="2" t="s">
        <v>318</v>
      </c>
      <c r="G1039" s="2" t="s">
        <v>345</v>
      </c>
      <c r="H1039" s="2" t="s">
        <v>44</v>
      </c>
      <c r="I1039" s="4">
        <v>18782</v>
      </c>
    </row>
    <row r="1040" spans="1:9" x14ac:dyDescent="0.25">
      <c r="A1040" s="2" t="s">
        <v>28</v>
      </c>
      <c r="B1040" s="2">
        <v>1400</v>
      </c>
      <c r="C1040" s="2">
        <v>4</v>
      </c>
      <c r="D1040" s="2" t="s">
        <v>29</v>
      </c>
      <c r="E1040" s="3">
        <v>44479</v>
      </c>
      <c r="F1040" s="2" t="s">
        <v>589</v>
      </c>
      <c r="G1040" s="2" t="s">
        <v>586</v>
      </c>
      <c r="H1040" s="2" t="s">
        <v>44</v>
      </c>
      <c r="I1040" s="4">
        <v>20204</v>
      </c>
    </row>
    <row r="1041" spans="1:9" x14ac:dyDescent="0.25">
      <c r="A1041" s="2" t="s">
        <v>19</v>
      </c>
      <c r="B1041" s="2">
        <v>700</v>
      </c>
      <c r="C1041" s="2">
        <v>5</v>
      </c>
      <c r="D1041" s="2" t="s">
        <v>32</v>
      </c>
      <c r="E1041" s="3">
        <v>44213</v>
      </c>
      <c r="F1041" s="2" t="s">
        <v>377</v>
      </c>
      <c r="G1041" s="2" t="s">
        <v>308</v>
      </c>
      <c r="H1041" s="2" t="s">
        <v>49</v>
      </c>
      <c r="I1041" s="4">
        <v>21465</v>
      </c>
    </row>
    <row r="1042" spans="1:9" x14ac:dyDescent="0.25">
      <c r="A1042" s="2" t="s">
        <v>13</v>
      </c>
      <c r="B1042" s="2">
        <v>2300</v>
      </c>
      <c r="C1042" s="2">
        <v>1</v>
      </c>
      <c r="D1042" s="2" t="s">
        <v>35</v>
      </c>
      <c r="E1042" s="3">
        <v>44247</v>
      </c>
      <c r="F1042" s="2" t="s">
        <v>45</v>
      </c>
      <c r="G1042" s="2" t="s">
        <v>611</v>
      </c>
      <c r="H1042" s="2" t="s">
        <v>44</v>
      </c>
      <c r="I1042" s="4">
        <v>33871</v>
      </c>
    </row>
    <row r="1043" spans="1:9" x14ac:dyDescent="0.25">
      <c r="A1043" s="2" t="s">
        <v>6</v>
      </c>
      <c r="B1043" s="2">
        <v>1200</v>
      </c>
      <c r="C1043" s="2">
        <v>4</v>
      </c>
      <c r="D1043" s="2" t="s">
        <v>29</v>
      </c>
      <c r="E1043" s="3">
        <v>44238</v>
      </c>
      <c r="F1043" s="2" t="s">
        <v>328</v>
      </c>
      <c r="G1043" s="2" t="s">
        <v>157</v>
      </c>
      <c r="H1043" s="2" t="s">
        <v>49</v>
      </c>
      <c r="I1043" s="4">
        <v>35120</v>
      </c>
    </row>
    <row r="1044" spans="1:9" x14ac:dyDescent="0.25">
      <c r="A1044" s="2" t="s">
        <v>21</v>
      </c>
      <c r="B1044" s="2">
        <v>2400</v>
      </c>
      <c r="C1044" s="2">
        <v>3</v>
      </c>
      <c r="D1044" s="2" t="s">
        <v>37</v>
      </c>
      <c r="E1044" s="3">
        <v>44524</v>
      </c>
      <c r="F1044" s="2" t="s">
        <v>548</v>
      </c>
      <c r="G1044" s="2" t="s">
        <v>559</v>
      </c>
      <c r="H1044" s="2" t="s">
        <v>49</v>
      </c>
      <c r="I1044" s="4">
        <v>35817</v>
      </c>
    </row>
    <row r="1045" spans="1:9" x14ac:dyDescent="0.25">
      <c r="A1045" s="2" t="s">
        <v>25</v>
      </c>
      <c r="B1045" s="2">
        <v>2500</v>
      </c>
      <c r="C1045" s="2">
        <v>1</v>
      </c>
      <c r="D1045" s="2" t="s">
        <v>33</v>
      </c>
      <c r="E1045" s="3">
        <v>44362</v>
      </c>
      <c r="F1045" s="2" t="s">
        <v>134</v>
      </c>
      <c r="G1045" s="2" t="s">
        <v>141</v>
      </c>
      <c r="H1045" s="2" t="s">
        <v>49</v>
      </c>
      <c r="I1045" s="4">
        <v>20325</v>
      </c>
    </row>
    <row r="1046" spans="1:9" x14ac:dyDescent="0.25">
      <c r="A1046" s="2" t="s">
        <v>26</v>
      </c>
      <c r="B1046" s="2">
        <v>1100</v>
      </c>
      <c r="C1046" s="2">
        <v>2</v>
      </c>
      <c r="D1046" s="2" t="s">
        <v>37</v>
      </c>
      <c r="E1046" s="3">
        <v>44413</v>
      </c>
      <c r="F1046" s="2" t="s">
        <v>598</v>
      </c>
      <c r="G1046" s="2" t="s">
        <v>195</v>
      </c>
      <c r="H1046" s="2" t="s">
        <v>44</v>
      </c>
      <c r="I1046" s="4">
        <v>23756</v>
      </c>
    </row>
    <row r="1047" spans="1:9" x14ac:dyDescent="0.25">
      <c r="A1047" s="2" t="s">
        <v>5</v>
      </c>
      <c r="B1047" s="2">
        <v>1750</v>
      </c>
      <c r="C1047" s="2">
        <v>4</v>
      </c>
      <c r="D1047" s="2" t="s">
        <v>37</v>
      </c>
      <c r="E1047" s="3">
        <v>44539</v>
      </c>
      <c r="F1047" s="2" t="s">
        <v>347</v>
      </c>
      <c r="G1047" s="2" t="s">
        <v>348</v>
      </c>
      <c r="H1047" s="2" t="s">
        <v>49</v>
      </c>
      <c r="I1047" s="4">
        <v>28339</v>
      </c>
    </row>
    <row r="1048" spans="1:9" x14ac:dyDescent="0.25">
      <c r="A1048" s="2" t="s">
        <v>13</v>
      </c>
      <c r="B1048" s="2">
        <v>2300</v>
      </c>
      <c r="C1048" s="2">
        <v>4</v>
      </c>
      <c r="D1048" s="2" t="s">
        <v>29</v>
      </c>
      <c r="E1048" s="3">
        <v>44507</v>
      </c>
      <c r="F1048" s="2" t="s">
        <v>142</v>
      </c>
      <c r="G1048" s="2" t="s">
        <v>389</v>
      </c>
      <c r="H1048" s="2" t="s">
        <v>49</v>
      </c>
      <c r="I1048" s="4">
        <v>26911</v>
      </c>
    </row>
    <row r="1049" spans="1:9" x14ac:dyDescent="0.25">
      <c r="A1049" s="2" t="s">
        <v>17</v>
      </c>
      <c r="B1049" s="2">
        <v>1550</v>
      </c>
      <c r="C1049" s="2">
        <v>2</v>
      </c>
      <c r="D1049" s="2" t="s">
        <v>29</v>
      </c>
      <c r="E1049" s="3">
        <v>44399</v>
      </c>
      <c r="F1049" s="2" t="s">
        <v>136</v>
      </c>
      <c r="G1049" s="2" t="s">
        <v>75</v>
      </c>
      <c r="H1049" s="2" t="s">
        <v>49</v>
      </c>
      <c r="I1049" s="4">
        <v>19190</v>
      </c>
    </row>
    <row r="1050" spans="1:9" x14ac:dyDescent="0.25">
      <c r="A1050" s="2" t="s">
        <v>17</v>
      </c>
      <c r="B1050" s="2">
        <v>1550</v>
      </c>
      <c r="C1050" s="2">
        <v>3</v>
      </c>
      <c r="D1050" s="2" t="s">
        <v>29</v>
      </c>
      <c r="E1050" s="3">
        <v>44554</v>
      </c>
      <c r="F1050" s="2" t="s">
        <v>120</v>
      </c>
      <c r="G1050" s="2" t="s">
        <v>121</v>
      </c>
      <c r="H1050" s="2" t="s">
        <v>44</v>
      </c>
      <c r="I1050" s="4">
        <v>23989</v>
      </c>
    </row>
    <row r="1051" spans="1:9" x14ac:dyDescent="0.25">
      <c r="A1051" s="2" t="s">
        <v>12</v>
      </c>
      <c r="B1051" s="2">
        <v>6500</v>
      </c>
      <c r="C1051" s="2">
        <v>1</v>
      </c>
      <c r="D1051" s="2" t="s">
        <v>36</v>
      </c>
      <c r="E1051" s="3">
        <v>44441</v>
      </c>
      <c r="F1051" s="2" t="s">
        <v>148</v>
      </c>
      <c r="G1051" s="2" t="s">
        <v>322</v>
      </c>
      <c r="H1051" s="2" t="s">
        <v>49</v>
      </c>
      <c r="I1051" s="4">
        <v>18988</v>
      </c>
    </row>
    <row r="1052" spans="1:9" x14ac:dyDescent="0.25">
      <c r="A1052" s="2" t="s">
        <v>20</v>
      </c>
      <c r="B1052" s="2">
        <v>2600</v>
      </c>
      <c r="C1052" s="2">
        <v>1</v>
      </c>
      <c r="D1052" s="2" t="s">
        <v>33</v>
      </c>
      <c r="E1052" s="3">
        <v>44354</v>
      </c>
      <c r="F1052" s="2" t="s">
        <v>87</v>
      </c>
      <c r="G1052" s="2" t="s">
        <v>358</v>
      </c>
      <c r="H1052" s="2" t="s">
        <v>44</v>
      </c>
      <c r="I1052" s="4">
        <v>28276</v>
      </c>
    </row>
    <row r="1053" spans="1:9" x14ac:dyDescent="0.25">
      <c r="A1053" s="2" t="s">
        <v>5</v>
      </c>
      <c r="B1053" s="2">
        <v>1750</v>
      </c>
      <c r="C1053" s="2">
        <v>3</v>
      </c>
      <c r="D1053" s="2" t="s">
        <v>40</v>
      </c>
      <c r="E1053" s="3">
        <v>44486</v>
      </c>
      <c r="F1053" s="2" t="s">
        <v>629</v>
      </c>
      <c r="G1053" s="2" t="s">
        <v>346</v>
      </c>
      <c r="H1053" s="2" t="s">
        <v>44</v>
      </c>
      <c r="I1053" s="4">
        <v>32927</v>
      </c>
    </row>
    <row r="1054" spans="1:9" x14ac:dyDescent="0.25">
      <c r="A1054" s="2" t="s">
        <v>12</v>
      </c>
      <c r="B1054" s="2">
        <v>6500</v>
      </c>
      <c r="C1054" s="2">
        <v>3</v>
      </c>
      <c r="D1054" s="2" t="s">
        <v>34</v>
      </c>
      <c r="E1054" s="3">
        <v>44338</v>
      </c>
      <c r="F1054" s="2" t="s">
        <v>66</v>
      </c>
      <c r="G1054" s="2" t="s">
        <v>572</v>
      </c>
      <c r="H1054" s="2" t="s">
        <v>44</v>
      </c>
      <c r="I1054" s="4">
        <v>34143</v>
      </c>
    </row>
    <row r="1055" spans="1:9" x14ac:dyDescent="0.25">
      <c r="A1055" s="2" t="s">
        <v>13</v>
      </c>
      <c r="B1055" s="2">
        <v>2300</v>
      </c>
      <c r="C1055" s="2">
        <v>1</v>
      </c>
      <c r="D1055" s="2" t="s">
        <v>30</v>
      </c>
      <c r="E1055" s="3">
        <v>44242</v>
      </c>
      <c r="F1055" s="2" t="s">
        <v>109</v>
      </c>
      <c r="G1055" s="2" t="s">
        <v>593</v>
      </c>
      <c r="H1055" s="2" t="s">
        <v>44</v>
      </c>
      <c r="I1055" s="4">
        <v>20652</v>
      </c>
    </row>
    <row r="1056" spans="1:9" x14ac:dyDescent="0.25">
      <c r="A1056" s="2" t="s">
        <v>15</v>
      </c>
      <c r="B1056" s="2">
        <v>1900</v>
      </c>
      <c r="C1056" s="2">
        <v>5</v>
      </c>
      <c r="D1056" s="2" t="s">
        <v>32</v>
      </c>
      <c r="E1056" s="3">
        <v>44247</v>
      </c>
      <c r="F1056" s="2" t="s">
        <v>76</v>
      </c>
      <c r="G1056" s="2" t="s">
        <v>358</v>
      </c>
      <c r="H1056" s="2" t="s">
        <v>49</v>
      </c>
      <c r="I1056" s="4">
        <v>33495</v>
      </c>
    </row>
    <row r="1057" spans="1:9" x14ac:dyDescent="0.25">
      <c r="A1057" s="2" t="s">
        <v>13</v>
      </c>
      <c r="B1057" s="2">
        <v>2300</v>
      </c>
      <c r="C1057" s="2">
        <v>2</v>
      </c>
      <c r="D1057" s="2" t="s">
        <v>36</v>
      </c>
      <c r="E1057" s="3">
        <v>44412</v>
      </c>
      <c r="F1057" s="2" t="s">
        <v>318</v>
      </c>
      <c r="G1057" s="2" t="s">
        <v>273</v>
      </c>
      <c r="H1057" s="2" t="s">
        <v>44</v>
      </c>
      <c r="I1057" s="4">
        <v>31188</v>
      </c>
    </row>
    <row r="1058" spans="1:9" x14ac:dyDescent="0.25">
      <c r="A1058" s="2" t="s">
        <v>10</v>
      </c>
      <c r="B1058" s="2">
        <v>1450</v>
      </c>
      <c r="C1058" s="2">
        <v>3</v>
      </c>
      <c r="D1058" s="2" t="s">
        <v>29</v>
      </c>
      <c r="E1058" s="3">
        <v>44484</v>
      </c>
      <c r="F1058" s="2" t="s">
        <v>109</v>
      </c>
      <c r="G1058" s="2" t="s">
        <v>345</v>
      </c>
      <c r="H1058" s="2" t="s">
        <v>44</v>
      </c>
      <c r="I1058" s="4">
        <v>33647</v>
      </c>
    </row>
    <row r="1059" spans="1:9" x14ac:dyDescent="0.25">
      <c r="A1059" s="2" t="s">
        <v>23</v>
      </c>
      <c r="B1059" s="2">
        <v>1500</v>
      </c>
      <c r="C1059" s="2">
        <v>3</v>
      </c>
      <c r="D1059" s="2" t="s">
        <v>30</v>
      </c>
      <c r="E1059" s="3">
        <v>44236</v>
      </c>
      <c r="F1059" s="2" t="s">
        <v>87</v>
      </c>
      <c r="G1059" s="2" t="s">
        <v>171</v>
      </c>
      <c r="H1059" s="2" t="s">
        <v>44</v>
      </c>
      <c r="I1059" s="4">
        <v>28244</v>
      </c>
    </row>
    <row r="1060" spans="1:9" x14ac:dyDescent="0.25">
      <c r="A1060" s="2" t="s">
        <v>13</v>
      </c>
      <c r="B1060" s="2">
        <v>2300</v>
      </c>
      <c r="C1060" s="2">
        <v>2</v>
      </c>
      <c r="D1060" s="2" t="s">
        <v>29</v>
      </c>
      <c r="E1060" s="3">
        <v>44279</v>
      </c>
      <c r="F1060" s="2" t="s">
        <v>94</v>
      </c>
      <c r="G1060" s="2" t="s">
        <v>95</v>
      </c>
      <c r="H1060" s="2" t="s">
        <v>49</v>
      </c>
      <c r="I1060" s="4">
        <v>31255</v>
      </c>
    </row>
    <row r="1061" spans="1:9" x14ac:dyDescent="0.25">
      <c r="A1061" s="2" t="s">
        <v>10</v>
      </c>
      <c r="B1061" s="2">
        <v>1450</v>
      </c>
      <c r="C1061" s="2">
        <v>2</v>
      </c>
      <c r="D1061" s="2" t="s">
        <v>37</v>
      </c>
      <c r="E1061" s="3">
        <v>44366</v>
      </c>
      <c r="F1061" s="2" t="s">
        <v>512</v>
      </c>
      <c r="G1061" s="2" t="s">
        <v>198</v>
      </c>
      <c r="H1061" s="2" t="s">
        <v>44</v>
      </c>
      <c r="I1061" s="4">
        <v>32916</v>
      </c>
    </row>
    <row r="1062" spans="1:9" x14ac:dyDescent="0.25">
      <c r="A1062" s="2" t="s">
        <v>22</v>
      </c>
      <c r="B1062" s="2">
        <v>5200</v>
      </c>
      <c r="C1062" s="2">
        <v>2</v>
      </c>
      <c r="D1062" s="2" t="s">
        <v>41</v>
      </c>
      <c r="E1062" s="3">
        <v>44457</v>
      </c>
      <c r="F1062" s="2" t="s">
        <v>304</v>
      </c>
      <c r="G1062" s="2" t="s">
        <v>305</v>
      </c>
      <c r="H1062" s="2" t="s">
        <v>44</v>
      </c>
      <c r="I1062" s="4">
        <v>20289</v>
      </c>
    </row>
    <row r="1063" spans="1:9" x14ac:dyDescent="0.25">
      <c r="A1063" s="2" t="s">
        <v>17</v>
      </c>
      <c r="B1063" s="2">
        <v>1550</v>
      </c>
      <c r="C1063" s="2">
        <v>2</v>
      </c>
      <c r="D1063" s="2" t="s">
        <v>29</v>
      </c>
      <c r="E1063" s="3">
        <v>44536</v>
      </c>
      <c r="F1063" s="2" t="s">
        <v>98</v>
      </c>
      <c r="G1063" s="2" t="s">
        <v>511</v>
      </c>
      <c r="H1063" s="2" t="s">
        <v>44</v>
      </c>
      <c r="I1063" s="4">
        <v>30253</v>
      </c>
    </row>
    <row r="1064" spans="1:9" x14ac:dyDescent="0.25">
      <c r="A1064" s="2" t="s">
        <v>28</v>
      </c>
      <c r="B1064" s="2">
        <v>1400</v>
      </c>
      <c r="C1064" s="2">
        <v>5</v>
      </c>
      <c r="D1064" s="2" t="s">
        <v>30</v>
      </c>
      <c r="E1064" s="3">
        <v>44386</v>
      </c>
      <c r="F1064" s="2" t="s">
        <v>94</v>
      </c>
      <c r="G1064" s="2" t="s">
        <v>536</v>
      </c>
      <c r="H1064" s="2" t="s">
        <v>49</v>
      </c>
      <c r="I1064" s="4">
        <v>33821</v>
      </c>
    </row>
    <row r="1065" spans="1:9" x14ac:dyDescent="0.25">
      <c r="A1065" s="2" t="s">
        <v>6</v>
      </c>
      <c r="B1065" s="2">
        <v>1200</v>
      </c>
      <c r="C1065" s="2">
        <v>1</v>
      </c>
      <c r="D1065" s="2" t="s">
        <v>35</v>
      </c>
      <c r="E1065" s="3">
        <v>44407</v>
      </c>
      <c r="F1065" s="2" t="s">
        <v>216</v>
      </c>
      <c r="G1065" s="2" t="s">
        <v>172</v>
      </c>
      <c r="H1065" s="2" t="s">
        <v>44</v>
      </c>
      <c r="I1065" s="4">
        <v>20763</v>
      </c>
    </row>
    <row r="1066" spans="1:9" x14ac:dyDescent="0.25">
      <c r="A1066" s="2" t="s">
        <v>23</v>
      </c>
      <c r="B1066" s="2">
        <v>1500</v>
      </c>
      <c r="C1066" s="2">
        <v>3</v>
      </c>
      <c r="D1066" s="2" t="s">
        <v>35</v>
      </c>
      <c r="E1066" s="3">
        <v>44222</v>
      </c>
      <c r="F1066" s="2" t="s">
        <v>153</v>
      </c>
      <c r="G1066" s="2" t="s">
        <v>143</v>
      </c>
      <c r="H1066" s="2" t="s">
        <v>44</v>
      </c>
      <c r="I1066" s="4">
        <v>18457</v>
      </c>
    </row>
    <row r="1067" spans="1:9" x14ac:dyDescent="0.25">
      <c r="A1067" s="2" t="s">
        <v>11</v>
      </c>
      <c r="B1067" s="2">
        <v>4500</v>
      </c>
      <c r="C1067" s="2">
        <v>3</v>
      </c>
      <c r="D1067" s="2" t="s">
        <v>30</v>
      </c>
      <c r="E1067" s="3">
        <v>44510</v>
      </c>
      <c r="F1067" s="2" t="s">
        <v>355</v>
      </c>
      <c r="G1067" s="2" t="s">
        <v>454</v>
      </c>
      <c r="H1067" s="2" t="s">
        <v>44</v>
      </c>
      <c r="I1067" s="4">
        <v>25735</v>
      </c>
    </row>
    <row r="1068" spans="1:9" x14ac:dyDescent="0.25">
      <c r="A1068" s="2" t="s">
        <v>20</v>
      </c>
      <c r="B1068" s="2">
        <v>2600</v>
      </c>
      <c r="C1068" s="2">
        <v>4</v>
      </c>
      <c r="D1068" s="2" t="s">
        <v>31</v>
      </c>
      <c r="E1068" s="3">
        <v>44462</v>
      </c>
      <c r="F1068" s="2" t="s">
        <v>279</v>
      </c>
      <c r="G1068" s="2" t="s">
        <v>231</v>
      </c>
      <c r="H1068" s="2" t="s">
        <v>44</v>
      </c>
      <c r="I1068" s="4">
        <v>27511</v>
      </c>
    </row>
    <row r="1069" spans="1:9" x14ac:dyDescent="0.25">
      <c r="A1069" s="2" t="s">
        <v>7</v>
      </c>
      <c r="B1069" s="2">
        <v>750</v>
      </c>
      <c r="C1069" s="2">
        <v>3</v>
      </c>
      <c r="D1069" s="2" t="s">
        <v>36</v>
      </c>
      <c r="E1069" s="3">
        <v>44223</v>
      </c>
      <c r="F1069" s="2" t="s">
        <v>239</v>
      </c>
      <c r="G1069" s="2" t="s">
        <v>152</v>
      </c>
      <c r="H1069" s="2" t="s">
        <v>49</v>
      </c>
      <c r="I1069" s="4">
        <v>32841</v>
      </c>
    </row>
    <row r="1070" spans="1:9" x14ac:dyDescent="0.25">
      <c r="A1070" s="2" t="s">
        <v>5</v>
      </c>
      <c r="B1070" s="2">
        <v>1750</v>
      </c>
      <c r="C1070" s="2">
        <v>5</v>
      </c>
      <c r="D1070" s="2" t="s">
        <v>40</v>
      </c>
      <c r="E1070" s="3">
        <v>44199</v>
      </c>
      <c r="F1070" s="2" t="s">
        <v>438</v>
      </c>
      <c r="G1070" s="2" t="s">
        <v>205</v>
      </c>
      <c r="H1070" s="2" t="s">
        <v>49</v>
      </c>
      <c r="I1070" s="4">
        <v>26729</v>
      </c>
    </row>
    <row r="1071" spans="1:9" x14ac:dyDescent="0.25">
      <c r="A1071" s="2" t="s">
        <v>6</v>
      </c>
      <c r="B1071" s="2">
        <v>1200</v>
      </c>
      <c r="C1071" s="2">
        <v>2</v>
      </c>
      <c r="D1071" s="2" t="s">
        <v>29</v>
      </c>
      <c r="E1071" s="3">
        <v>44250</v>
      </c>
      <c r="F1071" s="2" t="s">
        <v>328</v>
      </c>
      <c r="G1071" s="2" t="s">
        <v>63</v>
      </c>
      <c r="H1071" s="2" t="s">
        <v>49</v>
      </c>
      <c r="I1071" s="4">
        <v>35462</v>
      </c>
    </row>
    <row r="1072" spans="1:9" x14ac:dyDescent="0.25">
      <c r="A1072" s="2" t="s">
        <v>20</v>
      </c>
      <c r="B1072" s="2">
        <v>2600</v>
      </c>
      <c r="C1072" s="2">
        <v>3</v>
      </c>
      <c r="D1072" s="2" t="s">
        <v>29</v>
      </c>
      <c r="E1072" s="3">
        <v>44250</v>
      </c>
      <c r="F1072" s="2" t="s">
        <v>239</v>
      </c>
      <c r="G1072" s="2" t="s">
        <v>240</v>
      </c>
      <c r="H1072" s="2" t="s">
        <v>49</v>
      </c>
      <c r="I1072" s="4">
        <v>31265</v>
      </c>
    </row>
    <row r="1073" spans="1:9" x14ac:dyDescent="0.25">
      <c r="A1073" s="2" t="s">
        <v>25</v>
      </c>
      <c r="B1073" s="2">
        <v>2500</v>
      </c>
      <c r="C1073" s="2">
        <v>5</v>
      </c>
      <c r="D1073" s="2" t="s">
        <v>40</v>
      </c>
      <c r="E1073" s="3">
        <v>44235</v>
      </c>
      <c r="F1073" s="2" t="s">
        <v>438</v>
      </c>
      <c r="G1073" s="2" t="s">
        <v>205</v>
      </c>
      <c r="H1073" s="2" t="s">
        <v>49</v>
      </c>
      <c r="I1073" s="4">
        <v>26729</v>
      </c>
    </row>
    <row r="1074" spans="1:9" x14ac:dyDescent="0.25">
      <c r="A1074" s="2" t="s">
        <v>9</v>
      </c>
      <c r="B1074" s="2">
        <v>1500</v>
      </c>
      <c r="C1074" s="2">
        <v>2</v>
      </c>
      <c r="D1074" s="2" t="s">
        <v>38</v>
      </c>
      <c r="E1074" s="3">
        <v>44319</v>
      </c>
      <c r="F1074" s="2" t="s">
        <v>233</v>
      </c>
      <c r="G1074" s="2" t="s">
        <v>157</v>
      </c>
      <c r="H1074" s="2" t="s">
        <v>49</v>
      </c>
      <c r="I1074" s="4">
        <v>35651</v>
      </c>
    </row>
    <row r="1075" spans="1:9" x14ac:dyDescent="0.25">
      <c r="A1075" s="2" t="s">
        <v>16</v>
      </c>
      <c r="B1075" s="2">
        <v>1400</v>
      </c>
      <c r="C1075" s="2">
        <v>4</v>
      </c>
      <c r="D1075" s="2" t="s">
        <v>32</v>
      </c>
      <c r="E1075" s="3">
        <v>44518</v>
      </c>
      <c r="F1075" s="2" t="s">
        <v>190</v>
      </c>
      <c r="G1075" s="2" t="s">
        <v>83</v>
      </c>
      <c r="H1075" s="2" t="s">
        <v>44</v>
      </c>
      <c r="I1075" s="4">
        <v>32913</v>
      </c>
    </row>
    <row r="1076" spans="1:9" x14ac:dyDescent="0.25">
      <c r="A1076" s="2" t="s">
        <v>14</v>
      </c>
      <c r="B1076" s="2">
        <v>2000</v>
      </c>
      <c r="C1076" s="2">
        <v>5</v>
      </c>
      <c r="D1076" s="2" t="s">
        <v>29</v>
      </c>
      <c r="E1076" s="3">
        <v>44485</v>
      </c>
      <c r="F1076" s="2" t="s">
        <v>187</v>
      </c>
      <c r="G1076" s="2" t="s">
        <v>188</v>
      </c>
      <c r="H1076" s="2" t="s">
        <v>49</v>
      </c>
      <c r="I1076" s="4">
        <v>20543</v>
      </c>
    </row>
    <row r="1077" spans="1:9" x14ac:dyDescent="0.25">
      <c r="A1077" s="2" t="s">
        <v>5</v>
      </c>
      <c r="B1077" s="2">
        <v>1750</v>
      </c>
      <c r="C1077" s="2">
        <v>3</v>
      </c>
      <c r="D1077" s="2" t="s">
        <v>40</v>
      </c>
      <c r="E1077" s="3">
        <v>44264</v>
      </c>
      <c r="F1077" s="2" t="s">
        <v>267</v>
      </c>
      <c r="G1077" s="2" t="s">
        <v>55</v>
      </c>
      <c r="H1077" s="2" t="s">
        <v>44</v>
      </c>
      <c r="I1077" s="4">
        <v>29760</v>
      </c>
    </row>
    <row r="1078" spans="1:9" x14ac:dyDescent="0.25">
      <c r="A1078" s="2" t="s">
        <v>12</v>
      </c>
      <c r="B1078" s="2">
        <v>6500</v>
      </c>
      <c r="C1078" s="2">
        <v>2</v>
      </c>
      <c r="D1078" s="2" t="s">
        <v>34</v>
      </c>
      <c r="E1078" s="3">
        <v>44213</v>
      </c>
      <c r="F1078" s="2" t="s">
        <v>87</v>
      </c>
      <c r="G1078" s="2" t="s">
        <v>458</v>
      </c>
      <c r="H1078" s="2" t="s">
        <v>44</v>
      </c>
      <c r="I1078" s="4">
        <v>21480</v>
      </c>
    </row>
    <row r="1079" spans="1:9" x14ac:dyDescent="0.25">
      <c r="A1079" s="2" t="s">
        <v>21</v>
      </c>
      <c r="B1079" s="2">
        <v>2400</v>
      </c>
      <c r="C1079" s="2">
        <v>4</v>
      </c>
      <c r="D1079" s="2" t="s">
        <v>29</v>
      </c>
      <c r="E1079" s="3">
        <v>44261</v>
      </c>
      <c r="F1079" s="2" t="s">
        <v>124</v>
      </c>
      <c r="G1079" s="2" t="s">
        <v>574</v>
      </c>
      <c r="H1079" s="2" t="s">
        <v>44</v>
      </c>
      <c r="I1079" s="4">
        <v>28058</v>
      </c>
    </row>
    <row r="1080" spans="1:9" x14ac:dyDescent="0.25">
      <c r="A1080" s="2" t="s">
        <v>16</v>
      </c>
      <c r="B1080" s="2">
        <v>1400</v>
      </c>
      <c r="C1080" s="2">
        <v>4</v>
      </c>
      <c r="D1080" s="2" t="s">
        <v>37</v>
      </c>
      <c r="E1080" s="3">
        <v>44502</v>
      </c>
      <c r="F1080" s="2" t="s">
        <v>109</v>
      </c>
      <c r="G1080" s="2" t="s">
        <v>110</v>
      </c>
      <c r="H1080" s="2" t="s">
        <v>44</v>
      </c>
      <c r="I1080" s="4">
        <v>20070</v>
      </c>
    </row>
    <row r="1081" spans="1:9" x14ac:dyDescent="0.25">
      <c r="A1081" s="2" t="s">
        <v>12</v>
      </c>
      <c r="B1081" s="2">
        <v>6500</v>
      </c>
      <c r="C1081" s="2">
        <v>5</v>
      </c>
      <c r="D1081" s="2" t="s">
        <v>33</v>
      </c>
      <c r="E1081" s="3">
        <v>44429</v>
      </c>
      <c r="F1081" s="2" t="s">
        <v>190</v>
      </c>
      <c r="G1081" s="2" t="s">
        <v>55</v>
      </c>
      <c r="H1081" s="2" t="s">
        <v>44</v>
      </c>
      <c r="I1081" s="4">
        <v>27461</v>
      </c>
    </row>
    <row r="1082" spans="1:9" x14ac:dyDescent="0.25">
      <c r="A1082" s="2" t="s">
        <v>17</v>
      </c>
      <c r="B1082" s="2">
        <v>1550</v>
      </c>
      <c r="C1082" s="2">
        <v>2</v>
      </c>
      <c r="D1082" s="2" t="s">
        <v>31</v>
      </c>
      <c r="E1082" s="3">
        <v>44444</v>
      </c>
      <c r="F1082" s="2" t="s">
        <v>52</v>
      </c>
      <c r="G1082" s="2" t="s">
        <v>203</v>
      </c>
      <c r="H1082" s="2" t="s">
        <v>44</v>
      </c>
      <c r="I1082" s="4">
        <v>34955</v>
      </c>
    </row>
    <row r="1083" spans="1:9" x14ac:dyDescent="0.25">
      <c r="A1083" s="2" t="s">
        <v>11</v>
      </c>
      <c r="B1083" s="2">
        <v>4500</v>
      </c>
      <c r="C1083" s="2">
        <v>5</v>
      </c>
      <c r="D1083" s="2" t="s">
        <v>37</v>
      </c>
      <c r="E1083" s="3">
        <v>44309</v>
      </c>
      <c r="F1083" s="2" t="s">
        <v>398</v>
      </c>
      <c r="G1083" s="2" t="s">
        <v>232</v>
      </c>
      <c r="H1083" s="2" t="s">
        <v>44</v>
      </c>
      <c r="I1083" s="4">
        <v>22605</v>
      </c>
    </row>
    <row r="1084" spans="1:9" x14ac:dyDescent="0.25">
      <c r="A1084" s="2" t="s">
        <v>10</v>
      </c>
      <c r="B1084" s="2">
        <v>1450</v>
      </c>
      <c r="C1084" s="2">
        <v>1</v>
      </c>
      <c r="D1084" s="2" t="s">
        <v>40</v>
      </c>
      <c r="E1084" s="3">
        <v>44551</v>
      </c>
      <c r="F1084" s="2" t="s">
        <v>392</v>
      </c>
      <c r="G1084" s="2" t="s">
        <v>393</v>
      </c>
      <c r="H1084" s="2" t="s">
        <v>49</v>
      </c>
      <c r="I1084" s="4">
        <v>31041</v>
      </c>
    </row>
    <row r="1085" spans="1:9" x14ac:dyDescent="0.25">
      <c r="A1085" s="2" t="s">
        <v>11</v>
      </c>
      <c r="B1085" s="2">
        <v>4500</v>
      </c>
      <c r="C1085" s="2">
        <v>3</v>
      </c>
      <c r="D1085" s="2" t="s">
        <v>36</v>
      </c>
      <c r="E1085" s="3">
        <v>44256</v>
      </c>
      <c r="F1085" s="2" t="s">
        <v>64</v>
      </c>
      <c r="G1085" s="2" t="s">
        <v>65</v>
      </c>
      <c r="H1085" s="2" t="s">
        <v>44</v>
      </c>
      <c r="I1085" s="4">
        <v>33748</v>
      </c>
    </row>
    <row r="1086" spans="1:9" x14ac:dyDescent="0.25">
      <c r="A1086" s="2" t="s">
        <v>6</v>
      </c>
      <c r="B1086" s="2">
        <v>1200</v>
      </c>
      <c r="C1086" s="2">
        <v>5</v>
      </c>
      <c r="D1086" s="2" t="s">
        <v>31</v>
      </c>
      <c r="E1086" s="3">
        <v>44388</v>
      </c>
      <c r="F1086" s="2" t="s">
        <v>405</v>
      </c>
      <c r="G1086" s="2" t="s">
        <v>451</v>
      </c>
      <c r="H1086" s="2" t="s">
        <v>44</v>
      </c>
      <c r="I1086" s="4">
        <v>22469</v>
      </c>
    </row>
    <row r="1087" spans="1:9" x14ac:dyDescent="0.25">
      <c r="A1087" s="2" t="s">
        <v>24</v>
      </c>
      <c r="B1087" s="2">
        <v>2000</v>
      </c>
      <c r="C1087" s="2">
        <v>3</v>
      </c>
      <c r="D1087" s="2" t="s">
        <v>33</v>
      </c>
      <c r="E1087" s="3">
        <v>44370</v>
      </c>
      <c r="F1087" s="2" t="s">
        <v>78</v>
      </c>
      <c r="G1087" s="2" t="s">
        <v>83</v>
      </c>
      <c r="H1087" s="2" t="s">
        <v>49</v>
      </c>
      <c r="I1087" s="4">
        <v>19821</v>
      </c>
    </row>
    <row r="1088" spans="1:9" x14ac:dyDescent="0.25">
      <c r="A1088" s="2" t="s">
        <v>6</v>
      </c>
      <c r="B1088" s="2">
        <v>1200</v>
      </c>
      <c r="C1088" s="2">
        <v>3</v>
      </c>
      <c r="D1088" s="2" t="s">
        <v>34</v>
      </c>
      <c r="E1088" s="3">
        <v>44519</v>
      </c>
      <c r="F1088" s="2" t="s">
        <v>153</v>
      </c>
      <c r="G1088" s="2" t="s">
        <v>154</v>
      </c>
      <c r="H1088" s="2" t="s">
        <v>44</v>
      </c>
      <c r="I1088" s="4">
        <v>30459</v>
      </c>
    </row>
    <row r="1089" spans="1:9" x14ac:dyDescent="0.25">
      <c r="A1089" s="2" t="s">
        <v>23</v>
      </c>
      <c r="B1089" s="2">
        <v>1500</v>
      </c>
      <c r="C1089" s="2">
        <v>3</v>
      </c>
      <c r="D1089" s="2" t="s">
        <v>30</v>
      </c>
      <c r="E1089" s="3">
        <v>44417</v>
      </c>
      <c r="F1089" s="2" t="s">
        <v>355</v>
      </c>
      <c r="G1089" s="2" t="s">
        <v>454</v>
      </c>
      <c r="H1089" s="2" t="s">
        <v>44</v>
      </c>
      <c r="I1089" s="4">
        <v>25735</v>
      </c>
    </row>
    <row r="1090" spans="1:9" x14ac:dyDescent="0.25">
      <c r="A1090" s="2" t="s">
        <v>9</v>
      </c>
      <c r="B1090" s="2">
        <v>1500</v>
      </c>
      <c r="C1090" s="2">
        <v>1</v>
      </c>
      <c r="D1090" s="2" t="s">
        <v>34</v>
      </c>
      <c r="E1090" s="3">
        <v>44348</v>
      </c>
      <c r="F1090" s="2" t="s">
        <v>275</v>
      </c>
      <c r="G1090" s="2" t="s">
        <v>276</v>
      </c>
      <c r="H1090" s="2" t="s">
        <v>49</v>
      </c>
      <c r="I1090" s="4">
        <v>21396</v>
      </c>
    </row>
    <row r="1091" spans="1:9" x14ac:dyDescent="0.25">
      <c r="A1091" s="2" t="s">
        <v>7</v>
      </c>
      <c r="B1091" s="2">
        <v>750</v>
      </c>
      <c r="C1091" s="2">
        <v>1</v>
      </c>
      <c r="D1091" s="2" t="s">
        <v>38</v>
      </c>
      <c r="E1091" s="3">
        <v>44424</v>
      </c>
      <c r="F1091" s="2" t="s">
        <v>312</v>
      </c>
      <c r="G1091" s="2" t="s">
        <v>411</v>
      </c>
      <c r="H1091" s="2" t="s">
        <v>49</v>
      </c>
      <c r="I1091" s="4">
        <v>26225</v>
      </c>
    </row>
    <row r="1092" spans="1:9" x14ac:dyDescent="0.25">
      <c r="A1092" s="2" t="s">
        <v>9</v>
      </c>
      <c r="B1092" s="2">
        <v>1500</v>
      </c>
      <c r="C1092" s="2">
        <v>5</v>
      </c>
      <c r="D1092" s="2" t="s">
        <v>38</v>
      </c>
      <c r="E1092" s="3">
        <v>44449</v>
      </c>
      <c r="F1092" s="2" t="s">
        <v>107</v>
      </c>
      <c r="G1092" s="2" t="s">
        <v>67</v>
      </c>
      <c r="H1092" s="2" t="s">
        <v>49</v>
      </c>
      <c r="I1092" s="4">
        <v>31355</v>
      </c>
    </row>
    <row r="1093" spans="1:9" x14ac:dyDescent="0.25">
      <c r="A1093" s="2" t="s">
        <v>6</v>
      </c>
      <c r="B1093" s="2">
        <v>1200</v>
      </c>
      <c r="C1093" s="2">
        <v>2</v>
      </c>
      <c r="D1093" s="2" t="s">
        <v>32</v>
      </c>
      <c r="E1093" s="3">
        <v>44407</v>
      </c>
      <c r="F1093" s="2" t="s">
        <v>312</v>
      </c>
      <c r="G1093" s="2" t="s">
        <v>63</v>
      </c>
      <c r="H1093" s="2" t="s">
        <v>49</v>
      </c>
      <c r="I1093" s="4">
        <v>20954</v>
      </c>
    </row>
    <row r="1094" spans="1:9" x14ac:dyDescent="0.25">
      <c r="A1094" s="2" t="s">
        <v>9</v>
      </c>
      <c r="B1094" s="2">
        <v>1500</v>
      </c>
      <c r="C1094" s="2">
        <v>4</v>
      </c>
      <c r="D1094" s="2" t="s">
        <v>35</v>
      </c>
      <c r="E1094" s="3">
        <v>44412</v>
      </c>
      <c r="F1094" s="2" t="s">
        <v>335</v>
      </c>
      <c r="G1094" s="2" t="s">
        <v>530</v>
      </c>
      <c r="H1094" s="2" t="s">
        <v>49</v>
      </c>
      <c r="I1094" s="4">
        <v>36734</v>
      </c>
    </row>
    <row r="1095" spans="1:9" x14ac:dyDescent="0.25">
      <c r="A1095" s="2" t="s">
        <v>21</v>
      </c>
      <c r="B1095" s="2">
        <v>2400</v>
      </c>
      <c r="C1095" s="2">
        <v>4</v>
      </c>
      <c r="D1095" s="2" t="s">
        <v>29</v>
      </c>
      <c r="E1095" s="3">
        <v>44204</v>
      </c>
      <c r="F1095" s="2" t="s">
        <v>136</v>
      </c>
      <c r="G1095" s="2" t="s">
        <v>75</v>
      </c>
      <c r="H1095" s="2" t="s">
        <v>49</v>
      </c>
      <c r="I1095" s="4">
        <v>19190</v>
      </c>
    </row>
    <row r="1096" spans="1:9" x14ac:dyDescent="0.25">
      <c r="A1096" s="2" t="s">
        <v>23</v>
      </c>
      <c r="B1096" s="2">
        <v>1500</v>
      </c>
      <c r="C1096" s="2">
        <v>1</v>
      </c>
      <c r="D1096" s="2" t="s">
        <v>41</v>
      </c>
      <c r="E1096" s="3">
        <v>44501</v>
      </c>
      <c r="F1096" s="2" t="s">
        <v>177</v>
      </c>
      <c r="G1096" s="2" t="s">
        <v>480</v>
      </c>
      <c r="H1096" s="2" t="s">
        <v>49</v>
      </c>
      <c r="I1096" s="4">
        <v>32007</v>
      </c>
    </row>
    <row r="1097" spans="1:9" x14ac:dyDescent="0.25">
      <c r="A1097" s="2" t="s">
        <v>17</v>
      </c>
      <c r="B1097" s="2">
        <v>1550</v>
      </c>
      <c r="C1097" s="2">
        <v>1</v>
      </c>
      <c r="D1097" s="2" t="s">
        <v>30</v>
      </c>
      <c r="E1097" s="3">
        <v>44330</v>
      </c>
      <c r="F1097" s="2" t="s">
        <v>107</v>
      </c>
      <c r="G1097" s="2" t="s">
        <v>63</v>
      </c>
      <c r="H1097" s="2" t="s">
        <v>49</v>
      </c>
      <c r="I1097" s="4">
        <v>29503</v>
      </c>
    </row>
    <row r="1098" spans="1:9" x14ac:dyDescent="0.25">
      <c r="A1098" s="2" t="s">
        <v>16</v>
      </c>
      <c r="B1098" s="2">
        <v>1400</v>
      </c>
      <c r="C1098" s="2">
        <v>5</v>
      </c>
      <c r="D1098" s="2" t="s">
        <v>31</v>
      </c>
      <c r="E1098" s="3">
        <v>44318</v>
      </c>
      <c r="F1098" s="2" t="s">
        <v>173</v>
      </c>
      <c r="G1098" s="2" t="s">
        <v>99</v>
      </c>
      <c r="H1098" s="2" t="s">
        <v>44</v>
      </c>
      <c r="I1098" s="4">
        <v>19280</v>
      </c>
    </row>
    <row r="1099" spans="1:9" x14ac:dyDescent="0.25">
      <c r="A1099" s="2" t="s">
        <v>10</v>
      </c>
      <c r="B1099" s="2">
        <v>1450</v>
      </c>
      <c r="C1099" s="2">
        <v>3</v>
      </c>
      <c r="D1099" s="2" t="s">
        <v>33</v>
      </c>
      <c r="E1099" s="3">
        <v>44497</v>
      </c>
      <c r="F1099" s="2" t="s">
        <v>601</v>
      </c>
      <c r="G1099" s="2" t="s">
        <v>123</v>
      </c>
      <c r="H1099" s="2" t="s">
        <v>44</v>
      </c>
      <c r="I1099" s="4">
        <v>29735</v>
      </c>
    </row>
    <row r="1100" spans="1:9" x14ac:dyDescent="0.25">
      <c r="A1100" s="2" t="s">
        <v>6</v>
      </c>
      <c r="B1100" s="2">
        <v>1200</v>
      </c>
      <c r="C1100" s="2">
        <v>5</v>
      </c>
      <c r="D1100" s="2" t="s">
        <v>41</v>
      </c>
      <c r="E1100" s="3">
        <v>44527</v>
      </c>
      <c r="F1100" s="2" t="s">
        <v>111</v>
      </c>
      <c r="G1100" s="2" t="s">
        <v>623</v>
      </c>
      <c r="H1100" s="2" t="s">
        <v>44</v>
      </c>
      <c r="I1100" s="4">
        <v>25704</v>
      </c>
    </row>
    <row r="1101" spans="1:9" x14ac:dyDescent="0.25">
      <c r="A1101" s="2" t="s">
        <v>9</v>
      </c>
      <c r="B1101" s="2">
        <v>1500</v>
      </c>
      <c r="C1101" s="2">
        <v>2</v>
      </c>
      <c r="D1101" s="2" t="s">
        <v>31</v>
      </c>
      <c r="E1101" s="3">
        <v>44526</v>
      </c>
      <c r="F1101" s="2" t="s">
        <v>51</v>
      </c>
      <c r="G1101" s="2" t="s">
        <v>596</v>
      </c>
      <c r="H1101" s="2" t="s">
        <v>44</v>
      </c>
      <c r="I1101" s="4">
        <v>26563</v>
      </c>
    </row>
    <row r="1102" spans="1:9" x14ac:dyDescent="0.25">
      <c r="A1102" s="2" t="s">
        <v>24</v>
      </c>
      <c r="B1102" s="2">
        <v>2000</v>
      </c>
      <c r="C1102" s="2">
        <v>2</v>
      </c>
      <c r="D1102" s="2" t="s">
        <v>30</v>
      </c>
      <c r="E1102" s="3">
        <v>44488</v>
      </c>
      <c r="F1102" s="2" t="s">
        <v>94</v>
      </c>
      <c r="G1102" s="2" t="s">
        <v>536</v>
      </c>
      <c r="H1102" s="2" t="s">
        <v>49</v>
      </c>
      <c r="I1102" s="4">
        <v>33821</v>
      </c>
    </row>
    <row r="1103" spans="1:9" x14ac:dyDescent="0.25">
      <c r="A1103" s="2" t="s">
        <v>7</v>
      </c>
      <c r="B1103" s="2">
        <v>750</v>
      </c>
      <c r="C1103" s="2">
        <v>5</v>
      </c>
      <c r="D1103" s="2" t="s">
        <v>40</v>
      </c>
      <c r="E1103" s="3">
        <v>44249</v>
      </c>
      <c r="F1103" s="2" t="s">
        <v>87</v>
      </c>
      <c r="G1103" s="2" t="s">
        <v>468</v>
      </c>
      <c r="H1103" s="2" t="s">
        <v>44</v>
      </c>
      <c r="I1103" s="4">
        <v>32676</v>
      </c>
    </row>
    <row r="1104" spans="1:9" x14ac:dyDescent="0.25">
      <c r="A1104" s="2" t="s">
        <v>9</v>
      </c>
      <c r="B1104" s="2">
        <v>1500</v>
      </c>
      <c r="C1104" s="2">
        <v>2</v>
      </c>
      <c r="D1104" s="2" t="s">
        <v>39</v>
      </c>
      <c r="E1104" s="3">
        <v>44498</v>
      </c>
      <c r="F1104" s="2" t="s">
        <v>87</v>
      </c>
      <c r="G1104" s="2" t="s">
        <v>81</v>
      </c>
      <c r="H1104" s="2" t="s">
        <v>44</v>
      </c>
      <c r="I1104" s="4">
        <v>31569</v>
      </c>
    </row>
    <row r="1105" spans="1:9" x14ac:dyDescent="0.25">
      <c r="A1105" s="2" t="s">
        <v>16</v>
      </c>
      <c r="B1105" s="2">
        <v>1400</v>
      </c>
      <c r="C1105" s="2">
        <v>1</v>
      </c>
      <c r="D1105" s="2" t="s">
        <v>40</v>
      </c>
      <c r="E1105" s="3">
        <v>44457</v>
      </c>
      <c r="F1105" s="2" t="s">
        <v>405</v>
      </c>
      <c r="G1105" s="2" t="s">
        <v>238</v>
      </c>
      <c r="H1105" s="2" t="s">
        <v>44</v>
      </c>
      <c r="I1105" s="4">
        <v>24301</v>
      </c>
    </row>
    <row r="1106" spans="1:9" x14ac:dyDescent="0.25">
      <c r="A1106" s="2" t="s">
        <v>8</v>
      </c>
      <c r="B1106" s="2">
        <v>5500</v>
      </c>
      <c r="C1106" s="2">
        <v>2</v>
      </c>
      <c r="D1106" s="2" t="s">
        <v>40</v>
      </c>
      <c r="E1106" s="3">
        <v>44223</v>
      </c>
      <c r="F1106" s="2" t="s">
        <v>98</v>
      </c>
      <c r="G1106" s="2" t="s">
        <v>529</v>
      </c>
      <c r="H1106" s="2" t="s">
        <v>44</v>
      </c>
      <c r="I1106" s="4">
        <v>33148</v>
      </c>
    </row>
    <row r="1107" spans="1:9" x14ac:dyDescent="0.25">
      <c r="A1107" s="2" t="s">
        <v>25</v>
      </c>
      <c r="B1107" s="2">
        <v>2500</v>
      </c>
      <c r="C1107" s="2">
        <v>1</v>
      </c>
      <c r="D1107" s="2" t="s">
        <v>36</v>
      </c>
      <c r="E1107" s="3">
        <v>44368</v>
      </c>
      <c r="F1107" s="2" t="s">
        <v>120</v>
      </c>
      <c r="G1107" s="2" t="s">
        <v>171</v>
      </c>
      <c r="H1107" s="2" t="s">
        <v>44</v>
      </c>
      <c r="I1107" s="4">
        <v>26810</v>
      </c>
    </row>
    <row r="1108" spans="1:9" x14ac:dyDescent="0.25">
      <c r="A1108" s="2" t="s">
        <v>21</v>
      </c>
      <c r="B1108" s="2">
        <v>2400</v>
      </c>
      <c r="C1108" s="2">
        <v>1</v>
      </c>
      <c r="D1108" s="2" t="s">
        <v>31</v>
      </c>
      <c r="E1108" s="3">
        <v>44408</v>
      </c>
      <c r="F1108" s="2" t="s">
        <v>109</v>
      </c>
      <c r="G1108" s="2" t="s">
        <v>81</v>
      </c>
      <c r="H1108" s="2" t="s">
        <v>44</v>
      </c>
      <c r="I1108" s="4">
        <v>24618</v>
      </c>
    </row>
    <row r="1109" spans="1:9" x14ac:dyDescent="0.25">
      <c r="A1109" s="2" t="s">
        <v>20</v>
      </c>
      <c r="B1109" s="2">
        <v>2600</v>
      </c>
      <c r="C1109" s="2">
        <v>2</v>
      </c>
      <c r="D1109" s="2" t="s">
        <v>35</v>
      </c>
      <c r="E1109" s="3">
        <v>44211</v>
      </c>
      <c r="F1109" s="2" t="s">
        <v>544</v>
      </c>
      <c r="G1109" s="2" t="s">
        <v>238</v>
      </c>
      <c r="H1109" s="2" t="s">
        <v>44</v>
      </c>
      <c r="I1109" s="4">
        <v>23493</v>
      </c>
    </row>
    <row r="1110" spans="1:9" x14ac:dyDescent="0.25">
      <c r="A1110" s="2" t="s">
        <v>11</v>
      </c>
      <c r="B1110" s="2">
        <v>4500</v>
      </c>
      <c r="C1110" s="2">
        <v>1</v>
      </c>
      <c r="D1110" s="2" t="s">
        <v>35</v>
      </c>
      <c r="E1110" s="3">
        <v>44419</v>
      </c>
      <c r="F1110" s="2" t="s">
        <v>401</v>
      </c>
      <c r="G1110" s="2" t="s">
        <v>213</v>
      </c>
      <c r="H1110" s="2" t="s">
        <v>49</v>
      </c>
      <c r="I1110" s="4">
        <v>25507</v>
      </c>
    </row>
    <row r="1111" spans="1:9" x14ac:dyDescent="0.25">
      <c r="A1111" s="2" t="s">
        <v>16</v>
      </c>
      <c r="B1111" s="2">
        <v>1400</v>
      </c>
      <c r="C1111" s="2">
        <v>5</v>
      </c>
      <c r="D1111" s="2" t="s">
        <v>35</v>
      </c>
      <c r="E1111" s="3">
        <v>44253</v>
      </c>
      <c r="F1111" s="2" t="s">
        <v>630</v>
      </c>
      <c r="G1111" s="2" t="s">
        <v>631</v>
      </c>
      <c r="H1111" s="2" t="s">
        <v>49</v>
      </c>
      <c r="I1111" s="4">
        <v>36082</v>
      </c>
    </row>
    <row r="1112" spans="1:9" x14ac:dyDescent="0.25">
      <c r="A1112" s="2" t="s">
        <v>12</v>
      </c>
      <c r="B1112" s="2">
        <v>6500</v>
      </c>
      <c r="C1112" s="2">
        <v>5</v>
      </c>
      <c r="D1112" s="2" t="s">
        <v>33</v>
      </c>
      <c r="E1112" s="3">
        <v>44505</v>
      </c>
      <c r="F1112" s="2" t="s">
        <v>290</v>
      </c>
      <c r="G1112" s="2" t="s">
        <v>81</v>
      </c>
      <c r="H1112" s="2" t="s">
        <v>49</v>
      </c>
      <c r="I1112" s="4">
        <v>34655</v>
      </c>
    </row>
    <row r="1113" spans="1:9" x14ac:dyDescent="0.25">
      <c r="A1113" s="2" t="s">
        <v>14</v>
      </c>
      <c r="B1113" s="2">
        <v>2000</v>
      </c>
      <c r="C1113" s="2">
        <v>4</v>
      </c>
      <c r="D1113" s="2" t="s">
        <v>41</v>
      </c>
      <c r="E1113" s="3">
        <v>44491</v>
      </c>
      <c r="F1113" s="2" t="s">
        <v>118</v>
      </c>
      <c r="G1113" s="2" t="s">
        <v>332</v>
      </c>
      <c r="H1113" s="2" t="s">
        <v>49</v>
      </c>
      <c r="I1113" s="4">
        <v>31393</v>
      </c>
    </row>
    <row r="1114" spans="1:9" x14ac:dyDescent="0.25">
      <c r="A1114" s="2" t="s">
        <v>10</v>
      </c>
      <c r="B1114" s="2">
        <v>1450</v>
      </c>
      <c r="C1114" s="2">
        <v>2</v>
      </c>
      <c r="D1114" s="2" t="s">
        <v>31</v>
      </c>
      <c r="E1114" s="3">
        <v>44292</v>
      </c>
      <c r="F1114" s="2" t="s">
        <v>98</v>
      </c>
      <c r="G1114" s="2" t="s">
        <v>246</v>
      </c>
      <c r="H1114" s="2" t="s">
        <v>44</v>
      </c>
      <c r="I1114" s="4">
        <v>36854</v>
      </c>
    </row>
    <row r="1115" spans="1:9" x14ac:dyDescent="0.25">
      <c r="A1115" s="2" t="s">
        <v>12</v>
      </c>
      <c r="B1115" s="2">
        <v>6500</v>
      </c>
      <c r="C1115" s="2">
        <v>2</v>
      </c>
      <c r="D1115" s="2" t="s">
        <v>34</v>
      </c>
      <c r="E1115" s="3">
        <v>44428</v>
      </c>
      <c r="F1115" s="2" t="s">
        <v>78</v>
      </c>
      <c r="G1115" s="2" t="s">
        <v>79</v>
      </c>
      <c r="H1115" s="2" t="s">
        <v>49</v>
      </c>
      <c r="I1115" s="4">
        <v>36540</v>
      </c>
    </row>
    <row r="1116" spans="1:9" x14ac:dyDescent="0.25">
      <c r="A1116" s="2" t="s">
        <v>8</v>
      </c>
      <c r="B1116" s="2">
        <v>5500</v>
      </c>
      <c r="C1116" s="2">
        <v>1</v>
      </c>
      <c r="D1116" s="2" t="s">
        <v>29</v>
      </c>
      <c r="E1116" s="3">
        <v>44415</v>
      </c>
      <c r="F1116" s="2" t="s">
        <v>333</v>
      </c>
      <c r="G1116" s="2" t="s">
        <v>334</v>
      </c>
      <c r="H1116" s="2" t="s">
        <v>44</v>
      </c>
      <c r="I1116" s="4">
        <v>26869</v>
      </c>
    </row>
    <row r="1117" spans="1:9" x14ac:dyDescent="0.25">
      <c r="A1117" s="2" t="s">
        <v>20</v>
      </c>
      <c r="B1117" s="2">
        <v>2600</v>
      </c>
      <c r="C1117" s="2">
        <v>3</v>
      </c>
      <c r="D1117" s="2" t="s">
        <v>29</v>
      </c>
      <c r="E1117" s="3">
        <v>44441</v>
      </c>
      <c r="F1117" s="2" t="s">
        <v>277</v>
      </c>
      <c r="G1117" s="2" t="s">
        <v>164</v>
      </c>
      <c r="H1117" s="2" t="s">
        <v>49</v>
      </c>
      <c r="I1117" s="4">
        <v>22472</v>
      </c>
    </row>
    <row r="1118" spans="1:9" x14ac:dyDescent="0.25">
      <c r="A1118" s="2" t="s">
        <v>11</v>
      </c>
      <c r="B1118" s="2">
        <v>4500</v>
      </c>
      <c r="C1118" s="2">
        <v>2</v>
      </c>
      <c r="D1118" s="2" t="s">
        <v>37</v>
      </c>
      <c r="E1118" s="3">
        <v>44359</v>
      </c>
      <c r="F1118" s="2" t="s">
        <v>192</v>
      </c>
      <c r="G1118" s="2" t="s">
        <v>193</v>
      </c>
      <c r="H1118" s="2" t="s">
        <v>49</v>
      </c>
      <c r="I1118" s="4">
        <v>21418</v>
      </c>
    </row>
    <row r="1119" spans="1:9" x14ac:dyDescent="0.25">
      <c r="A1119" s="2" t="s">
        <v>18</v>
      </c>
      <c r="B1119" s="2">
        <v>3000</v>
      </c>
      <c r="C1119" s="2">
        <v>1</v>
      </c>
      <c r="D1119" s="2" t="s">
        <v>32</v>
      </c>
      <c r="E1119" s="3">
        <v>44247</v>
      </c>
      <c r="F1119" s="2" t="s">
        <v>137</v>
      </c>
      <c r="G1119" s="2" t="s">
        <v>174</v>
      </c>
      <c r="H1119" s="2" t="s">
        <v>49</v>
      </c>
      <c r="I1119" s="4">
        <v>22798</v>
      </c>
    </row>
    <row r="1120" spans="1:9" x14ac:dyDescent="0.25">
      <c r="A1120" s="2" t="s">
        <v>9</v>
      </c>
      <c r="B1120" s="2">
        <v>1500</v>
      </c>
      <c r="C1120" s="2">
        <v>3</v>
      </c>
      <c r="D1120" s="2" t="s">
        <v>38</v>
      </c>
      <c r="E1120" s="3">
        <v>44521</v>
      </c>
      <c r="F1120" s="2" t="s">
        <v>216</v>
      </c>
      <c r="G1120" s="2" t="s">
        <v>502</v>
      </c>
      <c r="H1120" s="2" t="s">
        <v>44</v>
      </c>
      <c r="I1120" s="4">
        <v>18757</v>
      </c>
    </row>
    <row r="1121" spans="1:9" x14ac:dyDescent="0.25">
      <c r="A1121" s="2" t="s">
        <v>14</v>
      </c>
      <c r="B1121" s="2">
        <v>2000</v>
      </c>
      <c r="C1121" s="2">
        <v>1</v>
      </c>
      <c r="D1121" s="2" t="s">
        <v>29</v>
      </c>
      <c r="E1121" s="3">
        <v>44444</v>
      </c>
      <c r="F1121" s="2" t="s">
        <v>339</v>
      </c>
      <c r="G1121" s="2" t="s">
        <v>63</v>
      </c>
      <c r="H1121" s="2" t="s">
        <v>44</v>
      </c>
      <c r="I1121" s="4">
        <v>25183</v>
      </c>
    </row>
    <row r="1122" spans="1:9" x14ac:dyDescent="0.25">
      <c r="A1122" s="2" t="s">
        <v>26</v>
      </c>
      <c r="B1122" s="2">
        <v>1100</v>
      </c>
      <c r="C1122" s="2">
        <v>4</v>
      </c>
      <c r="D1122" s="2" t="s">
        <v>31</v>
      </c>
      <c r="E1122" s="3">
        <v>44319</v>
      </c>
      <c r="F1122" s="2" t="s">
        <v>98</v>
      </c>
      <c r="G1122" s="2" t="s">
        <v>508</v>
      </c>
      <c r="H1122" s="2" t="s">
        <v>44</v>
      </c>
      <c r="I1122" s="4">
        <v>33252</v>
      </c>
    </row>
    <row r="1123" spans="1:9" x14ac:dyDescent="0.25">
      <c r="A1123" s="2" t="s">
        <v>12</v>
      </c>
      <c r="B1123" s="2">
        <v>6500</v>
      </c>
      <c r="C1123" s="2">
        <v>2</v>
      </c>
      <c r="D1123" s="2" t="s">
        <v>40</v>
      </c>
      <c r="E1123" s="3">
        <v>44436</v>
      </c>
      <c r="F1123" s="2" t="s">
        <v>87</v>
      </c>
      <c r="G1123" s="2" t="s">
        <v>450</v>
      </c>
      <c r="H1123" s="2" t="s">
        <v>44</v>
      </c>
      <c r="I1123" s="4">
        <v>20036</v>
      </c>
    </row>
    <row r="1124" spans="1:9" x14ac:dyDescent="0.25">
      <c r="A1124" s="2" t="s">
        <v>28</v>
      </c>
      <c r="B1124" s="2">
        <v>1400</v>
      </c>
      <c r="C1124" s="2">
        <v>3</v>
      </c>
      <c r="D1124" s="2" t="s">
        <v>33</v>
      </c>
      <c r="E1124" s="3">
        <v>44375</v>
      </c>
      <c r="F1124" s="2" t="s">
        <v>116</v>
      </c>
      <c r="G1124" s="2" t="s">
        <v>117</v>
      </c>
      <c r="H1124" s="2" t="s">
        <v>44</v>
      </c>
      <c r="I1124" s="4">
        <v>27681</v>
      </c>
    </row>
    <row r="1125" spans="1:9" x14ac:dyDescent="0.25">
      <c r="A1125" s="2" t="s">
        <v>20</v>
      </c>
      <c r="B1125" s="2">
        <v>2600</v>
      </c>
      <c r="C1125" s="2">
        <v>4</v>
      </c>
      <c r="D1125" s="2" t="s">
        <v>29</v>
      </c>
      <c r="E1125" s="3">
        <v>44330</v>
      </c>
      <c r="F1125" s="2" t="s">
        <v>259</v>
      </c>
      <c r="G1125" s="2" t="s">
        <v>238</v>
      </c>
      <c r="H1125" s="2" t="s">
        <v>49</v>
      </c>
      <c r="I1125" s="4">
        <v>33136</v>
      </c>
    </row>
    <row r="1126" spans="1:9" x14ac:dyDescent="0.25">
      <c r="A1126" s="2" t="s">
        <v>5</v>
      </c>
      <c r="B1126" s="2">
        <v>1750</v>
      </c>
      <c r="C1126" s="2">
        <v>5</v>
      </c>
      <c r="D1126" s="2" t="s">
        <v>38</v>
      </c>
      <c r="E1126" s="3">
        <v>44464</v>
      </c>
      <c r="F1126" s="2" t="s">
        <v>217</v>
      </c>
      <c r="G1126" s="2" t="s">
        <v>326</v>
      </c>
      <c r="H1126" s="2" t="s">
        <v>44</v>
      </c>
      <c r="I1126" s="4">
        <v>19151</v>
      </c>
    </row>
    <row r="1127" spans="1:9" x14ac:dyDescent="0.25">
      <c r="A1127" s="2" t="s">
        <v>14</v>
      </c>
      <c r="B1127" s="2">
        <v>2000</v>
      </c>
      <c r="C1127" s="2">
        <v>2</v>
      </c>
      <c r="D1127" s="2" t="s">
        <v>31</v>
      </c>
      <c r="E1127" s="3">
        <v>44415</v>
      </c>
      <c r="F1127" s="2" t="s">
        <v>264</v>
      </c>
      <c r="G1127" s="2" t="s">
        <v>395</v>
      </c>
      <c r="H1127" s="2" t="s">
        <v>49</v>
      </c>
      <c r="I1127" s="4">
        <v>34991</v>
      </c>
    </row>
    <row r="1128" spans="1:9" x14ac:dyDescent="0.25">
      <c r="A1128" s="2" t="s">
        <v>17</v>
      </c>
      <c r="B1128" s="2">
        <v>1550</v>
      </c>
      <c r="C1128" s="2">
        <v>3</v>
      </c>
      <c r="D1128" s="2" t="s">
        <v>37</v>
      </c>
      <c r="E1128" s="3">
        <v>44543</v>
      </c>
      <c r="F1128" s="2" t="s">
        <v>272</v>
      </c>
      <c r="G1128" s="2" t="s">
        <v>537</v>
      </c>
      <c r="H1128" s="2" t="s">
        <v>49</v>
      </c>
      <c r="I1128" s="4">
        <v>27931</v>
      </c>
    </row>
    <row r="1129" spans="1:9" x14ac:dyDescent="0.25">
      <c r="A1129" s="2" t="s">
        <v>7</v>
      </c>
      <c r="B1129" s="2">
        <v>750</v>
      </c>
      <c r="C1129" s="2">
        <v>2</v>
      </c>
      <c r="D1129" s="2" t="s">
        <v>37</v>
      </c>
      <c r="E1129" s="3">
        <v>44222</v>
      </c>
      <c r="F1129" s="2" t="s">
        <v>298</v>
      </c>
      <c r="G1129" s="2" t="s">
        <v>434</v>
      </c>
      <c r="H1129" s="2" t="s">
        <v>44</v>
      </c>
      <c r="I1129" s="4">
        <v>25626</v>
      </c>
    </row>
    <row r="1130" spans="1:9" x14ac:dyDescent="0.25">
      <c r="A1130" s="2" t="s">
        <v>13</v>
      </c>
      <c r="B1130" s="2">
        <v>2300</v>
      </c>
      <c r="C1130" s="2">
        <v>2</v>
      </c>
      <c r="D1130" s="2" t="s">
        <v>30</v>
      </c>
      <c r="E1130" s="3">
        <v>44513</v>
      </c>
      <c r="F1130" s="2" t="s">
        <v>153</v>
      </c>
      <c r="G1130" s="2" t="s">
        <v>319</v>
      </c>
      <c r="H1130" s="2" t="s">
        <v>44</v>
      </c>
      <c r="I1130" s="4">
        <v>34274</v>
      </c>
    </row>
    <row r="1131" spans="1:9" x14ac:dyDescent="0.25">
      <c r="A1131" s="2" t="s">
        <v>12</v>
      </c>
      <c r="B1131" s="2">
        <v>6500</v>
      </c>
      <c r="C1131" s="2">
        <v>4</v>
      </c>
      <c r="D1131" s="2" t="s">
        <v>29</v>
      </c>
      <c r="E1131" s="3">
        <v>44348</v>
      </c>
      <c r="F1131" s="2" t="s">
        <v>109</v>
      </c>
      <c r="G1131" s="2" t="s">
        <v>440</v>
      </c>
      <c r="H1131" s="2" t="s">
        <v>44</v>
      </c>
      <c r="I1131" s="4">
        <v>27920</v>
      </c>
    </row>
    <row r="1132" spans="1:9" x14ac:dyDescent="0.25">
      <c r="A1132" s="2" t="s">
        <v>20</v>
      </c>
      <c r="B1132" s="2">
        <v>2600</v>
      </c>
      <c r="C1132" s="2">
        <v>3</v>
      </c>
      <c r="D1132" s="2" t="s">
        <v>29</v>
      </c>
      <c r="E1132" s="3">
        <v>44296</v>
      </c>
      <c r="F1132" s="2" t="s">
        <v>589</v>
      </c>
      <c r="G1132" s="2" t="s">
        <v>586</v>
      </c>
      <c r="H1132" s="2" t="s">
        <v>44</v>
      </c>
      <c r="I1132" s="4">
        <v>20204</v>
      </c>
    </row>
    <row r="1133" spans="1:9" x14ac:dyDescent="0.25">
      <c r="A1133" s="2" t="s">
        <v>12</v>
      </c>
      <c r="B1133" s="2">
        <v>6500</v>
      </c>
      <c r="C1133" s="2">
        <v>4</v>
      </c>
      <c r="D1133" s="2" t="s">
        <v>39</v>
      </c>
      <c r="E1133" s="3">
        <v>44560</v>
      </c>
      <c r="F1133" s="2" t="s">
        <v>254</v>
      </c>
      <c r="G1133" s="2" t="s">
        <v>117</v>
      </c>
      <c r="H1133" s="2" t="s">
        <v>49</v>
      </c>
      <c r="I1133" s="4">
        <v>27996</v>
      </c>
    </row>
    <row r="1134" spans="1:9" x14ac:dyDescent="0.25">
      <c r="A1134" s="2" t="s">
        <v>5</v>
      </c>
      <c r="B1134" s="2">
        <v>1750</v>
      </c>
      <c r="C1134" s="2">
        <v>5</v>
      </c>
      <c r="D1134" s="2" t="s">
        <v>37</v>
      </c>
      <c r="E1134" s="3">
        <v>44402</v>
      </c>
      <c r="F1134" s="2" t="s">
        <v>402</v>
      </c>
      <c r="G1134" s="2" t="s">
        <v>416</v>
      </c>
      <c r="H1134" s="2" t="s">
        <v>49</v>
      </c>
      <c r="I1134" s="4">
        <v>22765</v>
      </c>
    </row>
    <row r="1135" spans="1:9" x14ac:dyDescent="0.25">
      <c r="A1135" s="2" t="s">
        <v>8</v>
      </c>
      <c r="B1135" s="2">
        <v>5500</v>
      </c>
      <c r="C1135" s="2">
        <v>3</v>
      </c>
      <c r="D1135" s="2" t="s">
        <v>40</v>
      </c>
      <c r="E1135" s="3">
        <v>44277</v>
      </c>
      <c r="F1135" s="2" t="s">
        <v>302</v>
      </c>
      <c r="G1135" s="2" t="s">
        <v>303</v>
      </c>
      <c r="H1135" s="2" t="s">
        <v>49</v>
      </c>
      <c r="I1135" s="4">
        <v>23206</v>
      </c>
    </row>
    <row r="1136" spans="1:9" x14ac:dyDescent="0.25">
      <c r="A1136" s="2" t="s">
        <v>23</v>
      </c>
      <c r="B1136" s="2">
        <v>1500</v>
      </c>
      <c r="C1136" s="2">
        <v>2</v>
      </c>
      <c r="D1136" s="2" t="s">
        <v>29</v>
      </c>
      <c r="E1136" s="3">
        <v>44248</v>
      </c>
      <c r="F1136" s="2" t="s">
        <v>144</v>
      </c>
      <c r="G1136" s="2" t="s">
        <v>145</v>
      </c>
      <c r="H1136" s="2" t="s">
        <v>49</v>
      </c>
      <c r="I1136" s="4">
        <v>27944</v>
      </c>
    </row>
    <row r="1137" spans="1:9" x14ac:dyDescent="0.25">
      <c r="A1137" s="2" t="s">
        <v>17</v>
      </c>
      <c r="B1137" s="2">
        <v>1550</v>
      </c>
      <c r="C1137" s="2">
        <v>2</v>
      </c>
      <c r="D1137" s="2" t="s">
        <v>31</v>
      </c>
      <c r="E1137" s="3">
        <v>44322</v>
      </c>
      <c r="F1137" s="2" t="s">
        <v>62</v>
      </c>
      <c r="G1137" s="2" t="s">
        <v>63</v>
      </c>
      <c r="H1137" s="2" t="s">
        <v>49</v>
      </c>
      <c r="I1137" s="4">
        <v>19305</v>
      </c>
    </row>
    <row r="1138" spans="1:9" x14ac:dyDescent="0.25">
      <c r="A1138" s="2" t="s">
        <v>27</v>
      </c>
      <c r="B1138" s="2">
        <v>1500</v>
      </c>
      <c r="C1138" s="2">
        <v>5</v>
      </c>
      <c r="D1138" s="2" t="s">
        <v>38</v>
      </c>
      <c r="E1138" s="3">
        <v>44490</v>
      </c>
      <c r="F1138" s="2" t="s">
        <v>140</v>
      </c>
      <c r="G1138" s="2" t="s">
        <v>244</v>
      </c>
      <c r="H1138" s="2" t="s">
        <v>49</v>
      </c>
      <c r="I1138" s="4">
        <v>18491</v>
      </c>
    </row>
    <row r="1139" spans="1:9" x14ac:dyDescent="0.25">
      <c r="A1139" s="2" t="s">
        <v>24</v>
      </c>
      <c r="B1139" s="2">
        <v>2000</v>
      </c>
      <c r="C1139" s="2">
        <v>5</v>
      </c>
      <c r="D1139" s="2" t="s">
        <v>31</v>
      </c>
      <c r="E1139" s="3">
        <v>44280</v>
      </c>
      <c r="F1139" s="2" t="s">
        <v>62</v>
      </c>
      <c r="G1139" s="2" t="s">
        <v>63</v>
      </c>
      <c r="H1139" s="2" t="s">
        <v>49</v>
      </c>
      <c r="I1139" s="4">
        <v>19305</v>
      </c>
    </row>
    <row r="1140" spans="1:9" x14ac:dyDescent="0.25">
      <c r="A1140" s="2" t="s">
        <v>6</v>
      </c>
      <c r="B1140" s="2">
        <v>1200</v>
      </c>
      <c r="C1140" s="2">
        <v>5</v>
      </c>
      <c r="D1140" s="2" t="s">
        <v>32</v>
      </c>
      <c r="E1140" s="3">
        <v>44402</v>
      </c>
      <c r="F1140" s="2" t="s">
        <v>279</v>
      </c>
      <c r="G1140" s="2" t="s">
        <v>280</v>
      </c>
      <c r="H1140" s="2" t="s">
        <v>44</v>
      </c>
      <c r="I1140" s="4">
        <v>35896</v>
      </c>
    </row>
    <row r="1141" spans="1:9" x14ac:dyDescent="0.25">
      <c r="A1141" s="2" t="s">
        <v>20</v>
      </c>
      <c r="B1141" s="2">
        <v>2600</v>
      </c>
      <c r="C1141" s="2">
        <v>4</v>
      </c>
      <c r="D1141" s="2" t="s">
        <v>30</v>
      </c>
      <c r="E1141" s="3">
        <v>44280</v>
      </c>
      <c r="F1141" s="2" t="s">
        <v>74</v>
      </c>
      <c r="G1141" s="2" t="s">
        <v>117</v>
      </c>
      <c r="H1141" s="2" t="s">
        <v>44</v>
      </c>
      <c r="I1141" s="4">
        <v>34289</v>
      </c>
    </row>
    <row r="1142" spans="1:9" x14ac:dyDescent="0.25">
      <c r="A1142" s="2" t="s">
        <v>25</v>
      </c>
      <c r="B1142" s="2">
        <v>2500</v>
      </c>
      <c r="C1142" s="2">
        <v>3</v>
      </c>
      <c r="D1142" s="2" t="s">
        <v>35</v>
      </c>
      <c r="E1142" s="3">
        <v>44316</v>
      </c>
      <c r="F1142" s="2" t="s">
        <v>190</v>
      </c>
      <c r="G1142" s="2" t="s">
        <v>174</v>
      </c>
      <c r="H1142" s="2" t="s">
        <v>44</v>
      </c>
      <c r="I1142" s="4">
        <v>22981</v>
      </c>
    </row>
    <row r="1143" spans="1:9" x14ac:dyDescent="0.25">
      <c r="A1143" s="2" t="s">
        <v>19</v>
      </c>
      <c r="B1143" s="2">
        <v>700</v>
      </c>
      <c r="C1143" s="2">
        <v>1</v>
      </c>
      <c r="D1143" s="2" t="s">
        <v>33</v>
      </c>
      <c r="E1143" s="3">
        <v>44312</v>
      </c>
      <c r="F1143" s="2" t="s">
        <v>120</v>
      </c>
      <c r="G1143" s="2" t="s">
        <v>226</v>
      </c>
      <c r="H1143" s="2" t="s">
        <v>44</v>
      </c>
      <c r="I1143" s="4">
        <v>31750</v>
      </c>
    </row>
    <row r="1144" spans="1:9" x14ac:dyDescent="0.25">
      <c r="A1144" s="2" t="s">
        <v>11</v>
      </c>
      <c r="B1144" s="2">
        <v>4500</v>
      </c>
      <c r="C1144" s="2">
        <v>5</v>
      </c>
      <c r="D1144" s="2" t="s">
        <v>29</v>
      </c>
      <c r="E1144" s="3">
        <v>44213</v>
      </c>
      <c r="F1144" s="2" t="s">
        <v>402</v>
      </c>
      <c r="G1144" s="2" t="s">
        <v>117</v>
      </c>
      <c r="H1144" s="2" t="s">
        <v>49</v>
      </c>
      <c r="I1144" s="4">
        <v>29273</v>
      </c>
    </row>
    <row r="1145" spans="1:9" x14ac:dyDescent="0.25">
      <c r="A1145" s="2" t="s">
        <v>11</v>
      </c>
      <c r="B1145" s="2">
        <v>4500</v>
      </c>
      <c r="C1145" s="2">
        <v>4</v>
      </c>
      <c r="D1145" s="2" t="s">
        <v>41</v>
      </c>
      <c r="E1145" s="3">
        <v>44225</v>
      </c>
      <c r="F1145" s="2" t="s">
        <v>616</v>
      </c>
      <c r="G1145" s="2" t="s">
        <v>468</v>
      </c>
      <c r="H1145" s="2" t="s">
        <v>44</v>
      </c>
      <c r="I1145" s="4">
        <v>19798</v>
      </c>
    </row>
    <row r="1146" spans="1:9" x14ac:dyDescent="0.25">
      <c r="A1146" s="2" t="s">
        <v>13</v>
      </c>
      <c r="B1146" s="2">
        <v>2300</v>
      </c>
      <c r="C1146" s="2">
        <v>2</v>
      </c>
      <c r="D1146" s="2" t="s">
        <v>31</v>
      </c>
      <c r="E1146" s="3">
        <v>44221</v>
      </c>
      <c r="F1146" s="2" t="s">
        <v>47</v>
      </c>
      <c r="G1146" s="2" t="s">
        <v>48</v>
      </c>
      <c r="H1146" s="2" t="s">
        <v>49</v>
      </c>
      <c r="I1146" s="4">
        <v>35585</v>
      </c>
    </row>
    <row r="1147" spans="1:9" x14ac:dyDescent="0.25">
      <c r="A1147" s="2" t="s">
        <v>13</v>
      </c>
      <c r="B1147" s="2">
        <v>2300</v>
      </c>
      <c r="C1147" s="2">
        <v>4</v>
      </c>
      <c r="D1147" s="2" t="s">
        <v>36</v>
      </c>
      <c r="E1147" s="3">
        <v>44320</v>
      </c>
      <c r="F1147" s="2" t="s">
        <v>233</v>
      </c>
      <c r="G1147" s="2" t="s">
        <v>93</v>
      </c>
      <c r="H1147" s="2" t="s">
        <v>49</v>
      </c>
      <c r="I1147" s="4">
        <v>18972</v>
      </c>
    </row>
    <row r="1148" spans="1:9" x14ac:dyDescent="0.25">
      <c r="A1148" s="2" t="s">
        <v>13</v>
      </c>
      <c r="B1148" s="2">
        <v>2300</v>
      </c>
      <c r="C1148" s="2">
        <v>1</v>
      </c>
      <c r="D1148" s="2" t="s">
        <v>38</v>
      </c>
      <c r="E1148" s="3">
        <v>44323</v>
      </c>
      <c r="F1148" s="2" t="s">
        <v>140</v>
      </c>
      <c r="G1148" s="2" t="s">
        <v>244</v>
      </c>
      <c r="H1148" s="2" t="s">
        <v>49</v>
      </c>
      <c r="I1148" s="4">
        <v>18491</v>
      </c>
    </row>
    <row r="1149" spans="1:9" x14ac:dyDescent="0.25">
      <c r="A1149" s="2" t="s">
        <v>17</v>
      </c>
      <c r="B1149" s="2">
        <v>1550</v>
      </c>
      <c r="C1149" s="2">
        <v>1</v>
      </c>
      <c r="D1149" s="2" t="s">
        <v>34</v>
      </c>
      <c r="E1149" s="3">
        <v>44399</v>
      </c>
      <c r="F1149" s="2" t="s">
        <v>401</v>
      </c>
      <c r="G1149" s="2" t="s">
        <v>152</v>
      </c>
      <c r="H1149" s="2" t="s">
        <v>49</v>
      </c>
      <c r="I1149" s="4">
        <v>26474</v>
      </c>
    </row>
    <row r="1150" spans="1:9" x14ac:dyDescent="0.25">
      <c r="A1150" s="2" t="s">
        <v>15</v>
      </c>
      <c r="B1150" s="2">
        <v>1900</v>
      </c>
      <c r="C1150" s="2">
        <v>4</v>
      </c>
      <c r="D1150" s="2" t="s">
        <v>38</v>
      </c>
      <c r="E1150" s="3">
        <v>44438</v>
      </c>
      <c r="F1150" s="2" t="s">
        <v>552</v>
      </c>
      <c r="G1150" s="2" t="s">
        <v>553</v>
      </c>
      <c r="H1150" s="2" t="s">
        <v>49</v>
      </c>
      <c r="I1150" s="4">
        <v>23179</v>
      </c>
    </row>
    <row r="1151" spans="1:9" x14ac:dyDescent="0.25">
      <c r="A1151" s="2" t="s">
        <v>16</v>
      </c>
      <c r="B1151" s="2">
        <v>1400</v>
      </c>
      <c r="C1151" s="2">
        <v>4</v>
      </c>
      <c r="D1151" s="2" t="s">
        <v>33</v>
      </c>
      <c r="E1151" s="3">
        <v>44371</v>
      </c>
      <c r="F1151" s="2" t="s">
        <v>439</v>
      </c>
      <c r="G1151" s="2" t="s">
        <v>529</v>
      </c>
      <c r="H1151" s="2" t="s">
        <v>44</v>
      </c>
      <c r="I1151" s="4">
        <v>30919</v>
      </c>
    </row>
    <row r="1152" spans="1:9" x14ac:dyDescent="0.25">
      <c r="A1152" s="2" t="s">
        <v>18</v>
      </c>
      <c r="B1152" s="2">
        <v>3000</v>
      </c>
      <c r="C1152" s="2">
        <v>5</v>
      </c>
      <c r="D1152" s="2" t="s">
        <v>41</v>
      </c>
      <c r="E1152" s="3">
        <v>44487</v>
      </c>
      <c r="F1152" s="2" t="s">
        <v>299</v>
      </c>
      <c r="G1152" s="2" t="s">
        <v>141</v>
      </c>
      <c r="H1152" s="2" t="s">
        <v>44</v>
      </c>
      <c r="I1152" s="4">
        <v>24769</v>
      </c>
    </row>
    <row r="1153" spans="1:9" x14ac:dyDescent="0.25">
      <c r="A1153" s="2" t="s">
        <v>19</v>
      </c>
      <c r="B1153" s="2">
        <v>700</v>
      </c>
      <c r="C1153" s="2">
        <v>1</v>
      </c>
      <c r="D1153" s="2" t="s">
        <v>36</v>
      </c>
      <c r="E1153" s="3">
        <v>44393</v>
      </c>
      <c r="F1153" s="2" t="s">
        <v>175</v>
      </c>
      <c r="G1153" s="2" t="s">
        <v>176</v>
      </c>
      <c r="H1153" s="2" t="s">
        <v>49</v>
      </c>
      <c r="I1153" s="4">
        <v>28801</v>
      </c>
    </row>
    <row r="1154" spans="1:9" x14ac:dyDescent="0.25">
      <c r="A1154" s="2" t="s">
        <v>9</v>
      </c>
      <c r="B1154" s="2">
        <v>1500</v>
      </c>
      <c r="C1154" s="2">
        <v>2</v>
      </c>
      <c r="D1154" s="2" t="s">
        <v>41</v>
      </c>
      <c r="E1154" s="3">
        <v>44203</v>
      </c>
      <c r="F1154" s="2" t="s">
        <v>396</v>
      </c>
      <c r="G1154" s="2" t="s">
        <v>397</v>
      </c>
      <c r="H1154" s="2" t="s">
        <v>49</v>
      </c>
      <c r="I1154" s="4">
        <v>18731</v>
      </c>
    </row>
    <row r="1155" spans="1:9" x14ac:dyDescent="0.25">
      <c r="A1155" s="2" t="s">
        <v>14</v>
      </c>
      <c r="B1155" s="2">
        <v>2000</v>
      </c>
      <c r="C1155" s="2">
        <v>2</v>
      </c>
      <c r="D1155" s="2" t="s">
        <v>36</v>
      </c>
      <c r="E1155" s="3">
        <v>44353</v>
      </c>
      <c r="F1155" s="2" t="s">
        <v>66</v>
      </c>
      <c r="G1155" s="2" t="s">
        <v>123</v>
      </c>
      <c r="H1155" s="2" t="s">
        <v>44</v>
      </c>
      <c r="I1155" s="4">
        <v>18687</v>
      </c>
    </row>
    <row r="1156" spans="1:9" x14ac:dyDescent="0.25">
      <c r="A1156" s="2" t="s">
        <v>20</v>
      </c>
      <c r="B1156" s="2">
        <v>2600</v>
      </c>
      <c r="C1156" s="2">
        <v>1</v>
      </c>
      <c r="D1156" s="2" t="s">
        <v>39</v>
      </c>
      <c r="E1156" s="3">
        <v>44448</v>
      </c>
      <c r="F1156" s="2" t="s">
        <v>492</v>
      </c>
      <c r="G1156" s="2" t="s">
        <v>99</v>
      </c>
      <c r="H1156" s="2" t="s">
        <v>44</v>
      </c>
      <c r="I1156" s="4">
        <v>26635</v>
      </c>
    </row>
    <row r="1157" spans="1:9" x14ac:dyDescent="0.25">
      <c r="A1157" s="2" t="s">
        <v>12</v>
      </c>
      <c r="B1157" s="2">
        <v>6500</v>
      </c>
      <c r="C1157" s="2">
        <v>3</v>
      </c>
      <c r="D1157" s="2" t="s">
        <v>30</v>
      </c>
      <c r="E1157" s="3">
        <v>44517</v>
      </c>
      <c r="F1157" s="2" t="s">
        <v>120</v>
      </c>
      <c r="G1157" s="2" t="s">
        <v>549</v>
      </c>
      <c r="H1157" s="2" t="s">
        <v>44</v>
      </c>
      <c r="I1157" s="4">
        <v>21751</v>
      </c>
    </row>
    <row r="1158" spans="1:9" x14ac:dyDescent="0.25">
      <c r="A1158" s="2" t="s">
        <v>7</v>
      </c>
      <c r="B1158" s="2">
        <v>750</v>
      </c>
      <c r="C1158" s="2">
        <v>3</v>
      </c>
      <c r="D1158" s="2" t="s">
        <v>30</v>
      </c>
      <c r="E1158" s="3">
        <v>44284</v>
      </c>
      <c r="F1158" s="2" t="s">
        <v>94</v>
      </c>
      <c r="G1158" s="2" t="s">
        <v>210</v>
      </c>
      <c r="H1158" s="2" t="s">
        <v>49</v>
      </c>
      <c r="I1158" s="4">
        <v>31670</v>
      </c>
    </row>
    <row r="1159" spans="1:9" x14ac:dyDescent="0.25">
      <c r="A1159" s="2" t="s">
        <v>25</v>
      </c>
      <c r="B1159" s="2">
        <v>2500</v>
      </c>
      <c r="C1159" s="2">
        <v>4</v>
      </c>
      <c r="D1159" s="2" t="s">
        <v>32</v>
      </c>
      <c r="E1159" s="3">
        <v>44428</v>
      </c>
      <c r="F1159" s="2" t="s">
        <v>107</v>
      </c>
      <c r="G1159" s="2" t="s">
        <v>83</v>
      </c>
      <c r="H1159" s="2" t="s">
        <v>49</v>
      </c>
      <c r="I1159" s="4">
        <v>22831</v>
      </c>
    </row>
    <row r="1160" spans="1:9" x14ac:dyDescent="0.25">
      <c r="A1160" s="2" t="s">
        <v>24</v>
      </c>
      <c r="B1160" s="2">
        <v>2000</v>
      </c>
      <c r="C1160" s="2">
        <v>3</v>
      </c>
      <c r="D1160" s="2" t="s">
        <v>34</v>
      </c>
      <c r="E1160" s="3">
        <v>44277</v>
      </c>
      <c r="F1160" s="2" t="s">
        <v>437</v>
      </c>
      <c r="G1160" s="2" t="s">
        <v>203</v>
      </c>
      <c r="H1160" s="2" t="s">
        <v>44</v>
      </c>
      <c r="I1160" s="4">
        <v>36608</v>
      </c>
    </row>
    <row r="1161" spans="1:9" x14ac:dyDescent="0.25">
      <c r="A1161" s="2" t="s">
        <v>17</v>
      </c>
      <c r="B1161" s="2">
        <v>1550</v>
      </c>
      <c r="C1161" s="2">
        <v>4</v>
      </c>
      <c r="D1161" s="2" t="s">
        <v>29</v>
      </c>
      <c r="E1161" s="3">
        <v>44256</v>
      </c>
      <c r="F1161" s="2" t="s">
        <v>109</v>
      </c>
      <c r="G1161" s="2" t="s">
        <v>291</v>
      </c>
      <c r="H1161" s="2" t="s">
        <v>44</v>
      </c>
      <c r="I1161" s="4">
        <v>29680</v>
      </c>
    </row>
    <row r="1162" spans="1:9" x14ac:dyDescent="0.25">
      <c r="A1162" s="2" t="s">
        <v>19</v>
      </c>
      <c r="B1162" s="2">
        <v>700</v>
      </c>
      <c r="C1162" s="2">
        <v>1</v>
      </c>
      <c r="D1162" s="2" t="s">
        <v>37</v>
      </c>
      <c r="E1162" s="3">
        <v>44436</v>
      </c>
      <c r="F1162" s="2" t="s">
        <v>51</v>
      </c>
      <c r="G1162" s="2" t="s">
        <v>227</v>
      </c>
      <c r="H1162" s="2" t="s">
        <v>44</v>
      </c>
      <c r="I1162" s="4">
        <v>31736</v>
      </c>
    </row>
    <row r="1163" spans="1:9" x14ac:dyDescent="0.25">
      <c r="A1163" s="2" t="s">
        <v>21</v>
      </c>
      <c r="B1163" s="2">
        <v>2400</v>
      </c>
      <c r="C1163" s="2">
        <v>2</v>
      </c>
      <c r="D1163" s="2" t="s">
        <v>35</v>
      </c>
      <c r="E1163" s="3">
        <v>44262</v>
      </c>
      <c r="F1163" s="2" t="s">
        <v>87</v>
      </c>
      <c r="G1163" s="2" t="s">
        <v>327</v>
      </c>
      <c r="H1163" s="2" t="s">
        <v>44</v>
      </c>
      <c r="I1163" s="4">
        <v>36724</v>
      </c>
    </row>
    <row r="1164" spans="1:9" x14ac:dyDescent="0.25">
      <c r="A1164" s="2" t="s">
        <v>21</v>
      </c>
      <c r="B1164" s="2">
        <v>2400</v>
      </c>
      <c r="C1164" s="2">
        <v>3</v>
      </c>
      <c r="D1164" s="2" t="s">
        <v>30</v>
      </c>
      <c r="E1164" s="3">
        <v>44270</v>
      </c>
      <c r="F1164" s="2" t="s">
        <v>98</v>
      </c>
      <c r="G1164" s="2" t="s">
        <v>139</v>
      </c>
      <c r="H1164" s="2" t="s">
        <v>44</v>
      </c>
      <c r="I1164" s="4">
        <v>24585</v>
      </c>
    </row>
    <row r="1165" spans="1:9" x14ac:dyDescent="0.25">
      <c r="A1165" s="2" t="s">
        <v>26</v>
      </c>
      <c r="B1165" s="2">
        <v>1100</v>
      </c>
      <c r="C1165" s="2">
        <v>4</v>
      </c>
      <c r="D1165" s="2" t="s">
        <v>35</v>
      </c>
      <c r="E1165" s="3">
        <v>44518</v>
      </c>
      <c r="F1165" s="2" t="s">
        <v>316</v>
      </c>
      <c r="G1165" s="2" t="s">
        <v>253</v>
      </c>
      <c r="H1165" s="2" t="s">
        <v>44</v>
      </c>
      <c r="I1165" s="4">
        <v>26822</v>
      </c>
    </row>
    <row r="1166" spans="1:9" x14ac:dyDescent="0.25">
      <c r="A1166" s="2" t="s">
        <v>19</v>
      </c>
      <c r="B1166" s="2">
        <v>700</v>
      </c>
      <c r="C1166" s="2">
        <v>4</v>
      </c>
      <c r="D1166" s="2" t="s">
        <v>38</v>
      </c>
      <c r="E1166" s="3">
        <v>44444</v>
      </c>
      <c r="F1166" s="2" t="s">
        <v>196</v>
      </c>
      <c r="G1166" s="2" t="s">
        <v>346</v>
      </c>
      <c r="H1166" s="2" t="s">
        <v>44</v>
      </c>
      <c r="I1166" s="4">
        <v>20383</v>
      </c>
    </row>
    <row r="1167" spans="1:9" x14ac:dyDescent="0.25">
      <c r="A1167" s="2" t="s">
        <v>26</v>
      </c>
      <c r="B1167" s="2">
        <v>1100</v>
      </c>
      <c r="C1167" s="2">
        <v>3</v>
      </c>
      <c r="D1167" s="2" t="s">
        <v>40</v>
      </c>
      <c r="E1167" s="3">
        <v>44446</v>
      </c>
      <c r="F1167" s="2" t="s">
        <v>390</v>
      </c>
      <c r="G1167" s="2" t="s">
        <v>487</v>
      </c>
      <c r="H1167" s="2" t="s">
        <v>49</v>
      </c>
      <c r="I1167" s="4">
        <v>32855</v>
      </c>
    </row>
    <row r="1168" spans="1:9" x14ac:dyDescent="0.25">
      <c r="A1168" s="2" t="s">
        <v>16</v>
      </c>
      <c r="B1168" s="2">
        <v>1400</v>
      </c>
      <c r="C1168" s="2">
        <v>3</v>
      </c>
      <c r="D1168" s="2" t="s">
        <v>38</v>
      </c>
      <c r="E1168" s="3">
        <v>44351</v>
      </c>
      <c r="F1168" s="2" t="s">
        <v>140</v>
      </c>
      <c r="G1168" s="2" t="s">
        <v>244</v>
      </c>
      <c r="H1168" s="2" t="s">
        <v>49</v>
      </c>
      <c r="I1168" s="4">
        <v>18491</v>
      </c>
    </row>
    <row r="1169" spans="1:9" x14ac:dyDescent="0.25">
      <c r="A1169" s="2" t="s">
        <v>21</v>
      </c>
      <c r="B1169" s="2">
        <v>2400</v>
      </c>
      <c r="C1169" s="2">
        <v>1</v>
      </c>
      <c r="D1169" s="2" t="s">
        <v>36</v>
      </c>
      <c r="E1169" s="3">
        <v>44498</v>
      </c>
      <c r="F1169" s="2" t="s">
        <v>264</v>
      </c>
      <c r="G1169" s="2" t="s">
        <v>125</v>
      </c>
      <c r="H1169" s="2" t="s">
        <v>49</v>
      </c>
      <c r="I1169" s="4">
        <v>26247</v>
      </c>
    </row>
    <row r="1170" spans="1:9" x14ac:dyDescent="0.25">
      <c r="A1170" s="2" t="s">
        <v>16</v>
      </c>
      <c r="B1170" s="2">
        <v>1400</v>
      </c>
      <c r="C1170" s="2">
        <v>5</v>
      </c>
      <c r="D1170" s="2" t="s">
        <v>38</v>
      </c>
      <c r="E1170" s="3">
        <v>44314</v>
      </c>
      <c r="F1170" s="2" t="s">
        <v>109</v>
      </c>
      <c r="G1170" s="2" t="s">
        <v>71</v>
      </c>
      <c r="H1170" s="2" t="s">
        <v>44</v>
      </c>
      <c r="I1170" s="4">
        <v>30710</v>
      </c>
    </row>
    <row r="1171" spans="1:9" x14ac:dyDescent="0.25">
      <c r="A1171" s="2" t="s">
        <v>20</v>
      </c>
      <c r="B1171" s="2">
        <v>2600</v>
      </c>
      <c r="C1171" s="2">
        <v>3</v>
      </c>
      <c r="D1171" s="2" t="s">
        <v>29</v>
      </c>
      <c r="E1171" s="3">
        <v>44406</v>
      </c>
      <c r="F1171" s="2" t="s">
        <v>282</v>
      </c>
      <c r="G1171" s="2" t="s">
        <v>283</v>
      </c>
      <c r="H1171" s="2" t="s">
        <v>49</v>
      </c>
      <c r="I1171" s="4">
        <v>26525</v>
      </c>
    </row>
    <row r="1172" spans="1:9" x14ac:dyDescent="0.25">
      <c r="A1172" s="2" t="s">
        <v>17</v>
      </c>
      <c r="B1172" s="2">
        <v>1550</v>
      </c>
      <c r="C1172" s="2">
        <v>3</v>
      </c>
      <c r="D1172" s="2" t="s">
        <v>29</v>
      </c>
      <c r="E1172" s="3">
        <v>44211</v>
      </c>
      <c r="F1172" s="2" t="s">
        <v>364</v>
      </c>
      <c r="G1172" s="2" t="s">
        <v>491</v>
      </c>
      <c r="H1172" s="2" t="s">
        <v>44</v>
      </c>
      <c r="I1172" s="4">
        <v>25352</v>
      </c>
    </row>
    <row r="1173" spans="1:9" x14ac:dyDescent="0.25">
      <c r="A1173" s="2" t="s">
        <v>11</v>
      </c>
      <c r="B1173" s="2">
        <v>4500</v>
      </c>
      <c r="C1173" s="2">
        <v>1</v>
      </c>
      <c r="D1173" s="2" t="s">
        <v>31</v>
      </c>
      <c r="E1173" s="3">
        <v>44508</v>
      </c>
      <c r="F1173" s="2" t="s">
        <v>460</v>
      </c>
      <c r="G1173" s="2" t="s">
        <v>308</v>
      </c>
      <c r="H1173" s="2" t="s">
        <v>49</v>
      </c>
      <c r="I1173" s="4">
        <v>25392</v>
      </c>
    </row>
    <row r="1174" spans="1:9" x14ac:dyDescent="0.25">
      <c r="A1174" s="2" t="s">
        <v>5</v>
      </c>
      <c r="B1174" s="2">
        <v>1750</v>
      </c>
      <c r="C1174" s="2">
        <v>5</v>
      </c>
      <c r="D1174" s="2" t="s">
        <v>34</v>
      </c>
      <c r="E1174" s="3">
        <v>44488</v>
      </c>
      <c r="F1174" s="2" t="s">
        <v>288</v>
      </c>
      <c r="G1174" s="2" t="s">
        <v>157</v>
      </c>
      <c r="H1174" s="2" t="s">
        <v>49</v>
      </c>
      <c r="I1174" s="4">
        <v>28689</v>
      </c>
    </row>
    <row r="1175" spans="1:9" x14ac:dyDescent="0.25">
      <c r="A1175" s="2" t="s">
        <v>23</v>
      </c>
      <c r="B1175" s="2">
        <v>1500</v>
      </c>
      <c r="C1175" s="2">
        <v>2</v>
      </c>
      <c r="D1175" s="2" t="s">
        <v>33</v>
      </c>
      <c r="E1175" s="3">
        <v>44516</v>
      </c>
      <c r="F1175" s="2" t="s">
        <v>87</v>
      </c>
      <c r="G1175" s="2" t="s">
        <v>152</v>
      </c>
      <c r="H1175" s="2" t="s">
        <v>44</v>
      </c>
      <c r="I1175" s="4">
        <v>18510</v>
      </c>
    </row>
    <row r="1176" spans="1:9" x14ac:dyDescent="0.25">
      <c r="A1176" s="2" t="s">
        <v>24</v>
      </c>
      <c r="B1176" s="2">
        <v>2000</v>
      </c>
      <c r="C1176" s="2">
        <v>2</v>
      </c>
      <c r="D1176" s="2" t="s">
        <v>29</v>
      </c>
      <c r="E1176" s="3">
        <v>44368</v>
      </c>
      <c r="F1176" s="2" t="s">
        <v>419</v>
      </c>
      <c r="G1176" s="2" t="s">
        <v>186</v>
      </c>
      <c r="H1176" s="2" t="s">
        <v>44</v>
      </c>
      <c r="I1176" s="4">
        <v>35250</v>
      </c>
    </row>
    <row r="1177" spans="1:9" x14ac:dyDescent="0.25">
      <c r="A1177" s="2" t="s">
        <v>25</v>
      </c>
      <c r="B1177" s="2">
        <v>2500</v>
      </c>
      <c r="C1177" s="2">
        <v>4</v>
      </c>
      <c r="D1177" s="2" t="s">
        <v>36</v>
      </c>
      <c r="E1177" s="3">
        <v>44197</v>
      </c>
      <c r="F1177" s="2" t="s">
        <v>264</v>
      </c>
      <c r="G1177" s="2" t="s">
        <v>125</v>
      </c>
      <c r="H1177" s="2" t="s">
        <v>49</v>
      </c>
      <c r="I1177" s="4">
        <v>26247</v>
      </c>
    </row>
    <row r="1178" spans="1:9" x14ac:dyDescent="0.25">
      <c r="A1178" s="2" t="s">
        <v>16</v>
      </c>
      <c r="B1178" s="2">
        <v>1400</v>
      </c>
      <c r="C1178" s="2">
        <v>4</v>
      </c>
      <c r="D1178" s="2" t="s">
        <v>33</v>
      </c>
      <c r="E1178" s="3">
        <v>44526</v>
      </c>
      <c r="F1178" s="2" t="s">
        <v>489</v>
      </c>
      <c r="G1178" s="2" t="s">
        <v>99</v>
      </c>
      <c r="H1178" s="2" t="s">
        <v>49</v>
      </c>
      <c r="I1178" s="4">
        <v>34694</v>
      </c>
    </row>
    <row r="1179" spans="1:9" x14ac:dyDescent="0.25">
      <c r="A1179" s="2" t="s">
        <v>26</v>
      </c>
      <c r="B1179" s="2">
        <v>1100</v>
      </c>
      <c r="C1179" s="2">
        <v>1</v>
      </c>
      <c r="D1179" s="2" t="s">
        <v>40</v>
      </c>
      <c r="E1179" s="3">
        <v>44279</v>
      </c>
      <c r="F1179" s="2" t="s">
        <v>52</v>
      </c>
      <c r="G1179" s="2" t="s">
        <v>198</v>
      </c>
      <c r="H1179" s="2" t="s">
        <v>44</v>
      </c>
      <c r="I1179" s="4">
        <v>24126</v>
      </c>
    </row>
    <row r="1180" spans="1:9" x14ac:dyDescent="0.25">
      <c r="A1180" s="2" t="s">
        <v>24</v>
      </c>
      <c r="B1180" s="2">
        <v>2000</v>
      </c>
      <c r="C1180" s="2">
        <v>1</v>
      </c>
      <c r="D1180" s="2" t="s">
        <v>38</v>
      </c>
      <c r="E1180" s="3">
        <v>44205</v>
      </c>
      <c r="F1180" s="2" t="s">
        <v>196</v>
      </c>
      <c r="G1180" s="2" t="s">
        <v>346</v>
      </c>
      <c r="H1180" s="2" t="s">
        <v>44</v>
      </c>
      <c r="I1180" s="4">
        <v>20383</v>
      </c>
    </row>
    <row r="1181" spans="1:9" x14ac:dyDescent="0.25">
      <c r="A1181" s="2" t="s">
        <v>12</v>
      </c>
      <c r="B1181" s="2">
        <v>6500</v>
      </c>
      <c r="C1181" s="2">
        <v>4</v>
      </c>
      <c r="D1181" s="2" t="s">
        <v>36</v>
      </c>
      <c r="E1181" s="3">
        <v>44326</v>
      </c>
      <c r="F1181" s="2" t="s">
        <v>148</v>
      </c>
      <c r="G1181" s="2" t="s">
        <v>322</v>
      </c>
      <c r="H1181" s="2" t="s">
        <v>49</v>
      </c>
      <c r="I1181" s="4">
        <v>18988</v>
      </c>
    </row>
    <row r="1182" spans="1:9" x14ac:dyDescent="0.25">
      <c r="A1182" s="2" t="s">
        <v>15</v>
      </c>
      <c r="B1182" s="2">
        <v>1900</v>
      </c>
      <c r="C1182" s="2">
        <v>1</v>
      </c>
      <c r="D1182" s="2" t="s">
        <v>40</v>
      </c>
      <c r="E1182" s="3">
        <v>44429</v>
      </c>
      <c r="F1182" s="2" t="s">
        <v>438</v>
      </c>
      <c r="G1182" s="2" t="s">
        <v>205</v>
      </c>
      <c r="H1182" s="2" t="s">
        <v>49</v>
      </c>
      <c r="I1182" s="4">
        <v>26729</v>
      </c>
    </row>
    <row r="1183" spans="1:9" x14ac:dyDescent="0.25">
      <c r="A1183" s="2" t="s">
        <v>11</v>
      </c>
      <c r="B1183" s="2">
        <v>4500</v>
      </c>
      <c r="C1183" s="2">
        <v>4</v>
      </c>
      <c r="D1183" s="2" t="s">
        <v>29</v>
      </c>
      <c r="E1183" s="3">
        <v>44208</v>
      </c>
      <c r="F1183" s="2" t="s">
        <v>52</v>
      </c>
      <c r="G1183" s="2" t="s">
        <v>232</v>
      </c>
      <c r="H1183" s="2" t="s">
        <v>44</v>
      </c>
      <c r="I1183" s="4">
        <v>34971</v>
      </c>
    </row>
    <row r="1184" spans="1:9" x14ac:dyDescent="0.25">
      <c r="A1184" s="2" t="s">
        <v>23</v>
      </c>
      <c r="B1184" s="2">
        <v>1500</v>
      </c>
      <c r="C1184" s="2">
        <v>1</v>
      </c>
      <c r="D1184" s="2" t="s">
        <v>30</v>
      </c>
      <c r="E1184" s="3">
        <v>44504</v>
      </c>
      <c r="F1184" s="2" t="s">
        <v>94</v>
      </c>
      <c r="G1184" s="2" t="s">
        <v>210</v>
      </c>
      <c r="H1184" s="2" t="s">
        <v>49</v>
      </c>
      <c r="I1184" s="4">
        <v>31670</v>
      </c>
    </row>
    <row r="1185" spans="1:9" x14ac:dyDescent="0.25">
      <c r="A1185" s="2" t="s">
        <v>25</v>
      </c>
      <c r="B1185" s="2">
        <v>2500</v>
      </c>
      <c r="C1185" s="2">
        <v>5</v>
      </c>
      <c r="D1185" s="2" t="s">
        <v>31</v>
      </c>
      <c r="E1185" s="3">
        <v>44492</v>
      </c>
      <c r="F1185" s="2" t="s">
        <v>134</v>
      </c>
      <c r="G1185" s="2" t="s">
        <v>63</v>
      </c>
      <c r="H1185" s="2" t="s">
        <v>49</v>
      </c>
      <c r="I1185" s="4">
        <v>33104</v>
      </c>
    </row>
    <row r="1186" spans="1:9" x14ac:dyDescent="0.25">
      <c r="A1186" s="2" t="s">
        <v>10</v>
      </c>
      <c r="B1186" s="2">
        <v>1450</v>
      </c>
      <c r="C1186" s="2">
        <v>2</v>
      </c>
      <c r="D1186" s="2" t="s">
        <v>32</v>
      </c>
      <c r="E1186" s="3">
        <v>44533</v>
      </c>
      <c r="F1186" s="2" t="s">
        <v>92</v>
      </c>
      <c r="G1186" s="2" t="s">
        <v>113</v>
      </c>
      <c r="H1186" s="2" t="s">
        <v>44</v>
      </c>
      <c r="I1186" s="4">
        <v>33586</v>
      </c>
    </row>
    <row r="1187" spans="1:9" x14ac:dyDescent="0.25">
      <c r="A1187" s="2" t="s">
        <v>24</v>
      </c>
      <c r="B1187" s="2">
        <v>2000</v>
      </c>
      <c r="C1187" s="2">
        <v>2</v>
      </c>
      <c r="D1187" s="2" t="s">
        <v>36</v>
      </c>
      <c r="E1187" s="3">
        <v>44292</v>
      </c>
      <c r="F1187" s="2" t="s">
        <v>45</v>
      </c>
      <c r="G1187" s="2" t="s">
        <v>387</v>
      </c>
      <c r="H1187" s="2" t="s">
        <v>44</v>
      </c>
      <c r="I1187" s="4">
        <v>33230</v>
      </c>
    </row>
    <row r="1188" spans="1:9" x14ac:dyDescent="0.25">
      <c r="A1188" s="2" t="s">
        <v>10</v>
      </c>
      <c r="B1188" s="2">
        <v>1450</v>
      </c>
      <c r="C1188" s="2">
        <v>3</v>
      </c>
      <c r="D1188" s="2" t="s">
        <v>31</v>
      </c>
      <c r="E1188" s="3">
        <v>44321</v>
      </c>
      <c r="F1188" s="2" t="s">
        <v>401</v>
      </c>
      <c r="G1188" s="2" t="s">
        <v>443</v>
      </c>
      <c r="H1188" s="2" t="s">
        <v>49</v>
      </c>
      <c r="I1188" s="4">
        <v>36167</v>
      </c>
    </row>
    <row r="1189" spans="1:9" x14ac:dyDescent="0.25">
      <c r="A1189" s="2" t="s">
        <v>14</v>
      </c>
      <c r="B1189" s="2">
        <v>2000</v>
      </c>
      <c r="C1189" s="2">
        <v>2</v>
      </c>
      <c r="D1189" s="2" t="s">
        <v>32</v>
      </c>
      <c r="E1189" s="3">
        <v>44377</v>
      </c>
      <c r="F1189" s="2" t="s">
        <v>190</v>
      </c>
      <c r="G1189" s="2" t="s">
        <v>246</v>
      </c>
      <c r="H1189" s="2" t="s">
        <v>44</v>
      </c>
      <c r="I1189" s="4">
        <v>30077</v>
      </c>
    </row>
    <row r="1190" spans="1:9" x14ac:dyDescent="0.25">
      <c r="A1190" s="2" t="s">
        <v>19</v>
      </c>
      <c r="B1190" s="2">
        <v>700</v>
      </c>
      <c r="C1190" s="2">
        <v>1</v>
      </c>
      <c r="D1190" s="2" t="s">
        <v>36</v>
      </c>
      <c r="E1190" s="3">
        <v>44430</v>
      </c>
      <c r="F1190" s="2" t="s">
        <v>374</v>
      </c>
      <c r="G1190" s="2" t="s">
        <v>81</v>
      </c>
      <c r="H1190" s="2" t="s">
        <v>49</v>
      </c>
      <c r="I1190" s="4">
        <v>21262</v>
      </c>
    </row>
    <row r="1191" spans="1:9" x14ac:dyDescent="0.25">
      <c r="A1191" s="2" t="s">
        <v>17</v>
      </c>
      <c r="B1191" s="2">
        <v>1550</v>
      </c>
      <c r="C1191" s="2">
        <v>2</v>
      </c>
      <c r="D1191" s="2" t="s">
        <v>29</v>
      </c>
      <c r="E1191" s="3">
        <v>44453</v>
      </c>
      <c r="F1191" s="2" t="s">
        <v>328</v>
      </c>
      <c r="G1191" s="2" t="s">
        <v>63</v>
      </c>
      <c r="H1191" s="2" t="s">
        <v>49</v>
      </c>
      <c r="I1191" s="4">
        <v>35462</v>
      </c>
    </row>
    <row r="1192" spans="1:9" x14ac:dyDescent="0.25">
      <c r="A1192" s="2" t="s">
        <v>8</v>
      </c>
      <c r="B1192" s="2">
        <v>5500</v>
      </c>
      <c r="C1192" s="2">
        <v>2</v>
      </c>
      <c r="D1192" s="2" t="s">
        <v>35</v>
      </c>
      <c r="E1192" s="3">
        <v>44387</v>
      </c>
      <c r="F1192" s="2" t="s">
        <v>84</v>
      </c>
      <c r="G1192" s="2" t="s">
        <v>99</v>
      </c>
      <c r="H1192" s="2" t="s">
        <v>44</v>
      </c>
      <c r="I1192" s="4">
        <v>26109</v>
      </c>
    </row>
    <row r="1193" spans="1:9" x14ac:dyDescent="0.25">
      <c r="A1193" s="2" t="s">
        <v>9</v>
      </c>
      <c r="B1193" s="2">
        <v>1500</v>
      </c>
      <c r="C1193" s="2">
        <v>1</v>
      </c>
      <c r="D1193" s="2" t="s">
        <v>35</v>
      </c>
      <c r="E1193" s="3">
        <v>44240</v>
      </c>
      <c r="F1193" s="2" t="s">
        <v>368</v>
      </c>
      <c r="G1193" s="2" t="s">
        <v>369</v>
      </c>
      <c r="H1193" s="2" t="s">
        <v>44</v>
      </c>
      <c r="I1193" s="4">
        <v>30367</v>
      </c>
    </row>
    <row r="1194" spans="1:9" x14ac:dyDescent="0.25">
      <c r="A1194" s="2" t="s">
        <v>8</v>
      </c>
      <c r="B1194" s="2">
        <v>5500</v>
      </c>
      <c r="C1194" s="2">
        <v>1</v>
      </c>
      <c r="D1194" s="2" t="s">
        <v>32</v>
      </c>
      <c r="E1194" s="3">
        <v>44371</v>
      </c>
      <c r="F1194" s="2" t="s">
        <v>312</v>
      </c>
      <c r="G1194" s="2" t="s">
        <v>63</v>
      </c>
      <c r="H1194" s="2" t="s">
        <v>49</v>
      </c>
      <c r="I1194" s="4">
        <v>20954</v>
      </c>
    </row>
    <row r="1195" spans="1:9" x14ac:dyDescent="0.25">
      <c r="A1195" s="2" t="s">
        <v>19</v>
      </c>
      <c r="B1195" s="2">
        <v>700</v>
      </c>
      <c r="C1195" s="2">
        <v>3</v>
      </c>
      <c r="D1195" s="2" t="s">
        <v>37</v>
      </c>
      <c r="E1195" s="3">
        <v>44265</v>
      </c>
      <c r="F1195" s="2" t="s">
        <v>256</v>
      </c>
      <c r="G1195" s="2" t="s">
        <v>287</v>
      </c>
      <c r="H1195" s="2" t="s">
        <v>44</v>
      </c>
      <c r="I1195" s="4">
        <v>23671</v>
      </c>
    </row>
    <row r="1196" spans="1:9" x14ac:dyDescent="0.25">
      <c r="A1196" s="2" t="s">
        <v>15</v>
      </c>
      <c r="B1196" s="2">
        <v>1900</v>
      </c>
      <c r="C1196" s="2">
        <v>4</v>
      </c>
      <c r="D1196" s="2" t="s">
        <v>32</v>
      </c>
      <c r="E1196" s="3">
        <v>44382</v>
      </c>
      <c r="F1196" s="2" t="s">
        <v>190</v>
      </c>
      <c r="G1196" s="2" t="s">
        <v>246</v>
      </c>
      <c r="H1196" s="2" t="s">
        <v>44</v>
      </c>
      <c r="I1196" s="4">
        <v>30077</v>
      </c>
    </row>
    <row r="1197" spans="1:9" x14ac:dyDescent="0.25">
      <c r="A1197" s="2" t="s">
        <v>22</v>
      </c>
      <c r="B1197" s="2">
        <v>5200</v>
      </c>
      <c r="C1197" s="2">
        <v>1</v>
      </c>
      <c r="D1197" s="2" t="s">
        <v>34</v>
      </c>
      <c r="E1197" s="3">
        <v>44372</v>
      </c>
      <c r="F1197" s="2" t="s">
        <v>87</v>
      </c>
      <c r="G1197" s="2" t="s">
        <v>404</v>
      </c>
      <c r="H1197" s="2" t="s">
        <v>44</v>
      </c>
      <c r="I1197" s="4">
        <v>23343</v>
      </c>
    </row>
    <row r="1198" spans="1:9" x14ac:dyDescent="0.25">
      <c r="A1198" s="2" t="s">
        <v>7</v>
      </c>
      <c r="B1198" s="2">
        <v>750</v>
      </c>
      <c r="C1198" s="2">
        <v>2</v>
      </c>
      <c r="D1198" s="2" t="s">
        <v>35</v>
      </c>
      <c r="E1198" s="3">
        <v>44306</v>
      </c>
      <c r="F1198" s="2" t="s">
        <v>414</v>
      </c>
      <c r="G1198" s="2" t="s">
        <v>415</v>
      </c>
      <c r="H1198" s="2" t="s">
        <v>44</v>
      </c>
      <c r="I1198" s="4">
        <v>36190</v>
      </c>
    </row>
    <row r="1199" spans="1:9" x14ac:dyDescent="0.25">
      <c r="A1199" s="2" t="s">
        <v>11</v>
      </c>
      <c r="B1199" s="2">
        <v>4500</v>
      </c>
      <c r="C1199" s="2">
        <v>4</v>
      </c>
      <c r="D1199" s="2" t="s">
        <v>39</v>
      </c>
      <c r="E1199" s="3">
        <v>44406</v>
      </c>
      <c r="F1199" s="2" t="s">
        <v>74</v>
      </c>
      <c r="G1199" s="2" t="s">
        <v>370</v>
      </c>
      <c r="H1199" s="2" t="s">
        <v>44</v>
      </c>
      <c r="I1199" s="4">
        <v>24651</v>
      </c>
    </row>
  </sheetData>
  <autoFilter ref="A1:I1199" xr:uid="{BD29C0E8-E8EA-4F22-AB5D-ABEA63FD904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E450-3BFE-4B92-85FE-BF83DD8AA6D4}">
  <sheetPr codeName="Planilha12">
    <tabColor theme="7" tint="-0.249977111117893"/>
  </sheetPr>
  <dimension ref="A1:K1171"/>
  <sheetViews>
    <sheetView showGridLines="0" workbookViewId="0">
      <selection activeCell="A11" sqref="A11"/>
    </sheetView>
  </sheetViews>
  <sheetFormatPr defaultRowHeight="15" x14ac:dyDescent="0.25"/>
  <cols>
    <col min="1" max="1" width="28.140625" bestFit="1" customWidth="1"/>
    <col min="2" max="2" width="23.28515625" customWidth="1"/>
    <col min="3" max="3" width="18.28515625" bestFit="1" customWidth="1"/>
    <col min="4" max="4" width="70.28515625" bestFit="1" customWidth="1"/>
    <col min="5" max="5" width="15.28515625" customWidth="1"/>
    <col min="6" max="6" width="12.140625" bestFit="1" customWidth="1"/>
    <col min="7" max="7" width="13.7109375" bestFit="1" customWidth="1"/>
    <col min="8" max="8" width="7" bestFit="1" customWidth="1"/>
    <col min="9" max="9" width="15.28515625" customWidth="1"/>
    <col min="11" max="11" width="10.5703125" bestFit="1" customWidth="1"/>
  </cols>
  <sheetData>
    <row r="1" spans="1:11" x14ac:dyDescent="0.25">
      <c r="A1" s="5" t="s">
        <v>3</v>
      </c>
      <c r="B1" s="5" t="s">
        <v>4</v>
      </c>
      <c r="C1" s="5" t="s">
        <v>2</v>
      </c>
      <c r="D1" s="5" t="s">
        <v>0</v>
      </c>
      <c r="E1" s="5" t="s">
        <v>1</v>
      </c>
      <c r="F1" s="5" t="s">
        <v>632</v>
      </c>
      <c r="G1" s="5" t="s">
        <v>633</v>
      </c>
      <c r="H1" s="5" t="s">
        <v>634</v>
      </c>
      <c r="I1" s="6" t="s">
        <v>635</v>
      </c>
      <c r="K1" s="1"/>
    </row>
    <row r="2" spans="1:11" x14ac:dyDescent="0.25">
      <c r="A2" s="2" t="s">
        <v>11</v>
      </c>
      <c r="B2" s="2">
        <v>4500</v>
      </c>
      <c r="C2" s="2">
        <v>4</v>
      </c>
      <c r="D2" s="2" t="s">
        <v>33</v>
      </c>
      <c r="E2" s="3">
        <v>44756</v>
      </c>
      <c r="F2" s="2" t="s">
        <v>439</v>
      </c>
      <c r="G2" s="2" t="s">
        <v>529</v>
      </c>
      <c r="H2" s="2" t="s">
        <v>44</v>
      </c>
      <c r="I2" s="4">
        <v>30919</v>
      </c>
      <c r="K2" s="1"/>
    </row>
    <row r="3" spans="1:11" x14ac:dyDescent="0.25">
      <c r="A3" s="2" t="s">
        <v>28</v>
      </c>
      <c r="B3" s="2">
        <v>1400</v>
      </c>
      <c r="C3" s="2">
        <v>5</v>
      </c>
      <c r="D3" s="2" t="s">
        <v>37</v>
      </c>
      <c r="E3" s="3">
        <v>44816</v>
      </c>
      <c r="F3" s="2" t="s">
        <v>398</v>
      </c>
      <c r="G3" s="2" t="s">
        <v>232</v>
      </c>
      <c r="H3" s="2" t="s">
        <v>44</v>
      </c>
      <c r="I3" s="4">
        <v>22605</v>
      </c>
    </row>
    <row r="4" spans="1:11" x14ac:dyDescent="0.25">
      <c r="A4" s="2" t="s">
        <v>15</v>
      </c>
      <c r="B4" s="2">
        <v>1900</v>
      </c>
      <c r="C4" s="2">
        <v>5</v>
      </c>
      <c r="D4" s="2" t="s">
        <v>38</v>
      </c>
      <c r="E4" s="3">
        <v>44676</v>
      </c>
      <c r="F4" s="2" t="s">
        <v>361</v>
      </c>
      <c r="G4" s="2" t="s">
        <v>203</v>
      </c>
      <c r="H4" s="2" t="s">
        <v>49</v>
      </c>
      <c r="I4" s="4">
        <v>36075</v>
      </c>
    </row>
    <row r="5" spans="1:11" x14ac:dyDescent="0.25">
      <c r="A5" s="2" t="s">
        <v>9</v>
      </c>
      <c r="B5" s="2">
        <v>1500</v>
      </c>
      <c r="C5" s="2">
        <v>1</v>
      </c>
      <c r="D5" s="2" t="s">
        <v>32</v>
      </c>
      <c r="E5" s="3">
        <v>44727</v>
      </c>
      <c r="F5" s="2" t="s">
        <v>414</v>
      </c>
      <c r="G5" s="2" t="s">
        <v>308</v>
      </c>
      <c r="H5" s="2" t="s">
        <v>44</v>
      </c>
      <c r="I5" s="4">
        <v>36278</v>
      </c>
    </row>
    <row r="6" spans="1:11" x14ac:dyDescent="0.25">
      <c r="A6" s="2" t="s">
        <v>19</v>
      </c>
      <c r="B6" s="2">
        <v>700</v>
      </c>
      <c r="C6" s="2">
        <v>3</v>
      </c>
      <c r="D6" s="2" t="s">
        <v>30</v>
      </c>
      <c r="E6" s="3">
        <v>44656</v>
      </c>
      <c r="F6" s="2" t="s">
        <v>94</v>
      </c>
      <c r="G6" s="2" t="s">
        <v>285</v>
      </c>
      <c r="H6" s="2" t="s">
        <v>49</v>
      </c>
      <c r="I6" s="4">
        <v>23451</v>
      </c>
    </row>
    <row r="7" spans="1:11" x14ac:dyDescent="0.25">
      <c r="A7" s="2" t="s">
        <v>15</v>
      </c>
      <c r="B7" s="2">
        <v>1900</v>
      </c>
      <c r="C7" s="2">
        <v>4</v>
      </c>
      <c r="D7" s="2" t="s">
        <v>30</v>
      </c>
      <c r="E7" s="3">
        <v>44612</v>
      </c>
      <c r="F7" s="2" t="s">
        <v>42</v>
      </c>
      <c r="G7" s="2" t="s">
        <v>300</v>
      </c>
      <c r="H7" s="2" t="s">
        <v>44</v>
      </c>
      <c r="I7" s="4">
        <v>18694</v>
      </c>
    </row>
    <row r="8" spans="1:11" x14ac:dyDescent="0.25">
      <c r="A8" s="2" t="s">
        <v>19</v>
      </c>
      <c r="B8" s="2">
        <v>700</v>
      </c>
      <c r="C8" s="2">
        <v>4</v>
      </c>
      <c r="D8" s="2" t="s">
        <v>38</v>
      </c>
      <c r="E8" s="3">
        <v>44565</v>
      </c>
      <c r="F8" s="2" t="s">
        <v>225</v>
      </c>
      <c r="G8" s="2" t="s">
        <v>86</v>
      </c>
      <c r="H8" s="2" t="s">
        <v>44</v>
      </c>
      <c r="I8" s="4">
        <v>32654</v>
      </c>
    </row>
    <row r="9" spans="1:11" x14ac:dyDescent="0.25">
      <c r="A9" s="2" t="s">
        <v>10</v>
      </c>
      <c r="B9" s="2">
        <v>1450</v>
      </c>
      <c r="C9" s="2">
        <v>1</v>
      </c>
      <c r="D9" s="2" t="s">
        <v>40</v>
      </c>
      <c r="E9" s="3">
        <v>44851</v>
      </c>
      <c r="F9" s="2" t="s">
        <v>190</v>
      </c>
      <c r="G9" s="2" t="s">
        <v>238</v>
      </c>
      <c r="H9" s="2" t="s">
        <v>44</v>
      </c>
      <c r="I9" s="4">
        <v>25439</v>
      </c>
    </row>
    <row r="10" spans="1:11" x14ac:dyDescent="0.25">
      <c r="A10" s="2" t="s">
        <v>12</v>
      </c>
      <c r="B10" s="2">
        <v>6500</v>
      </c>
      <c r="C10" s="2">
        <v>2</v>
      </c>
      <c r="D10" s="2" t="s">
        <v>38</v>
      </c>
      <c r="E10" s="3">
        <v>44793</v>
      </c>
      <c r="F10" s="2" t="s">
        <v>216</v>
      </c>
      <c r="G10" s="2" t="s">
        <v>442</v>
      </c>
      <c r="H10" s="2" t="s">
        <v>44</v>
      </c>
      <c r="I10" s="4">
        <v>27664</v>
      </c>
    </row>
    <row r="11" spans="1:11" x14ac:dyDescent="0.25">
      <c r="A11" s="2" t="s">
        <v>28</v>
      </c>
      <c r="B11" s="2">
        <v>1400</v>
      </c>
      <c r="C11" s="2">
        <v>5</v>
      </c>
      <c r="D11" s="2" t="s">
        <v>30</v>
      </c>
      <c r="E11" s="3">
        <v>44567</v>
      </c>
      <c r="F11" s="2" t="s">
        <v>355</v>
      </c>
      <c r="G11" s="2" t="s">
        <v>454</v>
      </c>
      <c r="H11" s="2" t="s">
        <v>44</v>
      </c>
      <c r="I11" s="4">
        <v>25735</v>
      </c>
    </row>
    <row r="12" spans="1:11" x14ac:dyDescent="0.25">
      <c r="A12" s="2" t="s">
        <v>20</v>
      </c>
      <c r="B12" s="2">
        <v>2600</v>
      </c>
      <c r="C12" s="2">
        <v>4</v>
      </c>
      <c r="D12" s="2" t="s">
        <v>29</v>
      </c>
      <c r="E12" s="3">
        <v>44897</v>
      </c>
      <c r="F12" s="2" t="s">
        <v>134</v>
      </c>
      <c r="G12" s="2" t="s">
        <v>351</v>
      </c>
      <c r="H12" s="2" t="s">
        <v>49</v>
      </c>
      <c r="I12" s="4">
        <v>26735</v>
      </c>
    </row>
    <row r="13" spans="1:11" x14ac:dyDescent="0.25">
      <c r="A13" s="2" t="s">
        <v>16</v>
      </c>
      <c r="B13" s="2">
        <v>1400</v>
      </c>
      <c r="C13" s="2">
        <v>3</v>
      </c>
      <c r="D13" s="2" t="s">
        <v>32</v>
      </c>
      <c r="E13" s="3">
        <v>44642</v>
      </c>
      <c r="F13" s="2" t="s">
        <v>295</v>
      </c>
      <c r="G13" s="2" t="s">
        <v>418</v>
      </c>
      <c r="H13" s="2" t="s">
        <v>49</v>
      </c>
      <c r="I13" s="4">
        <v>24615</v>
      </c>
    </row>
    <row r="14" spans="1:11" x14ac:dyDescent="0.25">
      <c r="A14" s="2" t="s">
        <v>14</v>
      </c>
      <c r="B14" s="2">
        <v>2000</v>
      </c>
      <c r="C14" s="2">
        <v>5</v>
      </c>
      <c r="D14" s="2" t="s">
        <v>29</v>
      </c>
      <c r="E14" s="3">
        <v>44611</v>
      </c>
      <c r="F14" s="2" t="s">
        <v>122</v>
      </c>
      <c r="G14" s="2" t="s">
        <v>123</v>
      </c>
      <c r="H14" s="2" t="s">
        <v>49</v>
      </c>
      <c r="I14" s="4">
        <v>24211</v>
      </c>
    </row>
    <row r="15" spans="1:11" x14ac:dyDescent="0.25">
      <c r="A15" s="2" t="s">
        <v>7</v>
      </c>
      <c r="B15" s="2">
        <v>750</v>
      </c>
      <c r="C15" s="2">
        <v>4</v>
      </c>
      <c r="D15" s="2" t="s">
        <v>38</v>
      </c>
      <c r="E15" s="3">
        <v>44634</v>
      </c>
      <c r="F15" s="2" t="s">
        <v>187</v>
      </c>
      <c r="G15" s="2" t="s">
        <v>495</v>
      </c>
      <c r="H15" s="2" t="s">
        <v>49</v>
      </c>
      <c r="I15" s="4">
        <v>32094</v>
      </c>
    </row>
    <row r="16" spans="1:11" x14ac:dyDescent="0.25">
      <c r="A16" s="2" t="s">
        <v>24</v>
      </c>
      <c r="B16" s="2">
        <v>2000</v>
      </c>
      <c r="C16" s="2">
        <v>3</v>
      </c>
      <c r="D16" s="2" t="s">
        <v>29</v>
      </c>
      <c r="E16" s="3">
        <v>44624</v>
      </c>
      <c r="F16" s="2" t="s">
        <v>301</v>
      </c>
      <c r="G16" s="2" t="s">
        <v>449</v>
      </c>
      <c r="H16" s="2" t="s">
        <v>49</v>
      </c>
      <c r="I16" s="4">
        <v>33640</v>
      </c>
    </row>
    <row r="17" spans="1:9" x14ac:dyDescent="0.25">
      <c r="A17" s="2" t="s">
        <v>23</v>
      </c>
      <c r="B17" s="2">
        <v>1500</v>
      </c>
      <c r="C17" s="2">
        <v>3</v>
      </c>
      <c r="D17" s="2" t="s">
        <v>35</v>
      </c>
      <c r="E17" s="3">
        <v>44901</v>
      </c>
      <c r="F17" s="2" t="s">
        <v>331</v>
      </c>
      <c r="G17" s="2" t="s">
        <v>308</v>
      </c>
      <c r="H17" s="2" t="s">
        <v>44</v>
      </c>
      <c r="I17" s="4">
        <v>19664</v>
      </c>
    </row>
    <row r="18" spans="1:9" x14ac:dyDescent="0.25">
      <c r="A18" s="2" t="s">
        <v>20</v>
      </c>
      <c r="B18" s="2">
        <v>2600</v>
      </c>
      <c r="C18" s="2">
        <v>3</v>
      </c>
      <c r="D18" s="2" t="s">
        <v>37</v>
      </c>
      <c r="E18" s="3">
        <v>44784</v>
      </c>
      <c r="F18" s="2" t="s">
        <v>163</v>
      </c>
      <c r="G18" s="2" t="s">
        <v>516</v>
      </c>
      <c r="H18" s="2" t="s">
        <v>49</v>
      </c>
      <c r="I18" s="4">
        <v>25301</v>
      </c>
    </row>
    <row r="19" spans="1:9" x14ac:dyDescent="0.25">
      <c r="A19" s="2" t="s">
        <v>12</v>
      </c>
      <c r="B19" s="2">
        <v>6500</v>
      </c>
      <c r="C19" s="2">
        <v>1</v>
      </c>
      <c r="D19" s="2" t="s">
        <v>38</v>
      </c>
      <c r="E19" s="3">
        <v>44827</v>
      </c>
      <c r="F19" s="2" t="s">
        <v>177</v>
      </c>
      <c r="G19" s="2" t="s">
        <v>178</v>
      </c>
      <c r="H19" s="2" t="s">
        <v>49</v>
      </c>
      <c r="I19" s="4">
        <v>33080</v>
      </c>
    </row>
    <row r="20" spans="1:9" x14ac:dyDescent="0.25">
      <c r="A20" s="2" t="s">
        <v>17</v>
      </c>
      <c r="B20" s="2">
        <v>1550</v>
      </c>
      <c r="C20" s="2">
        <v>3</v>
      </c>
      <c r="D20" s="2" t="s">
        <v>39</v>
      </c>
      <c r="E20" s="3">
        <v>44636</v>
      </c>
      <c r="F20" s="2" t="s">
        <v>318</v>
      </c>
      <c r="G20" s="2" t="s">
        <v>395</v>
      </c>
      <c r="H20" s="2" t="s">
        <v>44</v>
      </c>
      <c r="I20" s="4">
        <v>32659</v>
      </c>
    </row>
    <row r="21" spans="1:9" x14ac:dyDescent="0.25">
      <c r="A21" s="2" t="s">
        <v>27</v>
      </c>
      <c r="B21" s="2">
        <v>1500</v>
      </c>
      <c r="C21" s="2">
        <v>1</v>
      </c>
      <c r="D21" s="2" t="s">
        <v>35</v>
      </c>
      <c r="E21" s="3">
        <v>44885</v>
      </c>
      <c r="F21" s="2" t="s">
        <v>190</v>
      </c>
      <c r="G21" s="2" t="s">
        <v>174</v>
      </c>
      <c r="H21" s="2" t="s">
        <v>44</v>
      </c>
      <c r="I21" s="4">
        <v>22981</v>
      </c>
    </row>
    <row r="22" spans="1:9" x14ac:dyDescent="0.25">
      <c r="A22" s="2" t="s">
        <v>10</v>
      </c>
      <c r="B22" s="2">
        <v>1450</v>
      </c>
      <c r="C22" s="2">
        <v>3</v>
      </c>
      <c r="D22" s="2" t="s">
        <v>35</v>
      </c>
      <c r="E22" s="3">
        <v>44681</v>
      </c>
      <c r="F22" s="2" t="s">
        <v>368</v>
      </c>
      <c r="G22" s="2" t="s">
        <v>369</v>
      </c>
      <c r="H22" s="2" t="s">
        <v>44</v>
      </c>
      <c r="I22" s="4">
        <v>30367</v>
      </c>
    </row>
    <row r="23" spans="1:9" x14ac:dyDescent="0.25">
      <c r="A23" s="2" t="s">
        <v>7</v>
      </c>
      <c r="B23" s="2">
        <v>750</v>
      </c>
      <c r="C23" s="2">
        <v>2</v>
      </c>
      <c r="D23" s="2" t="s">
        <v>30</v>
      </c>
      <c r="E23" s="3">
        <v>44563</v>
      </c>
      <c r="F23" s="2" t="s">
        <v>148</v>
      </c>
      <c r="G23" s="2" t="s">
        <v>149</v>
      </c>
      <c r="H23" s="2" t="s">
        <v>49</v>
      </c>
      <c r="I23" s="4">
        <v>34582</v>
      </c>
    </row>
    <row r="24" spans="1:9" x14ac:dyDescent="0.25">
      <c r="A24" s="2" t="s">
        <v>9</v>
      </c>
      <c r="B24" s="2">
        <v>1500</v>
      </c>
      <c r="C24" s="2">
        <v>1</v>
      </c>
      <c r="D24" s="2" t="s">
        <v>40</v>
      </c>
      <c r="E24" s="3">
        <v>44601</v>
      </c>
      <c r="F24" s="2" t="s">
        <v>52</v>
      </c>
      <c r="G24" s="2" t="s">
        <v>198</v>
      </c>
      <c r="H24" s="2" t="s">
        <v>44</v>
      </c>
      <c r="I24" s="4">
        <v>24126</v>
      </c>
    </row>
    <row r="25" spans="1:9" x14ac:dyDescent="0.25">
      <c r="A25" s="2" t="s">
        <v>15</v>
      </c>
      <c r="B25" s="2">
        <v>1900</v>
      </c>
      <c r="C25" s="2">
        <v>1</v>
      </c>
      <c r="D25" s="2" t="s">
        <v>29</v>
      </c>
      <c r="E25" s="3">
        <v>44635</v>
      </c>
      <c r="F25" s="2" t="s">
        <v>589</v>
      </c>
      <c r="G25" s="2" t="s">
        <v>586</v>
      </c>
      <c r="H25" s="2" t="s">
        <v>44</v>
      </c>
      <c r="I25" s="4">
        <v>20204</v>
      </c>
    </row>
    <row r="26" spans="1:9" x14ac:dyDescent="0.25">
      <c r="A26" s="2" t="s">
        <v>14</v>
      </c>
      <c r="B26" s="2">
        <v>2000</v>
      </c>
      <c r="C26" s="2">
        <v>5</v>
      </c>
      <c r="D26" s="2" t="s">
        <v>37</v>
      </c>
      <c r="E26" s="3">
        <v>44589</v>
      </c>
      <c r="F26" s="2" t="s">
        <v>570</v>
      </c>
      <c r="G26" s="2" t="s">
        <v>262</v>
      </c>
      <c r="H26" s="2" t="s">
        <v>49</v>
      </c>
      <c r="I26" s="4">
        <v>23974</v>
      </c>
    </row>
    <row r="27" spans="1:9" x14ac:dyDescent="0.25">
      <c r="A27" s="2" t="s">
        <v>18</v>
      </c>
      <c r="B27" s="2">
        <v>3000</v>
      </c>
      <c r="C27" s="2">
        <v>3</v>
      </c>
      <c r="D27" s="2" t="s">
        <v>36</v>
      </c>
      <c r="E27" s="3">
        <v>44882</v>
      </c>
      <c r="F27" s="2" t="s">
        <v>408</v>
      </c>
      <c r="G27" s="2" t="s">
        <v>55</v>
      </c>
      <c r="H27" s="2" t="s">
        <v>49</v>
      </c>
      <c r="I27" s="4">
        <v>22393</v>
      </c>
    </row>
    <row r="28" spans="1:9" x14ac:dyDescent="0.25">
      <c r="A28" s="2" t="s">
        <v>10</v>
      </c>
      <c r="B28" s="2">
        <v>1450</v>
      </c>
      <c r="C28" s="2">
        <v>2</v>
      </c>
      <c r="D28" s="2" t="s">
        <v>34</v>
      </c>
      <c r="E28" s="3">
        <v>44726</v>
      </c>
      <c r="F28" s="2" t="s">
        <v>505</v>
      </c>
      <c r="G28" s="2" t="s">
        <v>171</v>
      </c>
      <c r="H28" s="2" t="s">
        <v>44</v>
      </c>
      <c r="I28" s="4">
        <v>31007</v>
      </c>
    </row>
    <row r="29" spans="1:9" x14ac:dyDescent="0.25">
      <c r="A29" s="2" t="s">
        <v>6</v>
      </c>
      <c r="B29" s="2">
        <v>1200</v>
      </c>
      <c r="C29" s="2">
        <v>5</v>
      </c>
      <c r="D29" s="2" t="s">
        <v>41</v>
      </c>
      <c r="E29" s="3">
        <v>44729</v>
      </c>
      <c r="F29" s="2" t="s">
        <v>521</v>
      </c>
      <c r="G29" s="2" t="s">
        <v>231</v>
      </c>
      <c r="H29" s="2" t="s">
        <v>49</v>
      </c>
      <c r="I29" s="4">
        <v>30181</v>
      </c>
    </row>
    <row r="30" spans="1:9" x14ac:dyDescent="0.25">
      <c r="A30" s="2" t="s">
        <v>24</v>
      </c>
      <c r="B30" s="2">
        <v>2000</v>
      </c>
      <c r="C30" s="2">
        <v>2</v>
      </c>
      <c r="D30" s="2" t="s">
        <v>35</v>
      </c>
      <c r="E30" s="3">
        <v>44764</v>
      </c>
      <c r="F30" s="2" t="s">
        <v>331</v>
      </c>
      <c r="G30" s="2" t="s">
        <v>308</v>
      </c>
      <c r="H30" s="2" t="s">
        <v>44</v>
      </c>
      <c r="I30" s="4">
        <v>19664</v>
      </c>
    </row>
    <row r="31" spans="1:9" x14ac:dyDescent="0.25">
      <c r="A31" s="2" t="s">
        <v>20</v>
      </c>
      <c r="B31" s="2">
        <v>2600</v>
      </c>
      <c r="C31" s="2">
        <v>2</v>
      </c>
      <c r="D31" s="2" t="s">
        <v>33</v>
      </c>
      <c r="E31" s="3">
        <v>44808</v>
      </c>
      <c r="F31" s="2" t="s">
        <v>279</v>
      </c>
      <c r="G31" s="2" t="s">
        <v>329</v>
      </c>
      <c r="H31" s="2" t="s">
        <v>44</v>
      </c>
      <c r="I31" s="4">
        <v>18364</v>
      </c>
    </row>
    <row r="32" spans="1:9" x14ac:dyDescent="0.25">
      <c r="A32" s="2" t="s">
        <v>10</v>
      </c>
      <c r="B32" s="2">
        <v>1450</v>
      </c>
      <c r="C32" s="2">
        <v>3</v>
      </c>
      <c r="D32" s="2" t="s">
        <v>31</v>
      </c>
      <c r="E32" s="3">
        <v>44621</v>
      </c>
      <c r="F32" s="2" t="s">
        <v>535</v>
      </c>
      <c r="G32" s="2" t="s">
        <v>89</v>
      </c>
      <c r="H32" s="2" t="s">
        <v>44</v>
      </c>
      <c r="I32" s="4">
        <v>21320</v>
      </c>
    </row>
    <row r="33" spans="1:9" x14ac:dyDescent="0.25">
      <c r="A33" s="2" t="s">
        <v>13</v>
      </c>
      <c r="B33" s="2">
        <v>2300</v>
      </c>
      <c r="C33" s="2">
        <v>5</v>
      </c>
      <c r="D33" s="2" t="s">
        <v>32</v>
      </c>
      <c r="E33" s="3">
        <v>44602</v>
      </c>
      <c r="F33" s="2" t="s">
        <v>190</v>
      </c>
      <c r="G33" s="2" t="s">
        <v>83</v>
      </c>
      <c r="H33" s="2" t="s">
        <v>44</v>
      </c>
      <c r="I33" s="4">
        <v>32913</v>
      </c>
    </row>
    <row r="34" spans="1:9" x14ac:dyDescent="0.25">
      <c r="A34" s="2" t="s">
        <v>25</v>
      </c>
      <c r="B34" s="2">
        <v>2500</v>
      </c>
      <c r="C34" s="2">
        <v>5</v>
      </c>
      <c r="D34" s="2" t="s">
        <v>31</v>
      </c>
      <c r="E34" s="3">
        <v>44904</v>
      </c>
      <c r="F34" s="2" t="s">
        <v>56</v>
      </c>
      <c r="G34" s="2" t="s">
        <v>138</v>
      </c>
      <c r="H34" s="2" t="s">
        <v>44</v>
      </c>
      <c r="I34" s="4">
        <v>26742</v>
      </c>
    </row>
    <row r="35" spans="1:9" x14ac:dyDescent="0.25">
      <c r="A35" s="2" t="s">
        <v>11</v>
      </c>
      <c r="B35" s="2">
        <v>4500</v>
      </c>
      <c r="C35" s="2">
        <v>4</v>
      </c>
      <c r="D35" s="2" t="s">
        <v>34</v>
      </c>
      <c r="E35" s="3">
        <v>44753</v>
      </c>
      <c r="F35" s="2" t="s">
        <v>45</v>
      </c>
      <c r="G35" s="2" t="s">
        <v>156</v>
      </c>
      <c r="H35" s="2" t="s">
        <v>44</v>
      </c>
      <c r="I35" s="4">
        <v>32720</v>
      </c>
    </row>
    <row r="36" spans="1:9" x14ac:dyDescent="0.25">
      <c r="A36" s="2" t="s">
        <v>18</v>
      </c>
      <c r="B36" s="2">
        <v>3000</v>
      </c>
      <c r="C36" s="2">
        <v>4</v>
      </c>
      <c r="D36" s="2" t="s">
        <v>33</v>
      </c>
      <c r="E36" s="3">
        <v>44786</v>
      </c>
      <c r="F36" s="2" t="s">
        <v>92</v>
      </c>
      <c r="G36" s="2" t="s">
        <v>93</v>
      </c>
      <c r="H36" s="2" t="s">
        <v>44</v>
      </c>
      <c r="I36" s="4">
        <v>23689</v>
      </c>
    </row>
    <row r="37" spans="1:9" x14ac:dyDescent="0.25">
      <c r="A37" s="2" t="s">
        <v>6</v>
      </c>
      <c r="B37" s="2">
        <v>1200</v>
      </c>
      <c r="C37" s="2">
        <v>1</v>
      </c>
      <c r="D37" s="2" t="s">
        <v>41</v>
      </c>
      <c r="E37" s="3">
        <v>44565</v>
      </c>
      <c r="F37" s="2" t="s">
        <v>385</v>
      </c>
      <c r="G37" s="2" t="s">
        <v>386</v>
      </c>
      <c r="H37" s="2" t="s">
        <v>44</v>
      </c>
      <c r="I37" s="4">
        <v>32940</v>
      </c>
    </row>
    <row r="38" spans="1:9" x14ac:dyDescent="0.25">
      <c r="A38" s="2" t="s">
        <v>20</v>
      </c>
      <c r="B38" s="2">
        <v>2600</v>
      </c>
      <c r="C38" s="2">
        <v>4</v>
      </c>
      <c r="D38" s="2" t="s">
        <v>36</v>
      </c>
      <c r="E38" s="3">
        <v>44616</v>
      </c>
      <c r="F38" s="2" t="s">
        <v>579</v>
      </c>
      <c r="G38" s="2" t="s">
        <v>449</v>
      </c>
      <c r="H38" s="2" t="s">
        <v>49</v>
      </c>
      <c r="I38" s="4">
        <v>24093</v>
      </c>
    </row>
    <row r="39" spans="1:9" x14ac:dyDescent="0.25">
      <c r="A39" s="2" t="s">
        <v>15</v>
      </c>
      <c r="B39" s="2">
        <v>1900</v>
      </c>
      <c r="C39" s="2">
        <v>4</v>
      </c>
      <c r="D39" s="2" t="s">
        <v>37</v>
      </c>
      <c r="E39" s="3">
        <v>44570</v>
      </c>
      <c r="F39" s="2" t="s">
        <v>335</v>
      </c>
      <c r="G39" s="2" t="s">
        <v>83</v>
      </c>
      <c r="H39" s="2" t="s">
        <v>49</v>
      </c>
      <c r="I39" s="4">
        <v>29726</v>
      </c>
    </row>
    <row r="40" spans="1:9" x14ac:dyDescent="0.25">
      <c r="A40" s="2" t="s">
        <v>28</v>
      </c>
      <c r="B40" s="2">
        <v>1400</v>
      </c>
      <c r="C40" s="2">
        <v>2</v>
      </c>
      <c r="D40" s="2" t="s">
        <v>35</v>
      </c>
      <c r="E40" s="3">
        <v>44840</v>
      </c>
      <c r="F40" s="2" t="s">
        <v>331</v>
      </c>
      <c r="G40" s="2" t="s">
        <v>308</v>
      </c>
      <c r="H40" s="2" t="s">
        <v>44</v>
      </c>
      <c r="I40" s="4">
        <v>19664</v>
      </c>
    </row>
    <row r="41" spans="1:9" x14ac:dyDescent="0.25">
      <c r="A41" s="2" t="s">
        <v>18</v>
      </c>
      <c r="B41" s="2">
        <v>3000</v>
      </c>
      <c r="C41" s="2">
        <v>3</v>
      </c>
      <c r="D41" s="2" t="s">
        <v>29</v>
      </c>
      <c r="E41" s="3">
        <v>44673</v>
      </c>
      <c r="F41" s="2" t="s">
        <v>167</v>
      </c>
      <c r="G41" s="2" t="s">
        <v>308</v>
      </c>
      <c r="H41" s="2" t="s">
        <v>44</v>
      </c>
      <c r="I41" s="4">
        <v>28055</v>
      </c>
    </row>
    <row r="42" spans="1:9" x14ac:dyDescent="0.25">
      <c r="A42" s="2" t="s">
        <v>13</v>
      </c>
      <c r="B42" s="2">
        <v>2300</v>
      </c>
      <c r="C42" s="2">
        <v>1</v>
      </c>
      <c r="D42" s="2" t="s">
        <v>38</v>
      </c>
      <c r="E42" s="3">
        <v>44911</v>
      </c>
      <c r="F42" s="2" t="s">
        <v>84</v>
      </c>
      <c r="G42" s="2" t="s">
        <v>63</v>
      </c>
      <c r="H42" s="2" t="s">
        <v>44</v>
      </c>
      <c r="I42" s="4">
        <v>23490</v>
      </c>
    </row>
    <row r="43" spans="1:9" x14ac:dyDescent="0.25">
      <c r="A43" s="2" t="s">
        <v>17</v>
      </c>
      <c r="B43" s="2">
        <v>1550</v>
      </c>
      <c r="C43" s="2">
        <v>4</v>
      </c>
      <c r="D43" s="2" t="s">
        <v>37</v>
      </c>
      <c r="E43" s="3">
        <v>44828</v>
      </c>
      <c r="F43" s="2" t="s">
        <v>109</v>
      </c>
      <c r="G43" s="2" t="s">
        <v>567</v>
      </c>
      <c r="H43" s="2" t="s">
        <v>44</v>
      </c>
      <c r="I43" s="4">
        <v>30062</v>
      </c>
    </row>
    <row r="44" spans="1:9" x14ac:dyDescent="0.25">
      <c r="A44" s="2" t="s">
        <v>7</v>
      </c>
      <c r="B44" s="2">
        <v>750</v>
      </c>
      <c r="C44" s="2">
        <v>5</v>
      </c>
      <c r="D44" s="2" t="s">
        <v>31</v>
      </c>
      <c r="E44" s="3">
        <v>44888</v>
      </c>
      <c r="F44" s="2" t="s">
        <v>62</v>
      </c>
      <c r="G44" s="2" t="s">
        <v>63</v>
      </c>
      <c r="H44" s="2" t="s">
        <v>49</v>
      </c>
      <c r="I44" s="4">
        <v>19305</v>
      </c>
    </row>
    <row r="45" spans="1:9" x14ac:dyDescent="0.25">
      <c r="A45" s="2" t="s">
        <v>12</v>
      </c>
      <c r="B45" s="2">
        <v>6500</v>
      </c>
      <c r="C45" s="2">
        <v>1</v>
      </c>
      <c r="D45" s="2" t="s">
        <v>40</v>
      </c>
      <c r="E45" s="3">
        <v>44669</v>
      </c>
      <c r="F45" s="2" t="s">
        <v>87</v>
      </c>
      <c r="G45" s="2" t="s">
        <v>194</v>
      </c>
      <c r="H45" s="2" t="s">
        <v>44</v>
      </c>
      <c r="I45" s="4">
        <v>32241</v>
      </c>
    </row>
    <row r="46" spans="1:9" x14ac:dyDescent="0.25">
      <c r="A46" s="2" t="s">
        <v>5</v>
      </c>
      <c r="B46" s="2">
        <v>1750</v>
      </c>
      <c r="C46" s="2">
        <v>3</v>
      </c>
      <c r="D46" s="2" t="s">
        <v>31</v>
      </c>
      <c r="E46" s="3">
        <v>44838</v>
      </c>
      <c r="F46" s="2" t="s">
        <v>134</v>
      </c>
      <c r="G46" s="2" t="s">
        <v>63</v>
      </c>
      <c r="H46" s="2" t="s">
        <v>49</v>
      </c>
      <c r="I46" s="4">
        <v>33104</v>
      </c>
    </row>
    <row r="47" spans="1:9" x14ac:dyDescent="0.25">
      <c r="A47" s="2" t="s">
        <v>20</v>
      </c>
      <c r="B47" s="2">
        <v>2600</v>
      </c>
      <c r="C47" s="2">
        <v>1</v>
      </c>
      <c r="D47" s="2" t="s">
        <v>32</v>
      </c>
      <c r="E47" s="3">
        <v>44631</v>
      </c>
      <c r="F47" s="2" t="s">
        <v>192</v>
      </c>
      <c r="G47" s="2" t="s">
        <v>245</v>
      </c>
      <c r="H47" s="2" t="s">
        <v>49</v>
      </c>
      <c r="I47" s="4">
        <v>29464</v>
      </c>
    </row>
    <row r="48" spans="1:9" x14ac:dyDescent="0.25">
      <c r="A48" s="2" t="s">
        <v>20</v>
      </c>
      <c r="B48" s="2">
        <v>2600</v>
      </c>
      <c r="C48" s="2">
        <v>2</v>
      </c>
      <c r="D48" s="2" t="s">
        <v>29</v>
      </c>
      <c r="E48" s="3">
        <v>44755</v>
      </c>
      <c r="F48" s="2" t="s">
        <v>118</v>
      </c>
      <c r="G48" s="2" t="s">
        <v>391</v>
      </c>
      <c r="H48" s="2" t="s">
        <v>49</v>
      </c>
      <c r="I48" s="4">
        <v>35366</v>
      </c>
    </row>
    <row r="49" spans="1:9" x14ac:dyDescent="0.25">
      <c r="A49" s="2" t="s">
        <v>17</v>
      </c>
      <c r="B49" s="2">
        <v>1550</v>
      </c>
      <c r="C49" s="2">
        <v>2</v>
      </c>
      <c r="D49" s="2" t="s">
        <v>34</v>
      </c>
      <c r="E49" s="3">
        <v>44832</v>
      </c>
      <c r="F49" s="2" t="s">
        <v>165</v>
      </c>
      <c r="G49" s="2" t="s">
        <v>246</v>
      </c>
      <c r="H49" s="2" t="s">
        <v>49</v>
      </c>
      <c r="I49" s="4">
        <v>31238</v>
      </c>
    </row>
    <row r="50" spans="1:9" x14ac:dyDescent="0.25">
      <c r="A50" s="2" t="s">
        <v>24</v>
      </c>
      <c r="B50" s="2">
        <v>2000</v>
      </c>
      <c r="C50" s="2">
        <v>4</v>
      </c>
      <c r="D50" s="2" t="s">
        <v>33</v>
      </c>
      <c r="E50" s="3">
        <v>44832</v>
      </c>
      <c r="F50" s="2" t="s">
        <v>116</v>
      </c>
      <c r="G50" s="2" t="s">
        <v>117</v>
      </c>
      <c r="H50" s="2" t="s">
        <v>44</v>
      </c>
      <c r="I50" s="4">
        <v>27681</v>
      </c>
    </row>
    <row r="51" spans="1:9" x14ac:dyDescent="0.25">
      <c r="A51" s="2" t="s">
        <v>10</v>
      </c>
      <c r="B51" s="2">
        <v>1450</v>
      </c>
      <c r="C51" s="2">
        <v>2</v>
      </c>
      <c r="D51" s="2" t="s">
        <v>37</v>
      </c>
      <c r="E51" s="3">
        <v>44715</v>
      </c>
      <c r="F51" s="2" t="s">
        <v>551</v>
      </c>
      <c r="G51" s="2" t="s">
        <v>198</v>
      </c>
      <c r="H51" s="2" t="s">
        <v>44</v>
      </c>
      <c r="I51" s="4">
        <v>25456</v>
      </c>
    </row>
    <row r="52" spans="1:9" x14ac:dyDescent="0.25">
      <c r="A52" s="2" t="s">
        <v>18</v>
      </c>
      <c r="B52" s="2">
        <v>3000</v>
      </c>
      <c r="C52" s="2">
        <v>5</v>
      </c>
      <c r="D52" s="2" t="s">
        <v>35</v>
      </c>
      <c r="E52" s="3">
        <v>44848</v>
      </c>
      <c r="F52" s="2" t="s">
        <v>74</v>
      </c>
      <c r="G52" s="2" t="s">
        <v>621</v>
      </c>
      <c r="H52" s="2" t="s">
        <v>44</v>
      </c>
      <c r="I52" s="4">
        <v>34072</v>
      </c>
    </row>
    <row r="53" spans="1:9" x14ac:dyDescent="0.25">
      <c r="A53" s="2" t="s">
        <v>8</v>
      </c>
      <c r="B53" s="2">
        <v>5500</v>
      </c>
      <c r="C53" s="2">
        <v>2</v>
      </c>
      <c r="D53" s="2" t="s">
        <v>37</v>
      </c>
      <c r="E53" s="3">
        <v>44761</v>
      </c>
      <c r="F53" s="2" t="s">
        <v>146</v>
      </c>
      <c r="G53" s="2" t="s">
        <v>147</v>
      </c>
      <c r="H53" s="2" t="s">
        <v>44</v>
      </c>
      <c r="I53" s="4">
        <v>31992</v>
      </c>
    </row>
    <row r="54" spans="1:9" x14ac:dyDescent="0.25">
      <c r="A54" s="2" t="s">
        <v>19</v>
      </c>
      <c r="B54" s="2">
        <v>700</v>
      </c>
      <c r="C54" s="2">
        <v>3</v>
      </c>
      <c r="D54" s="2" t="s">
        <v>34</v>
      </c>
      <c r="E54" s="3">
        <v>44660</v>
      </c>
      <c r="F54" s="2" t="s">
        <v>78</v>
      </c>
      <c r="G54" s="2" t="s">
        <v>79</v>
      </c>
      <c r="H54" s="2" t="s">
        <v>49</v>
      </c>
      <c r="I54" s="4">
        <v>36540</v>
      </c>
    </row>
    <row r="55" spans="1:9" x14ac:dyDescent="0.25">
      <c r="A55" s="2" t="s">
        <v>22</v>
      </c>
      <c r="B55" s="2">
        <v>5200</v>
      </c>
      <c r="C55" s="2">
        <v>3</v>
      </c>
      <c r="D55" s="2" t="s">
        <v>39</v>
      </c>
      <c r="E55" s="3">
        <v>44694</v>
      </c>
      <c r="F55" s="2" t="s">
        <v>603</v>
      </c>
      <c r="G55" s="2" t="s">
        <v>292</v>
      </c>
      <c r="H55" s="2" t="s">
        <v>49</v>
      </c>
      <c r="I55" s="4">
        <v>34477</v>
      </c>
    </row>
    <row r="56" spans="1:9" x14ac:dyDescent="0.25">
      <c r="A56" s="2" t="s">
        <v>27</v>
      </c>
      <c r="B56" s="2">
        <v>1500</v>
      </c>
      <c r="C56" s="2">
        <v>4</v>
      </c>
      <c r="D56" s="2" t="s">
        <v>35</v>
      </c>
      <c r="E56" s="3">
        <v>44685</v>
      </c>
      <c r="F56" s="2" t="s">
        <v>51</v>
      </c>
      <c r="G56" s="2" t="s">
        <v>524</v>
      </c>
      <c r="H56" s="2" t="s">
        <v>44</v>
      </c>
      <c r="I56" s="4">
        <v>24170</v>
      </c>
    </row>
    <row r="57" spans="1:9" x14ac:dyDescent="0.25">
      <c r="A57" s="2" t="s">
        <v>6</v>
      </c>
      <c r="B57" s="2">
        <v>1200</v>
      </c>
      <c r="C57" s="2">
        <v>3</v>
      </c>
      <c r="D57" s="2" t="s">
        <v>29</v>
      </c>
      <c r="E57" s="3">
        <v>44612</v>
      </c>
      <c r="F57" s="2" t="s">
        <v>259</v>
      </c>
      <c r="G57" s="2" t="s">
        <v>238</v>
      </c>
      <c r="H57" s="2" t="s">
        <v>49</v>
      </c>
      <c r="I57" s="4">
        <v>33136</v>
      </c>
    </row>
    <row r="58" spans="1:9" x14ac:dyDescent="0.25">
      <c r="A58" s="2" t="s">
        <v>24</v>
      </c>
      <c r="B58" s="2">
        <v>2000</v>
      </c>
      <c r="C58" s="2">
        <v>4</v>
      </c>
      <c r="D58" s="2" t="s">
        <v>32</v>
      </c>
      <c r="E58" s="3">
        <v>44715</v>
      </c>
      <c r="F58" s="2" t="s">
        <v>199</v>
      </c>
      <c r="G58" s="2" t="s">
        <v>327</v>
      </c>
      <c r="H58" s="2" t="s">
        <v>49</v>
      </c>
      <c r="I58" s="4">
        <v>33099</v>
      </c>
    </row>
    <row r="59" spans="1:9" x14ac:dyDescent="0.25">
      <c r="A59" s="2" t="s">
        <v>16</v>
      </c>
      <c r="B59" s="2">
        <v>1400</v>
      </c>
      <c r="C59" s="2">
        <v>1</v>
      </c>
      <c r="D59" s="2" t="s">
        <v>30</v>
      </c>
      <c r="E59" s="3">
        <v>44922</v>
      </c>
      <c r="F59" s="2" t="s">
        <v>439</v>
      </c>
      <c r="G59" s="2" t="s">
        <v>262</v>
      </c>
      <c r="H59" s="2" t="s">
        <v>44</v>
      </c>
      <c r="I59" s="4">
        <v>31165</v>
      </c>
    </row>
    <row r="60" spans="1:9" x14ac:dyDescent="0.25">
      <c r="A60" s="2" t="s">
        <v>14</v>
      </c>
      <c r="B60" s="2">
        <v>2000</v>
      </c>
      <c r="C60" s="2">
        <v>5</v>
      </c>
      <c r="D60" s="2" t="s">
        <v>29</v>
      </c>
      <c r="E60" s="3">
        <v>44615</v>
      </c>
      <c r="F60" s="2" t="s">
        <v>288</v>
      </c>
      <c r="G60" s="2" t="s">
        <v>308</v>
      </c>
      <c r="H60" s="2" t="s">
        <v>49</v>
      </c>
      <c r="I60" s="4">
        <v>26060</v>
      </c>
    </row>
    <row r="61" spans="1:9" x14ac:dyDescent="0.25">
      <c r="A61" s="2" t="s">
        <v>21</v>
      </c>
      <c r="B61" s="2">
        <v>2400</v>
      </c>
      <c r="C61" s="2">
        <v>4</v>
      </c>
      <c r="D61" s="2" t="s">
        <v>39</v>
      </c>
      <c r="E61" s="3">
        <v>44634</v>
      </c>
      <c r="F61" s="2" t="s">
        <v>609</v>
      </c>
      <c r="G61" s="2" t="s">
        <v>594</v>
      </c>
      <c r="H61" s="2" t="s">
        <v>49</v>
      </c>
      <c r="I61" s="4">
        <v>29519</v>
      </c>
    </row>
    <row r="62" spans="1:9" x14ac:dyDescent="0.25">
      <c r="A62" s="2" t="s">
        <v>5</v>
      </c>
      <c r="B62" s="2">
        <v>1750</v>
      </c>
      <c r="C62" s="2">
        <v>2</v>
      </c>
      <c r="D62" s="2" t="s">
        <v>40</v>
      </c>
      <c r="E62" s="3">
        <v>44814</v>
      </c>
      <c r="F62" s="2" t="s">
        <v>70</v>
      </c>
      <c r="G62" s="2" t="s">
        <v>499</v>
      </c>
      <c r="H62" s="2" t="s">
        <v>44</v>
      </c>
      <c r="I62" s="4">
        <v>25006</v>
      </c>
    </row>
    <row r="63" spans="1:9" x14ac:dyDescent="0.25">
      <c r="A63" s="2" t="s">
        <v>19</v>
      </c>
      <c r="B63" s="2">
        <v>700</v>
      </c>
      <c r="C63" s="2">
        <v>5</v>
      </c>
      <c r="D63" s="2" t="s">
        <v>29</v>
      </c>
      <c r="E63" s="3">
        <v>44664</v>
      </c>
      <c r="F63" s="2" t="s">
        <v>199</v>
      </c>
      <c r="G63" s="2" t="s">
        <v>200</v>
      </c>
      <c r="H63" s="2" t="s">
        <v>49</v>
      </c>
      <c r="I63" s="4">
        <v>34675</v>
      </c>
    </row>
    <row r="64" spans="1:9" x14ac:dyDescent="0.25">
      <c r="A64" s="2" t="s">
        <v>19</v>
      </c>
      <c r="B64" s="2">
        <v>700</v>
      </c>
      <c r="C64" s="2">
        <v>1</v>
      </c>
      <c r="D64" s="2" t="s">
        <v>32</v>
      </c>
      <c r="E64" s="3">
        <v>44740</v>
      </c>
      <c r="F64" s="2" t="s">
        <v>585</v>
      </c>
      <c r="G64" s="2" t="s">
        <v>276</v>
      </c>
      <c r="H64" s="2" t="s">
        <v>44</v>
      </c>
      <c r="I64" s="4">
        <v>19843</v>
      </c>
    </row>
    <row r="65" spans="1:9" x14ac:dyDescent="0.25">
      <c r="A65" s="2" t="s">
        <v>16</v>
      </c>
      <c r="B65" s="2">
        <v>1400</v>
      </c>
      <c r="C65" s="2">
        <v>2</v>
      </c>
      <c r="D65" s="2" t="s">
        <v>40</v>
      </c>
      <c r="E65" s="3">
        <v>44857</v>
      </c>
      <c r="F65" s="2" t="s">
        <v>470</v>
      </c>
      <c r="G65" s="2" t="s">
        <v>83</v>
      </c>
      <c r="H65" s="2" t="s">
        <v>49</v>
      </c>
      <c r="I65" s="4">
        <v>26920</v>
      </c>
    </row>
    <row r="66" spans="1:9" x14ac:dyDescent="0.25">
      <c r="A66" s="2" t="s">
        <v>12</v>
      </c>
      <c r="B66" s="2">
        <v>6500</v>
      </c>
      <c r="C66" s="2">
        <v>5</v>
      </c>
      <c r="D66" s="2" t="s">
        <v>38</v>
      </c>
      <c r="E66" s="3">
        <v>44836</v>
      </c>
      <c r="F66" s="2" t="s">
        <v>568</v>
      </c>
      <c r="G66" s="2" t="s">
        <v>529</v>
      </c>
      <c r="H66" s="2" t="s">
        <v>44</v>
      </c>
      <c r="I66" s="4">
        <v>22705</v>
      </c>
    </row>
    <row r="67" spans="1:9" x14ac:dyDescent="0.25">
      <c r="A67" s="2" t="s">
        <v>10</v>
      </c>
      <c r="B67" s="2">
        <v>1450</v>
      </c>
      <c r="C67" s="2">
        <v>5</v>
      </c>
      <c r="D67" s="2" t="s">
        <v>37</v>
      </c>
      <c r="E67" s="3">
        <v>44776</v>
      </c>
      <c r="F67" s="2" t="s">
        <v>547</v>
      </c>
      <c r="G67" s="2" t="s">
        <v>83</v>
      </c>
      <c r="H67" s="2" t="s">
        <v>49</v>
      </c>
      <c r="I67" s="4">
        <v>32644</v>
      </c>
    </row>
    <row r="68" spans="1:9" x14ac:dyDescent="0.25">
      <c r="A68" s="2" t="s">
        <v>18</v>
      </c>
      <c r="B68" s="2">
        <v>3000</v>
      </c>
      <c r="C68" s="2">
        <v>5</v>
      </c>
      <c r="D68" s="2" t="s">
        <v>32</v>
      </c>
      <c r="E68" s="3">
        <v>44914</v>
      </c>
      <c r="F68" s="2" t="s">
        <v>92</v>
      </c>
      <c r="G68" s="2" t="s">
        <v>113</v>
      </c>
      <c r="H68" s="2" t="s">
        <v>44</v>
      </c>
      <c r="I68" s="4">
        <v>33586</v>
      </c>
    </row>
    <row r="69" spans="1:9" x14ac:dyDescent="0.25">
      <c r="A69" s="2" t="s">
        <v>27</v>
      </c>
      <c r="B69" s="2">
        <v>1500</v>
      </c>
      <c r="C69" s="2">
        <v>5</v>
      </c>
      <c r="D69" s="2" t="s">
        <v>29</v>
      </c>
      <c r="E69" s="3">
        <v>44732</v>
      </c>
      <c r="F69" s="2" t="s">
        <v>76</v>
      </c>
      <c r="G69" s="2" t="s">
        <v>297</v>
      </c>
      <c r="H69" s="2" t="s">
        <v>49</v>
      </c>
      <c r="I69" s="4">
        <v>25035</v>
      </c>
    </row>
    <row r="70" spans="1:9" x14ac:dyDescent="0.25">
      <c r="A70" s="2" t="s">
        <v>24</v>
      </c>
      <c r="B70" s="2">
        <v>2000</v>
      </c>
      <c r="C70" s="2">
        <v>2</v>
      </c>
      <c r="D70" s="2" t="s">
        <v>35</v>
      </c>
      <c r="E70" s="3">
        <v>44881</v>
      </c>
      <c r="F70" s="2" t="s">
        <v>158</v>
      </c>
      <c r="G70" s="2" t="s">
        <v>411</v>
      </c>
      <c r="H70" s="2" t="s">
        <v>49</v>
      </c>
      <c r="I70" s="4">
        <v>32270</v>
      </c>
    </row>
    <row r="71" spans="1:9" x14ac:dyDescent="0.25">
      <c r="A71" s="2" t="s">
        <v>18</v>
      </c>
      <c r="B71" s="2">
        <v>3000</v>
      </c>
      <c r="C71" s="2">
        <v>2</v>
      </c>
      <c r="D71" s="2" t="s">
        <v>30</v>
      </c>
      <c r="E71" s="3">
        <v>44745</v>
      </c>
      <c r="F71" s="2" t="s">
        <v>111</v>
      </c>
      <c r="G71" s="2" t="s">
        <v>51</v>
      </c>
      <c r="H71" s="2" t="s">
        <v>44</v>
      </c>
      <c r="I71" s="4">
        <v>22664</v>
      </c>
    </row>
    <row r="72" spans="1:9" x14ac:dyDescent="0.25">
      <c r="A72" s="2" t="s">
        <v>27</v>
      </c>
      <c r="B72" s="2">
        <v>1500</v>
      </c>
      <c r="C72" s="2">
        <v>1</v>
      </c>
      <c r="D72" s="2" t="s">
        <v>33</v>
      </c>
      <c r="E72" s="3">
        <v>44746</v>
      </c>
      <c r="F72" s="2" t="s">
        <v>74</v>
      </c>
      <c r="G72" s="2" t="s">
        <v>75</v>
      </c>
      <c r="H72" s="2" t="s">
        <v>44</v>
      </c>
      <c r="I72" s="4">
        <v>31046</v>
      </c>
    </row>
    <row r="73" spans="1:9" x14ac:dyDescent="0.25">
      <c r="A73" s="2" t="s">
        <v>19</v>
      </c>
      <c r="B73" s="2">
        <v>700</v>
      </c>
      <c r="C73" s="2">
        <v>4</v>
      </c>
      <c r="D73" s="2" t="s">
        <v>35</v>
      </c>
      <c r="E73" s="3">
        <v>44787</v>
      </c>
      <c r="F73" s="2" t="s">
        <v>84</v>
      </c>
      <c r="G73" s="2" t="s">
        <v>99</v>
      </c>
      <c r="H73" s="2" t="s">
        <v>44</v>
      </c>
      <c r="I73" s="4">
        <v>26109</v>
      </c>
    </row>
    <row r="74" spans="1:9" x14ac:dyDescent="0.25">
      <c r="A74" s="2" t="s">
        <v>17</v>
      </c>
      <c r="B74" s="2">
        <v>1550</v>
      </c>
      <c r="C74" s="2">
        <v>3</v>
      </c>
      <c r="D74" s="2" t="s">
        <v>30</v>
      </c>
      <c r="E74" s="3">
        <v>44877</v>
      </c>
      <c r="F74" s="2" t="s">
        <v>260</v>
      </c>
      <c r="G74" s="2" t="s">
        <v>261</v>
      </c>
      <c r="H74" s="2" t="s">
        <v>49</v>
      </c>
      <c r="I74" s="4">
        <v>33035</v>
      </c>
    </row>
    <row r="75" spans="1:9" x14ac:dyDescent="0.25">
      <c r="A75" s="2" t="s">
        <v>19</v>
      </c>
      <c r="B75" s="2">
        <v>700</v>
      </c>
      <c r="C75" s="2">
        <v>2</v>
      </c>
      <c r="D75" s="2" t="s">
        <v>39</v>
      </c>
      <c r="E75" s="3">
        <v>44637</v>
      </c>
      <c r="F75" s="2" t="s">
        <v>173</v>
      </c>
      <c r="G75" s="2" t="s">
        <v>278</v>
      </c>
      <c r="H75" s="2" t="s">
        <v>44</v>
      </c>
      <c r="I75" s="4">
        <v>30474</v>
      </c>
    </row>
    <row r="76" spans="1:9" x14ac:dyDescent="0.25">
      <c r="A76" s="2" t="s">
        <v>5</v>
      </c>
      <c r="B76" s="2">
        <v>1750</v>
      </c>
      <c r="C76" s="2">
        <v>5</v>
      </c>
      <c r="D76" s="2" t="s">
        <v>33</v>
      </c>
      <c r="E76" s="3">
        <v>44665</v>
      </c>
      <c r="F76" s="2" t="s">
        <v>120</v>
      </c>
      <c r="G76" s="2" t="s">
        <v>226</v>
      </c>
      <c r="H76" s="2" t="s">
        <v>44</v>
      </c>
      <c r="I76" s="4">
        <v>31750</v>
      </c>
    </row>
    <row r="77" spans="1:9" x14ac:dyDescent="0.25">
      <c r="A77" s="2" t="s">
        <v>11</v>
      </c>
      <c r="B77" s="2">
        <v>4500</v>
      </c>
      <c r="C77" s="2">
        <v>3</v>
      </c>
      <c r="D77" s="2" t="s">
        <v>37</v>
      </c>
      <c r="E77" s="3">
        <v>44816</v>
      </c>
      <c r="F77" s="2" t="s">
        <v>570</v>
      </c>
      <c r="G77" s="2" t="s">
        <v>262</v>
      </c>
      <c r="H77" s="2" t="s">
        <v>49</v>
      </c>
      <c r="I77" s="4">
        <v>23974</v>
      </c>
    </row>
    <row r="78" spans="1:9" x14ac:dyDescent="0.25">
      <c r="A78" s="2" t="s">
        <v>6</v>
      </c>
      <c r="B78" s="2">
        <v>1200</v>
      </c>
      <c r="C78" s="2">
        <v>4</v>
      </c>
      <c r="D78" s="2" t="s">
        <v>36</v>
      </c>
      <c r="E78" s="3">
        <v>44803</v>
      </c>
      <c r="F78" s="2" t="s">
        <v>257</v>
      </c>
      <c r="G78" s="2" t="s">
        <v>273</v>
      </c>
      <c r="H78" s="2" t="s">
        <v>44</v>
      </c>
      <c r="I78" s="4">
        <v>24203</v>
      </c>
    </row>
    <row r="79" spans="1:9" x14ac:dyDescent="0.25">
      <c r="A79" s="2" t="s">
        <v>8</v>
      </c>
      <c r="B79" s="2">
        <v>5500</v>
      </c>
      <c r="C79" s="2">
        <v>2</v>
      </c>
      <c r="D79" s="2" t="s">
        <v>33</v>
      </c>
      <c r="E79" s="3">
        <v>44768</v>
      </c>
      <c r="F79" s="2" t="s">
        <v>107</v>
      </c>
      <c r="G79" s="2" t="s">
        <v>231</v>
      </c>
      <c r="H79" s="2" t="s">
        <v>49</v>
      </c>
      <c r="I79" s="4">
        <v>30856</v>
      </c>
    </row>
    <row r="80" spans="1:9" x14ac:dyDescent="0.25">
      <c r="A80" s="2" t="s">
        <v>13</v>
      </c>
      <c r="B80" s="2">
        <v>2300</v>
      </c>
      <c r="C80" s="2">
        <v>3</v>
      </c>
      <c r="D80" s="2" t="s">
        <v>34</v>
      </c>
      <c r="E80" s="3">
        <v>44664</v>
      </c>
      <c r="F80" s="2" t="s">
        <v>155</v>
      </c>
      <c r="G80" s="2" t="s">
        <v>141</v>
      </c>
      <c r="H80" s="2" t="s">
        <v>44</v>
      </c>
      <c r="I80" s="4">
        <v>32109</v>
      </c>
    </row>
    <row r="81" spans="1:9" x14ac:dyDescent="0.25">
      <c r="A81" s="2" t="s">
        <v>22</v>
      </c>
      <c r="B81" s="2">
        <v>5200</v>
      </c>
      <c r="C81" s="2">
        <v>2</v>
      </c>
      <c r="D81" s="2" t="s">
        <v>35</v>
      </c>
      <c r="E81" s="3">
        <v>44649</v>
      </c>
      <c r="F81" s="2" t="s">
        <v>531</v>
      </c>
      <c r="G81" s="2" t="s">
        <v>532</v>
      </c>
      <c r="H81" s="2" t="s">
        <v>44</v>
      </c>
      <c r="I81" s="4">
        <v>23498</v>
      </c>
    </row>
    <row r="82" spans="1:9" x14ac:dyDescent="0.25">
      <c r="A82" s="2" t="s">
        <v>20</v>
      </c>
      <c r="B82" s="2">
        <v>2600</v>
      </c>
      <c r="C82" s="2">
        <v>3</v>
      </c>
      <c r="D82" s="2" t="s">
        <v>37</v>
      </c>
      <c r="E82" s="3">
        <v>44697</v>
      </c>
      <c r="F82" s="2" t="s">
        <v>163</v>
      </c>
      <c r="G82" s="2" t="s">
        <v>516</v>
      </c>
      <c r="H82" s="2" t="s">
        <v>49</v>
      </c>
      <c r="I82" s="4">
        <v>25301</v>
      </c>
    </row>
    <row r="83" spans="1:9" x14ac:dyDescent="0.25">
      <c r="A83" s="2" t="s">
        <v>16</v>
      </c>
      <c r="B83" s="2">
        <v>1400</v>
      </c>
      <c r="C83" s="2">
        <v>2</v>
      </c>
      <c r="D83" s="2" t="s">
        <v>35</v>
      </c>
      <c r="E83" s="3">
        <v>44901</v>
      </c>
      <c r="F83" s="2" t="s">
        <v>204</v>
      </c>
      <c r="G83" s="2" t="s">
        <v>203</v>
      </c>
      <c r="H83" s="2" t="s">
        <v>49</v>
      </c>
      <c r="I83" s="4">
        <v>29783</v>
      </c>
    </row>
    <row r="84" spans="1:9" x14ac:dyDescent="0.25">
      <c r="A84" s="2" t="s">
        <v>24</v>
      </c>
      <c r="B84" s="2">
        <v>2000</v>
      </c>
      <c r="C84" s="2">
        <v>4</v>
      </c>
      <c r="D84" s="2" t="s">
        <v>36</v>
      </c>
      <c r="E84" s="3">
        <v>44593</v>
      </c>
      <c r="F84" s="2" t="s">
        <v>66</v>
      </c>
      <c r="G84" s="2" t="s">
        <v>123</v>
      </c>
      <c r="H84" s="2" t="s">
        <v>44</v>
      </c>
      <c r="I84" s="4">
        <v>18687</v>
      </c>
    </row>
    <row r="85" spans="1:9" x14ac:dyDescent="0.25">
      <c r="A85" s="2" t="s">
        <v>8</v>
      </c>
      <c r="B85" s="2">
        <v>5500</v>
      </c>
      <c r="C85" s="2">
        <v>4</v>
      </c>
      <c r="D85" s="2" t="s">
        <v>29</v>
      </c>
      <c r="E85" s="3">
        <v>44792</v>
      </c>
      <c r="F85" s="2" t="s">
        <v>74</v>
      </c>
      <c r="G85" s="2" t="s">
        <v>63</v>
      </c>
      <c r="H85" s="2" t="s">
        <v>44</v>
      </c>
      <c r="I85" s="4">
        <v>26891</v>
      </c>
    </row>
    <row r="86" spans="1:9" x14ac:dyDescent="0.25">
      <c r="A86" s="2" t="s">
        <v>15</v>
      </c>
      <c r="B86" s="2">
        <v>1900</v>
      </c>
      <c r="C86" s="2">
        <v>3</v>
      </c>
      <c r="D86" s="2" t="s">
        <v>37</v>
      </c>
      <c r="E86" s="3">
        <v>44922</v>
      </c>
      <c r="F86" s="2" t="s">
        <v>441</v>
      </c>
      <c r="G86" s="2" t="s">
        <v>400</v>
      </c>
      <c r="H86" s="2" t="s">
        <v>44</v>
      </c>
      <c r="I86" s="4">
        <v>35440</v>
      </c>
    </row>
    <row r="87" spans="1:9" x14ac:dyDescent="0.25">
      <c r="A87" s="2" t="s">
        <v>22</v>
      </c>
      <c r="B87" s="2">
        <v>5200</v>
      </c>
      <c r="C87" s="2">
        <v>5</v>
      </c>
      <c r="D87" s="2" t="s">
        <v>30</v>
      </c>
      <c r="E87" s="3">
        <v>44675</v>
      </c>
      <c r="F87" s="2" t="s">
        <v>45</v>
      </c>
      <c r="G87" s="2" t="s">
        <v>46</v>
      </c>
      <c r="H87" s="2" t="s">
        <v>44</v>
      </c>
      <c r="I87" s="4">
        <v>32614</v>
      </c>
    </row>
    <row r="88" spans="1:9" x14ac:dyDescent="0.25">
      <c r="A88" s="2" t="s">
        <v>9</v>
      </c>
      <c r="B88" s="2">
        <v>1500</v>
      </c>
      <c r="C88" s="2">
        <v>5</v>
      </c>
      <c r="D88" s="2" t="s">
        <v>34</v>
      </c>
      <c r="E88" s="3">
        <v>44827</v>
      </c>
      <c r="F88" s="2" t="s">
        <v>401</v>
      </c>
      <c r="G88" s="2" t="s">
        <v>152</v>
      </c>
      <c r="H88" s="2" t="s">
        <v>49</v>
      </c>
      <c r="I88" s="4">
        <v>26474</v>
      </c>
    </row>
    <row r="89" spans="1:9" x14ac:dyDescent="0.25">
      <c r="A89" s="2" t="s">
        <v>12</v>
      </c>
      <c r="B89" s="2">
        <v>6500</v>
      </c>
      <c r="C89" s="2">
        <v>5</v>
      </c>
      <c r="D89" s="2" t="s">
        <v>33</v>
      </c>
      <c r="E89" s="3">
        <v>44655</v>
      </c>
      <c r="F89" s="2" t="s">
        <v>134</v>
      </c>
      <c r="G89" s="2" t="s">
        <v>55</v>
      </c>
      <c r="H89" s="2" t="s">
        <v>49</v>
      </c>
      <c r="I89" s="4">
        <v>19488</v>
      </c>
    </row>
    <row r="90" spans="1:9" x14ac:dyDescent="0.25">
      <c r="A90" s="2" t="s">
        <v>24</v>
      </c>
      <c r="B90" s="2">
        <v>2000</v>
      </c>
      <c r="C90" s="2">
        <v>4</v>
      </c>
      <c r="D90" s="2" t="s">
        <v>37</v>
      </c>
      <c r="E90" s="3">
        <v>44780</v>
      </c>
      <c r="F90" s="2" t="s">
        <v>237</v>
      </c>
      <c r="G90" s="2" t="s">
        <v>238</v>
      </c>
      <c r="H90" s="2" t="s">
        <v>49</v>
      </c>
      <c r="I90" s="4">
        <v>23012</v>
      </c>
    </row>
    <row r="91" spans="1:9" x14ac:dyDescent="0.25">
      <c r="A91" s="2" t="s">
        <v>11</v>
      </c>
      <c r="B91" s="2">
        <v>4500</v>
      </c>
      <c r="C91" s="2">
        <v>3</v>
      </c>
      <c r="D91" s="2" t="s">
        <v>34</v>
      </c>
      <c r="E91" s="3">
        <v>44707</v>
      </c>
      <c r="F91" s="2" t="s">
        <v>80</v>
      </c>
      <c r="G91" s="2" t="s">
        <v>81</v>
      </c>
      <c r="H91" s="2" t="s">
        <v>44</v>
      </c>
      <c r="I91" s="4">
        <v>31321</v>
      </c>
    </row>
    <row r="92" spans="1:9" x14ac:dyDescent="0.25">
      <c r="A92" s="2" t="s">
        <v>10</v>
      </c>
      <c r="B92" s="2">
        <v>1450</v>
      </c>
      <c r="C92" s="2">
        <v>3</v>
      </c>
      <c r="D92" s="2" t="s">
        <v>41</v>
      </c>
      <c r="E92" s="3">
        <v>44660</v>
      </c>
      <c r="F92" s="2" t="s">
        <v>76</v>
      </c>
      <c r="G92" s="2" t="s">
        <v>628</v>
      </c>
      <c r="H92" s="2" t="s">
        <v>49</v>
      </c>
      <c r="I92" s="4">
        <v>24450</v>
      </c>
    </row>
    <row r="93" spans="1:9" x14ac:dyDescent="0.25">
      <c r="A93" s="2" t="s">
        <v>23</v>
      </c>
      <c r="B93" s="2">
        <v>1500</v>
      </c>
      <c r="C93" s="2">
        <v>1</v>
      </c>
      <c r="D93" s="2" t="s">
        <v>34</v>
      </c>
      <c r="E93" s="3">
        <v>44866</v>
      </c>
      <c r="F93" s="2" t="s">
        <v>437</v>
      </c>
      <c r="G93" s="2" t="s">
        <v>203</v>
      </c>
      <c r="H93" s="2" t="s">
        <v>44</v>
      </c>
      <c r="I93" s="4">
        <v>36608</v>
      </c>
    </row>
    <row r="94" spans="1:9" x14ac:dyDescent="0.25">
      <c r="A94" s="2" t="s">
        <v>26</v>
      </c>
      <c r="B94" s="2">
        <v>1100</v>
      </c>
      <c r="C94" s="2">
        <v>3</v>
      </c>
      <c r="D94" s="2" t="s">
        <v>29</v>
      </c>
      <c r="E94" s="3">
        <v>44572</v>
      </c>
      <c r="F94" s="2" t="s">
        <v>76</v>
      </c>
      <c r="G94" s="2" t="s">
        <v>297</v>
      </c>
      <c r="H94" s="2" t="s">
        <v>49</v>
      </c>
      <c r="I94" s="4">
        <v>25035</v>
      </c>
    </row>
    <row r="95" spans="1:9" x14ac:dyDescent="0.25">
      <c r="A95" s="2" t="s">
        <v>15</v>
      </c>
      <c r="B95" s="2">
        <v>1900</v>
      </c>
      <c r="C95" s="2">
        <v>2</v>
      </c>
      <c r="D95" s="2" t="s">
        <v>41</v>
      </c>
      <c r="E95" s="3">
        <v>44601</v>
      </c>
      <c r="F95" s="2" t="s">
        <v>627</v>
      </c>
      <c r="G95" s="2" t="s">
        <v>308</v>
      </c>
      <c r="H95" s="2" t="s">
        <v>44</v>
      </c>
      <c r="I95" s="4">
        <v>31189</v>
      </c>
    </row>
    <row r="96" spans="1:9" x14ac:dyDescent="0.25">
      <c r="A96" s="2" t="s">
        <v>12</v>
      </c>
      <c r="B96" s="2">
        <v>6500</v>
      </c>
      <c r="C96" s="2">
        <v>1</v>
      </c>
      <c r="D96" s="2" t="s">
        <v>32</v>
      </c>
      <c r="E96" s="3">
        <v>44562</v>
      </c>
      <c r="F96" s="2" t="s">
        <v>217</v>
      </c>
      <c r="G96" s="2" t="s">
        <v>218</v>
      </c>
      <c r="H96" s="2" t="s">
        <v>44</v>
      </c>
      <c r="I96" s="4">
        <v>22207</v>
      </c>
    </row>
    <row r="97" spans="1:9" x14ac:dyDescent="0.25">
      <c r="A97" s="2" t="s">
        <v>13</v>
      </c>
      <c r="B97" s="2">
        <v>2300</v>
      </c>
      <c r="C97" s="2">
        <v>2</v>
      </c>
      <c r="D97" s="2" t="s">
        <v>32</v>
      </c>
      <c r="E97" s="3">
        <v>44848</v>
      </c>
      <c r="F97" s="2" t="s">
        <v>137</v>
      </c>
      <c r="G97" s="2" t="s">
        <v>174</v>
      </c>
      <c r="H97" s="2" t="s">
        <v>49</v>
      </c>
      <c r="I97" s="4">
        <v>22798</v>
      </c>
    </row>
    <row r="98" spans="1:9" x14ac:dyDescent="0.25">
      <c r="A98" s="2" t="s">
        <v>9</v>
      </c>
      <c r="B98" s="2">
        <v>1500</v>
      </c>
      <c r="C98" s="2">
        <v>3</v>
      </c>
      <c r="D98" s="2" t="s">
        <v>37</v>
      </c>
      <c r="E98" s="3">
        <v>44825</v>
      </c>
      <c r="F98" s="2" t="s">
        <v>173</v>
      </c>
      <c r="G98" s="2" t="s">
        <v>75</v>
      </c>
      <c r="H98" s="2" t="s">
        <v>44</v>
      </c>
      <c r="I98" s="4">
        <v>29655</v>
      </c>
    </row>
    <row r="99" spans="1:9" x14ac:dyDescent="0.25">
      <c r="A99" s="2" t="s">
        <v>25</v>
      </c>
      <c r="B99" s="2">
        <v>2500</v>
      </c>
      <c r="C99" s="2">
        <v>2</v>
      </c>
      <c r="D99" s="2" t="s">
        <v>31</v>
      </c>
      <c r="E99" s="3">
        <v>44807</v>
      </c>
      <c r="F99" s="2" t="s">
        <v>260</v>
      </c>
      <c r="G99" s="2" t="s">
        <v>203</v>
      </c>
      <c r="H99" s="2" t="s">
        <v>49</v>
      </c>
      <c r="I99" s="4">
        <v>29734</v>
      </c>
    </row>
    <row r="100" spans="1:9" x14ac:dyDescent="0.25">
      <c r="A100" s="2" t="s">
        <v>10</v>
      </c>
      <c r="B100" s="2">
        <v>1450</v>
      </c>
      <c r="C100" s="2">
        <v>2</v>
      </c>
      <c r="D100" s="2" t="s">
        <v>32</v>
      </c>
      <c r="E100" s="3">
        <v>44694</v>
      </c>
      <c r="F100" s="2" t="s">
        <v>190</v>
      </c>
      <c r="G100" s="2" t="s">
        <v>83</v>
      </c>
      <c r="H100" s="2" t="s">
        <v>44</v>
      </c>
      <c r="I100" s="4">
        <v>32913</v>
      </c>
    </row>
    <row r="101" spans="1:9" x14ac:dyDescent="0.25">
      <c r="A101" s="2" t="s">
        <v>15</v>
      </c>
      <c r="B101" s="2">
        <v>1900</v>
      </c>
      <c r="C101" s="2">
        <v>5</v>
      </c>
      <c r="D101" s="2" t="s">
        <v>29</v>
      </c>
      <c r="E101" s="3">
        <v>44782</v>
      </c>
      <c r="F101" s="2" t="s">
        <v>419</v>
      </c>
      <c r="G101" s="2" t="s">
        <v>186</v>
      </c>
      <c r="H101" s="2" t="s">
        <v>44</v>
      </c>
      <c r="I101" s="4">
        <v>35250</v>
      </c>
    </row>
    <row r="102" spans="1:9" x14ac:dyDescent="0.25">
      <c r="A102" s="2" t="s">
        <v>17</v>
      </c>
      <c r="B102" s="2">
        <v>1550</v>
      </c>
      <c r="C102" s="2">
        <v>1</v>
      </c>
      <c r="D102" s="2" t="s">
        <v>38</v>
      </c>
      <c r="E102" s="3">
        <v>44685</v>
      </c>
      <c r="F102" s="2" t="s">
        <v>293</v>
      </c>
      <c r="G102" s="2" t="s">
        <v>586</v>
      </c>
      <c r="H102" s="2" t="s">
        <v>49</v>
      </c>
      <c r="I102" s="4">
        <v>31014</v>
      </c>
    </row>
    <row r="103" spans="1:9" x14ac:dyDescent="0.25">
      <c r="A103" s="2" t="s">
        <v>10</v>
      </c>
      <c r="B103" s="2">
        <v>1450</v>
      </c>
      <c r="C103" s="2">
        <v>5</v>
      </c>
      <c r="D103" s="2" t="s">
        <v>32</v>
      </c>
      <c r="E103" s="3">
        <v>44720</v>
      </c>
      <c r="F103" s="2" t="s">
        <v>72</v>
      </c>
      <c r="G103" s="2" t="s">
        <v>73</v>
      </c>
      <c r="H103" s="2" t="s">
        <v>49</v>
      </c>
      <c r="I103" s="4">
        <v>30167</v>
      </c>
    </row>
    <row r="104" spans="1:9" x14ac:dyDescent="0.25">
      <c r="A104" s="2" t="s">
        <v>19</v>
      </c>
      <c r="B104" s="2">
        <v>700</v>
      </c>
      <c r="C104" s="2">
        <v>3</v>
      </c>
      <c r="D104" s="2" t="s">
        <v>35</v>
      </c>
      <c r="E104" s="3">
        <v>44858</v>
      </c>
      <c r="F104" s="2" t="s">
        <v>401</v>
      </c>
      <c r="G104" s="2" t="s">
        <v>292</v>
      </c>
      <c r="H104" s="2" t="s">
        <v>49</v>
      </c>
      <c r="I104" s="4">
        <v>21420</v>
      </c>
    </row>
    <row r="105" spans="1:9" x14ac:dyDescent="0.25">
      <c r="A105" s="2" t="s">
        <v>19</v>
      </c>
      <c r="B105" s="2">
        <v>700</v>
      </c>
      <c r="C105" s="2">
        <v>1</v>
      </c>
      <c r="D105" s="2" t="s">
        <v>30</v>
      </c>
      <c r="E105" s="3">
        <v>44588</v>
      </c>
      <c r="F105" s="2" t="s">
        <v>402</v>
      </c>
      <c r="G105" s="2" t="s">
        <v>205</v>
      </c>
      <c r="H105" s="2" t="s">
        <v>49</v>
      </c>
      <c r="I105" s="4">
        <v>26319</v>
      </c>
    </row>
    <row r="106" spans="1:9" x14ac:dyDescent="0.25">
      <c r="A106" s="2" t="s">
        <v>17</v>
      </c>
      <c r="B106" s="2">
        <v>1550</v>
      </c>
      <c r="C106" s="2">
        <v>5</v>
      </c>
      <c r="D106" s="2" t="s">
        <v>30</v>
      </c>
      <c r="E106" s="3">
        <v>44734</v>
      </c>
      <c r="F106" s="2" t="s">
        <v>68</v>
      </c>
      <c r="G106" s="2" t="s">
        <v>69</v>
      </c>
      <c r="H106" s="2" t="s">
        <v>49</v>
      </c>
      <c r="I106" s="4">
        <v>25248</v>
      </c>
    </row>
    <row r="107" spans="1:9" x14ac:dyDescent="0.25">
      <c r="A107" s="2" t="s">
        <v>25</v>
      </c>
      <c r="B107" s="2">
        <v>2500</v>
      </c>
      <c r="C107" s="2">
        <v>1</v>
      </c>
      <c r="D107" s="2" t="s">
        <v>33</v>
      </c>
      <c r="E107" s="3">
        <v>44623</v>
      </c>
      <c r="F107" s="2" t="s">
        <v>256</v>
      </c>
      <c r="G107" s="2" t="s">
        <v>441</v>
      </c>
      <c r="H107" s="2" t="s">
        <v>44</v>
      </c>
      <c r="I107" s="4">
        <v>21187</v>
      </c>
    </row>
    <row r="108" spans="1:9" x14ac:dyDescent="0.25">
      <c r="A108" s="2" t="s">
        <v>10</v>
      </c>
      <c r="B108" s="2">
        <v>1450</v>
      </c>
      <c r="C108" s="2">
        <v>1</v>
      </c>
      <c r="D108" s="2" t="s">
        <v>36</v>
      </c>
      <c r="E108" s="3">
        <v>44835</v>
      </c>
      <c r="F108" s="2" t="s">
        <v>87</v>
      </c>
      <c r="G108" s="2" t="s">
        <v>588</v>
      </c>
      <c r="H108" s="2" t="s">
        <v>44</v>
      </c>
      <c r="I108" s="4">
        <v>28528</v>
      </c>
    </row>
    <row r="109" spans="1:9" x14ac:dyDescent="0.25">
      <c r="A109" s="2" t="s">
        <v>25</v>
      </c>
      <c r="B109" s="2">
        <v>2500</v>
      </c>
      <c r="C109" s="2">
        <v>1</v>
      </c>
      <c r="D109" s="2" t="s">
        <v>36</v>
      </c>
      <c r="E109" s="3">
        <v>44727</v>
      </c>
      <c r="F109" s="2" t="s">
        <v>505</v>
      </c>
      <c r="G109" s="2" t="s">
        <v>274</v>
      </c>
      <c r="H109" s="2" t="s">
        <v>44</v>
      </c>
      <c r="I109" s="4">
        <v>24346</v>
      </c>
    </row>
    <row r="110" spans="1:9" x14ac:dyDescent="0.25">
      <c r="A110" s="2" t="s">
        <v>8</v>
      </c>
      <c r="B110" s="2">
        <v>5500</v>
      </c>
      <c r="C110" s="2">
        <v>5</v>
      </c>
      <c r="D110" s="2" t="s">
        <v>29</v>
      </c>
      <c r="E110" s="3">
        <v>44914</v>
      </c>
      <c r="F110" s="2" t="s">
        <v>52</v>
      </c>
      <c r="G110" s="2" t="s">
        <v>232</v>
      </c>
      <c r="H110" s="2" t="s">
        <v>44</v>
      </c>
      <c r="I110" s="4">
        <v>34971</v>
      </c>
    </row>
    <row r="111" spans="1:9" x14ac:dyDescent="0.25">
      <c r="A111" s="2" t="s">
        <v>14</v>
      </c>
      <c r="B111" s="2">
        <v>2000</v>
      </c>
      <c r="C111" s="2">
        <v>2</v>
      </c>
      <c r="D111" s="2" t="s">
        <v>38</v>
      </c>
      <c r="E111" s="3">
        <v>44563</v>
      </c>
      <c r="F111" s="2" t="s">
        <v>228</v>
      </c>
      <c r="G111" s="2" t="s">
        <v>132</v>
      </c>
      <c r="H111" s="2" t="s">
        <v>44</v>
      </c>
      <c r="I111" s="4">
        <v>32632</v>
      </c>
    </row>
    <row r="112" spans="1:9" x14ac:dyDescent="0.25">
      <c r="A112" s="2" t="s">
        <v>9</v>
      </c>
      <c r="B112" s="2">
        <v>1500</v>
      </c>
      <c r="C112" s="2">
        <v>4</v>
      </c>
      <c r="D112" s="2" t="s">
        <v>39</v>
      </c>
      <c r="E112" s="3">
        <v>44697</v>
      </c>
      <c r="F112" s="2" t="s">
        <v>492</v>
      </c>
      <c r="G112" s="2" t="s">
        <v>99</v>
      </c>
      <c r="H112" s="2" t="s">
        <v>44</v>
      </c>
      <c r="I112" s="4">
        <v>26635</v>
      </c>
    </row>
    <row r="113" spans="1:9" x14ac:dyDescent="0.25">
      <c r="A113" s="2" t="s">
        <v>18</v>
      </c>
      <c r="B113" s="2">
        <v>3000</v>
      </c>
      <c r="C113" s="2">
        <v>2</v>
      </c>
      <c r="D113" s="2" t="s">
        <v>39</v>
      </c>
      <c r="E113" s="3">
        <v>44881</v>
      </c>
      <c r="F113" s="2" t="s">
        <v>247</v>
      </c>
      <c r="G113" s="2" t="s">
        <v>248</v>
      </c>
      <c r="H113" s="2" t="s">
        <v>44</v>
      </c>
      <c r="I113" s="4">
        <v>35911</v>
      </c>
    </row>
    <row r="114" spans="1:9" x14ac:dyDescent="0.25">
      <c r="A114" s="2" t="s">
        <v>11</v>
      </c>
      <c r="B114" s="2">
        <v>4500</v>
      </c>
      <c r="C114" s="2">
        <v>5</v>
      </c>
      <c r="D114" s="2" t="s">
        <v>37</v>
      </c>
      <c r="E114" s="3">
        <v>44693</v>
      </c>
      <c r="F114" s="2" t="s">
        <v>551</v>
      </c>
      <c r="G114" s="2" t="s">
        <v>198</v>
      </c>
      <c r="H114" s="2" t="s">
        <v>44</v>
      </c>
      <c r="I114" s="4">
        <v>25456</v>
      </c>
    </row>
    <row r="115" spans="1:9" x14ac:dyDescent="0.25">
      <c r="A115" s="2" t="s">
        <v>15</v>
      </c>
      <c r="B115" s="2">
        <v>1900</v>
      </c>
      <c r="C115" s="2">
        <v>5</v>
      </c>
      <c r="D115" s="2" t="s">
        <v>32</v>
      </c>
      <c r="E115" s="3">
        <v>44797</v>
      </c>
      <c r="F115" s="2" t="s">
        <v>420</v>
      </c>
      <c r="G115" s="2" t="s">
        <v>421</v>
      </c>
      <c r="H115" s="2" t="s">
        <v>44</v>
      </c>
      <c r="I115" s="4">
        <v>36441</v>
      </c>
    </row>
    <row r="116" spans="1:9" x14ac:dyDescent="0.25">
      <c r="A116" s="2" t="s">
        <v>27</v>
      </c>
      <c r="B116" s="2">
        <v>1500</v>
      </c>
      <c r="C116" s="2">
        <v>5</v>
      </c>
      <c r="D116" s="2" t="s">
        <v>37</v>
      </c>
      <c r="E116" s="3">
        <v>44769</v>
      </c>
      <c r="F116" s="2" t="s">
        <v>462</v>
      </c>
      <c r="G116" s="2" t="s">
        <v>75</v>
      </c>
      <c r="H116" s="2" t="s">
        <v>49</v>
      </c>
      <c r="I116" s="4">
        <v>22979</v>
      </c>
    </row>
    <row r="117" spans="1:9" x14ac:dyDescent="0.25">
      <c r="A117" s="2" t="s">
        <v>8</v>
      </c>
      <c r="B117" s="2">
        <v>5500</v>
      </c>
      <c r="C117" s="2">
        <v>5</v>
      </c>
      <c r="D117" s="2" t="s">
        <v>36</v>
      </c>
      <c r="E117" s="3">
        <v>44824</v>
      </c>
      <c r="F117" s="2" t="s">
        <v>155</v>
      </c>
      <c r="G117" s="2" t="s">
        <v>573</v>
      </c>
      <c r="H117" s="2" t="s">
        <v>44</v>
      </c>
      <c r="I117" s="4">
        <v>34059</v>
      </c>
    </row>
    <row r="118" spans="1:9" x14ac:dyDescent="0.25">
      <c r="A118" s="2" t="s">
        <v>26</v>
      </c>
      <c r="B118" s="2">
        <v>1100</v>
      </c>
      <c r="C118" s="2">
        <v>5</v>
      </c>
      <c r="D118" s="2" t="s">
        <v>41</v>
      </c>
      <c r="E118" s="3">
        <v>44637</v>
      </c>
      <c r="F118" s="2" t="s">
        <v>131</v>
      </c>
      <c r="G118" s="2" t="s">
        <v>417</v>
      </c>
      <c r="H118" s="2" t="s">
        <v>44</v>
      </c>
      <c r="I118" s="4">
        <v>36344</v>
      </c>
    </row>
    <row r="119" spans="1:9" x14ac:dyDescent="0.25">
      <c r="A119" s="2" t="s">
        <v>18</v>
      </c>
      <c r="B119" s="2">
        <v>3000</v>
      </c>
      <c r="C119" s="2">
        <v>4</v>
      </c>
      <c r="D119" s="2" t="s">
        <v>30</v>
      </c>
      <c r="E119" s="3">
        <v>44892</v>
      </c>
      <c r="F119" s="2" t="s">
        <v>343</v>
      </c>
      <c r="G119" s="2" t="s">
        <v>193</v>
      </c>
      <c r="H119" s="2" t="s">
        <v>49</v>
      </c>
      <c r="I119" s="4">
        <v>19478</v>
      </c>
    </row>
    <row r="120" spans="1:9" x14ac:dyDescent="0.25">
      <c r="A120" s="2" t="s">
        <v>7</v>
      </c>
      <c r="B120" s="2">
        <v>750</v>
      </c>
      <c r="C120" s="2">
        <v>4</v>
      </c>
      <c r="D120" s="2" t="s">
        <v>40</v>
      </c>
      <c r="E120" s="3">
        <v>44830</v>
      </c>
      <c r="F120" s="2" t="s">
        <v>78</v>
      </c>
      <c r="G120" s="2" t="s">
        <v>63</v>
      </c>
      <c r="H120" s="2" t="s">
        <v>49</v>
      </c>
      <c r="I120" s="4">
        <v>31080</v>
      </c>
    </row>
    <row r="121" spans="1:9" x14ac:dyDescent="0.25">
      <c r="A121" s="2" t="s">
        <v>28</v>
      </c>
      <c r="B121" s="2">
        <v>1400</v>
      </c>
      <c r="C121" s="2">
        <v>2</v>
      </c>
      <c r="D121" s="2" t="s">
        <v>35</v>
      </c>
      <c r="E121" s="3">
        <v>44717</v>
      </c>
      <c r="F121" s="2" t="s">
        <v>544</v>
      </c>
      <c r="G121" s="2" t="s">
        <v>238</v>
      </c>
      <c r="H121" s="2" t="s">
        <v>44</v>
      </c>
      <c r="I121" s="4">
        <v>23493</v>
      </c>
    </row>
    <row r="122" spans="1:9" x14ac:dyDescent="0.25">
      <c r="A122" s="2" t="s">
        <v>22</v>
      </c>
      <c r="B122" s="2">
        <v>5200</v>
      </c>
      <c r="C122" s="2">
        <v>3</v>
      </c>
      <c r="D122" s="2" t="s">
        <v>32</v>
      </c>
      <c r="E122" s="3">
        <v>44726</v>
      </c>
      <c r="F122" s="2" t="s">
        <v>173</v>
      </c>
      <c r="G122" s="2" t="s">
        <v>474</v>
      </c>
      <c r="H122" s="2" t="s">
        <v>44</v>
      </c>
      <c r="I122" s="4">
        <v>25642</v>
      </c>
    </row>
    <row r="123" spans="1:9" x14ac:dyDescent="0.25">
      <c r="A123" s="2" t="s">
        <v>6</v>
      </c>
      <c r="B123" s="2">
        <v>1200</v>
      </c>
      <c r="C123" s="2">
        <v>5</v>
      </c>
      <c r="D123" s="2" t="s">
        <v>38</v>
      </c>
      <c r="E123" s="3">
        <v>44701</v>
      </c>
      <c r="F123" s="2" t="s">
        <v>179</v>
      </c>
      <c r="G123" s="2" t="s">
        <v>83</v>
      </c>
      <c r="H123" s="2" t="s">
        <v>44</v>
      </c>
      <c r="I123" s="4">
        <v>35697</v>
      </c>
    </row>
    <row r="124" spans="1:9" x14ac:dyDescent="0.25">
      <c r="A124" s="2" t="s">
        <v>9</v>
      </c>
      <c r="B124" s="2">
        <v>1500</v>
      </c>
      <c r="C124" s="2">
        <v>4</v>
      </c>
      <c r="D124" s="2" t="s">
        <v>40</v>
      </c>
      <c r="E124" s="3">
        <v>44604</v>
      </c>
      <c r="F124" s="2" t="s">
        <v>111</v>
      </c>
      <c r="G124" s="2" t="s">
        <v>63</v>
      </c>
      <c r="H124" s="2" t="s">
        <v>44</v>
      </c>
      <c r="I124" s="4">
        <v>34809</v>
      </c>
    </row>
    <row r="125" spans="1:9" x14ac:dyDescent="0.25">
      <c r="A125" s="2" t="s">
        <v>26</v>
      </c>
      <c r="B125" s="2">
        <v>1100</v>
      </c>
      <c r="C125" s="2">
        <v>4</v>
      </c>
      <c r="D125" s="2" t="s">
        <v>40</v>
      </c>
      <c r="E125" s="3">
        <v>44667</v>
      </c>
      <c r="F125" s="2" t="s">
        <v>104</v>
      </c>
      <c r="G125" s="2" t="s">
        <v>105</v>
      </c>
      <c r="H125" s="2" t="s">
        <v>44</v>
      </c>
      <c r="I125" s="4">
        <v>33789</v>
      </c>
    </row>
    <row r="126" spans="1:9" x14ac:dyDescent="0.25">
      <c r="A126" s="2" t="s">
        <v>26</v>
      </c>
      <c r="B126" s="2">
        <v>1100</v>
      </c>
      <c r="C126" s="2">
        <v>3</v>
      </c>
      <c r="D126" s="2" t="s">
        <v>35</v>
      </c>
      <c r="E126" s="3">
        <v>44859</v>
      </c>
      <c r="F126" s="2" t="s">
        <v>98</v>
      </c>
      <c r="G126" s="2" t="s">
        <v>263</v>
      </c>
      <c r="H126" s="2" t="s">
        <v>44</v>
      </c>
      <c r="I126" s="4">
        <v>29929</v>
      </c>
    </row>
    <row r="127" spans="1:9" x14ac:dyDescent="0.25">
      <c r="A127" s="2" t="s">
        <v>14</v>
      </c>
      <c r="B127" s="2">
        <v>2000</v>
      </c>
      <c r="C127" s="2">
        <v>1</v>
      </c>
      <c r="D127" s="2" t="s">
        <v>40</v>
      </c>
      <c r="E127" s="3">
        <v>44587</v>
      </c>
      <c r="F127" s="2" t="s">
        <v>150</v>
      </c>
      <c r="G127" s="2" t="s">
        <v>151</v>
      </c>
      <c r="H127" s="2" t="s">
        <v>44</v>
      </c>
      <c r="I127" s="4">
        <v>36228</v>
      </c>
    </row>
    <row r="128" spans="1:9" x14ac:dyDescent="0.25">
      <c r="A128" s="2" t="s">
        <v>18</v>
      </c>
      <c r="B128" s="2">
        <v>3000</v>
      </c>
      <c r="C128" s="2">
        <v>4</v>
      </c>
      <c r="D128" s="2" t="s">
        <v>34</v>
      </c>
      <c r="E128" s="3">
        <v>44845</v>
      </c>
      <c r="F128" s="2" t="s">
        <v>452</v>
      </c>
      <c r="G128" s="2" t="s">
        <v>453</v>
      </c>
      <c r="H128" s="2" t="s">
        <v>44</v>
      </c>
      <c r="I128" s="4">
        <v>29510</v>
      </c>
    </row>
    <row r="129" spans="1:9" x14ac:dyDescent="0.25">
      <c r="A129" s="2" t="s">
        <v>9</v>
      </c>
      <c r="B129" s="2">
        <v>1500</v>
      </c>
      <c r="C129" s="2">
        <v>5</v>
      </c>
      <c r="D129" s="2" t="s">
        <v>38</v>
      </c>
      <c r="E129" s="3">
        <v>44911</v>
      </c>
      <c r="F129" s="2" t="s">
        <v>112</v>
      </c>
      <c r="G129" s="2" t="s">
        <v>77</v>
      </c>
      <c r="H129" s="2" t="s">
        <v>44</v>
      </c>
      <c r="I129" s="4">
        <v>35781</v>
      </c>
    </row>
    <row r="130" spans="1:9" x14ac:dyDescent="0.25">
      <c r="A130" s="2" t="s">
        <v>5</v>
      </c>
      <c r="B130" s="2">
        <v>1750</v>
      </c>
      <c r="C130" s="2">
        <v>3</v>
      </c>
      <c r="D130" s="2" t="s">
        <v>31</v>
      </c>
      <c r="E130" s="3">
        <v>44587</v>
      </c>
      <c r="F130" s="2" t="s">
        <v>109</v>
      </c>
      <c r="G130" s="2" t="s">
        <v>190</v>
      </c>
      <c r="H130" s="2" t="s">
        <v>44</v>
      </c>
      <c r="I130" s="4">
        <v>35339</v>
      </c>
    </row>
    <row r="131" spans="1:9" x14ac:dyDescent="0.25">
      <c r="A131" s="2" t="s">
        <v>14</v>
      </c>
      <c r="B131" s="2">
        <v>2000</v>
      </c>
      <c r="C131" s="2">
        <v>5</v>
      </c>
      <c r="D131" s="2" t="s">
        <v>29</v>
      </c>
      <c r="E131" s="3">
        <v>44727</v>
      </c>
      <c r="F131" s="2" t="s">
        <v>170</v>
      </c>
      <c r="G131" s="2" t="s">
        <v>171</v>
      </c>
      <c r="H131" s="2" t="s">
        <v>44</v>
      </c>
      <c r="I131" s="4">
        <v>35490</v>
      </c>
    </row>
    <row r="132" spans="1:9" x14ac:dyDescent="0.25">
      <c r="A132" s="2" t="s">
        <v>21</v>
      </c>
      <c r="B132" s="2">
        <v>2400</v>
      </c>
      <c r="C132" s="2">
        <v>5</v>
      </c>
      <c r="D132" s="2" t="s">
        <v>37</v>
      </c>
      <c r="E132" s="3">
        <v>44742</v>
      </c>
      <c r="F132" s="2" t="s">
        <v>137</v>
      </c>
      <c r="G132" s="2" t="s">
        <v>200</v>
      </c>
      <c r="H132" s="2" t="s">
        <v>49</v>
      </c>
      <c r="I132" s="4">
        <v>21494</v>
      </c>
    </row>
    <row r="133" spans="1:9" x14ac:dyDescent="0.25">
      <c r="A133" s="2" t="s">
        <v>15</v>
      </c>
      <c r="B133" s="2">
        <v>1900</v>
      </c>
      <c r="C133" s="2">
        <v>2</v>
      </c>
      <c r="D133" s="2" t="s">
        <v>35</v>
      </c>
      <c r="E133" s="3">
        <v>44635</v>
      </c>
      <c r="F133" s="2" t="s">
        <v>301</v>
      </c>
      <c r="G133" s="2" t="s">
        <v>360</v>
      </c>
      <c r="H133" s="2" t="s">
        <v>49</v>
      </c>
      <c r="I133" s="4">
        <v>34458</v>
      </c>
    </row>
    <row r="134" spans="1:9" x14ac:dyDescent="0.25">
      <c r="A134" s="2" t="s">
        <v>11</v>
      </c>
      <c r="B134" s="2">
        <v>4500</v>
      </c>
      <c r="C134" s="2">
        <v>4</v>
      </c>
      <c r="D134" s="2" t="s">
        <v>35</v>
      </c>
      <c r="E134" s="3">
        <v>44637</v>
      </c>
      <c r="F134" s="2" t="s">
        <v>140</v>
      </c>
      <c r="G134" s="2" t="s">
        <v>195</v>
      </c>
      <c r="H134" s="2" t="s">
        <v>49</v>
      </c>
      <c r="I134" s="4">
        <v>25702</v>
      </c>
    </row>
    <row r="135" spans="1:9" x14ac:dyDescent="0.25">
      <c r="A135" s="2" t="s">
        <v>22</v>
      </c>
      <c r="B135" s="2">
        <v>5200</v>
      </c>
      <c r="C135" s="2">
        <v>2</v>
      </c>
      <c r="D135" s="2" t="s">
        <v>36</v>
      </c>
      <c r="E135" s="3">
        <v>44793</v>
      </c>
      <c r="F135" s="2" t="s">
        <v>408</v>
      </c>
      <c r="G135" s="2" t="s">
        <v>55</v>
      </c>
      <c r="H135" s="2" t="s">
        <v>49</v>
      </c>
      <c r="I135" s="4">
        <v>22393</v>
      </c>
    </row>
    <row r="136" spans="1:9" x14ac:dyDescent="0.25">
      <c r="A136" s="2" t="s">
        <v>27</v>
      </c>
      <c r="B136" s="2">
        <v>1500</v>
      </c>
      <c r="C136" s="2">
        <v>2</v>
      </c>
      <c r="D136" s="2" t="s">
        <v>41</v>
      </c>
      <c r="E136" s="3">
        <v>44615</v>
      </c>
      <c r="F136" s="2" t="s">
        <v>70</v>
      </c>
      <c r="G136" s="2" t="s">
        <v>152</v>
      </c>
      <c r="H136" s="2" t="s">
        <v>44</v>
      </c>
      <c r="I136" s="4">
        <v>21481</v>
      </c>
    </row>
    <row r="137" spans="1:9" x14ac:dyDescent="0.25">
      <c r="A137" s="2" t="s">
        <v>9</v>
      </c>
      <c r="B137" s="2">
        <v>1500</v>
      </c>
      <c r="C137" s="2">
        <v>2</v>
      </c>
      <c r="D137" s="2" t="s">
        <v>30</v>
      </c>
      <c r="E137" s="3">
        <v>44677</v>
      </c>
      <c r="F137" s="2" t="s">
        <v>398</v>
      </c>
      <c r="G137" s="2" t="s">
        <v>83</v>
      </c>
      <c r="H137" s="2" t="s">
        <v>44</v>
      </c>
      <c r="I137" s="4">
        <v>27758</v>
      </c>
    </row>
    <row r="138" spans="1:9" x14ac:dyDescent="0.25">
      <c r="A138" s="2" t="s">
        <v>8</v>
      </c>
      <c r="B138" s="2">
        <v>5500</v>
      </c>
      <c r="C138" s="2">
        <v>5</v>
      </c>
      <c r="D138" s="2" t="s">
        <v>33</v>
      </c>
      <c r="E138" s="3">
        <v>44766</v>
      </c>
      <c r="F138" s="2" t="s">
        <v>256</v>
      </c>
      <c r="G138" s="2" t="s">
        <v>441</v>
      </c>
      <c r="H138" s="2" t="s">
        <v>44</v>
      </c>
      <c r="I138" s="4">
        <v>21187</v>
      </c>
    </row>
    <row r="139" spans="1:9" x14ac:dyDescent="0.25">
      <c r="A139" s="2" t="s">
        <v>6</v>
      </c>
      <c r="B139" s="2">
        <v>1200</v>
      </c>
      <c r="C139" s="2">
        <v>4</v>
      </c>
      <c r="D139" s="2" t="s">
        <v>33</v>
      </c>
      <c r="E139" s="3">
        <v>44888</v>
      </c>
      <c r="F139" s="2" t="s">
        <v>571</v>
      </c>
      <c r="G139" s="2" t="s">
        <v>474</v>
      </c>
      <c r="H139" s="2" t="s">
        <v>49</v>
      </c>
      <c r="I139" s="4">
        <v>21750</v>
      </c>
    </row>
    <row r="140" spans="1:9" x14ac:dyDescent="0.25">
      <c r="A140" s="2" t="s">
        <v>16</v>
      </c>
      <c r="B140" s="2">
        <v>1400</v>
      </c>
      <c r="C140" s="2">
        <v>4</v>
      </c>
      <c r="D140" s="2" t="s">
        <v>40</v>
      </c>
      <c r="E140" s="3">
        <v>44613</v>
      </c>
      <c r="F140" s="2" t="s">
        <v>392</v>
      </c>
      <c r="G140" s="2" t="s">
        <v>393</v>
      </c>
      <c r="H140" s="2" t="s">
        <v>49</v>
      </c>
      <c r="I140" s="4">
        <v>31041</v>
      </c>
    </row>
    <row r="141" spans="1:9" x14ac:dyDescent="0.25">
      <c r="A141" s="2" t="s">
        <v>18</v>
      </c>
      <c r="B141" s="2">
        <v>3000</v>
      </c>
      <c r="C141" s="2">
        <v>2</v>
      </c>
      <c r="D141" s="2" t="s">
        <v>29</v>
      </c>
      <c r="E141" s="3">
        <v>44843</v>
      </c>
      <c r="F141" s="2" t="s">
        <v>98</v>
      </c>
      <c r="G141" s="2" t="s">
        <v>81</v>
      </c>
      <c r="H141" s="2" t="s">
        <v>44</v>
      </c>
      <c r="I141" s="4">
        <v>30937</v>
      </c>
    </row>
    <row r="142" spans="1:9" x14ac:dyDescent="0.25">
      <c r="A142" s="2" t="s">
        <v>25</v>
      </c>
      <c r="B142" s="2">
        <v>2500</v>
      </c>
      <c r="C142" s="2">
        <v>4</v>
      </c>
      <c r="D142" s="2" t="s">
        <v>32</v>
      </c>
      <c r="E142" s="3">
        <v>44647</v>
      </c>
      <c r="F142" s="2" t="s">
        <v>70</v>
      </c>
      <c r="G142" s="2" t="s">
        <v>319</v>
      </c>
      <c r="H142" s="2" t="s">
        <v>44</v>
      </c>
      <c r="I142" s="4">
        <v>32945</v>
      </c>
    </row>
    <row r="143" spans="1:9" x14ac:dyDescent="0.25">
      <c r="A143" s="2" t="s">
        <v>27</v>
      </c>
      <c r="B143" s="2">
        <v>1500</v>
      </c>
      <c r="C143" s="2">
        <v>5</v>
      </c>
      <c r="D143" s="2" t="s">
        <v>29</v>
      </c>
      <c r="E143" s="3">
        <v>44906</v>
      </c>
      <c r="F143" s="2" t="s">
        <v>140</v>
      </c>
      <c r="G143" s="2" t="s">
        <v>281</v>
      </c>
      <c r="H143" s="2" t="s">
        <v>49</v>
      </c>
      <c r="I143" s="4">
        <v>21078</v>
      </c>
    </row>
    <row r="144" spans="1:9" x14ac:dyDescent="0.25">
      <c r="A144" s="2" t="s">
        <v>14</v>
      </c>
      <c r="B144" s="2">
        <v>2000</v>
      </c>
      <c r="C144" s="2">
        <v>3</v>
      </c>
      <c r="D144" s="2" t="s">
        <v>33</v>
      </c>
      <c r="E144" s="3">
        <v>44713</v>
      </c>
      <c r="F144" s="2" t="s">
        <v>87</v>
      </c>
      <c r="G144" s="2" t="s">
        <v>160</v>
      </c>
      <c r="H144" s="2" t="s">
        <v>44</v>
      </c>
      <c r="I144" s="4">
        <v>28196</v>
      </c>
    </row>
    <row r="145" spans="1:9" x14ac:dyDescent="0.25">
      <c r="A145" s="2" t="s">
        <v>15</v>
      </c>
      <c r="B145" s="2">
        <v>1900</v>
      </c>
      <c r="C145" s="2">
        <v>5</v>
      </c>
      <c r="D145" s="2" t="s">
        <v>29</v>
      </c>
      <c r="E145" s="3">
        <v>44821</v>
      </c>
      <c r="F145" s="2" t="s">
        <v>347</v>
      </c>
      <c r="G145" s="2" t="s">
        <v>550</v>
      </c>
      <c r="H145" s="2" t="s">
        <v>49</v>
      </c>
      <c r="I145" s="4">
        <v>35649</v>
      </c>
    </row>
    <row r="146" spans="1:9" x14ac:dyDescent="0.25">
      <c r="A146" s="2" t="s">
        <v>12</v>
      </c>
      <c r="B146" s="2">
        <v>6500</v>
      </c>
      <c r="C146" s="2">
        <v>4</v>
      </c>
      <c r="D146" s="2" t="s">
        <v>40</v>
      </c>
      <c r="E146" s="3">
        <v>44923</v>
      </c>
      <c r="F146" s="2" t="s">
        <v>107</v>
      </c>
      <c r="G146" s="2" t="s">
        <v>108</v>
      </c>
      <c r="H146" s="2" t="s">
        <v>49</v>
      </c>
      <c r="I146" s="4">
        <v>32775</v>
      </c>
    </row>
    <row r="147" spans="1:9" x14ac:dyDescent="0.25">
      <c r="A147" s="2" t="s">
        <v>26</v>
      </c>
      <c r="B147" s="2">
        <v>1100</v>
      </c>
      <c r="C147" s="2">
        <v>3</v>
      </c>
      <c r="D147" s="2" t="s">
        <v>31</v>
      </c>
      <c r="E147" s="3">
        <v>44665</v>
      </c>
      <c r="F147" s="2" t="s">
        <v>170</v>
      </c>
      <c r="G147" s="2" t="s">
        <v>152</v>
      </c>
      <c r="H147" s="2" t="s">
        <v>44</v>
      </c>
      <c r="I147" s="4">
        <v>19458</v>
      </c>
    </row>
    <row r="148" spans="1:9" x14ac:dyDescent="0.25">
      <c r="A148" s="2" t="s">
        <v>14</v>
      </c>
      <c r="B148" s="2">
        <v>2000</v>
      </c>
      <c r="C148" s="2">
        <v>2</v>
      </c>
      <c r="D148" s="2" t="s">
        <v>30</v>
      </c>
      <c r="E148" s="3">
        <v>44849</v>
      </c>
      <c r="F148" s="2" t="s">
        <v>94</v>
      </c>
      <c r="G148" s="2" t="s">
        <v>285</v>
      </c>
      <c r="H148" s="2" t="s">
        <v>49</v>
      </c>
      <c r="I148" s="4">
        <v>23451</v>
      </c>
    </row>
    <row r="149" spans="1:9" x14ac:dyDescent="0.25">
      <c r="A149" s="2" t="s">
        <v>5</v>
      </c>
      <c r="B149" s="2">
        <v>1750</v>
      </c>
      <c r="C149" s="2">
        <v>1</v>
      </c>
      <c r="D149" s="2" t="s">
        <v>37</v>
      </c>
      <c r="E149" s="3">
        <v>44842</v>
      </c>
      <c r="F149" s="2" t="s">
        <v>109</v>
      </c>
      <c r="G149" s="2" t="s">
        <v>143</v>
      </c>
      <c r="H149" s="2" t="s">
        <v>44</v>
      </c>
      <c r="I149" s="4">
        <v>28358</v>
      </c>
    </row>
    <row r="150" spans="1:9" x14ac:dyDescent="0.25">
      <c r="A150" s="2" t="s">
        <v>28</v>
      </c>
      <c r="B150" s="2">
        <v>1400</v>
      </c>
      <c r="C150" s="2">
        <v>2</v>
      </c>
      <c r="D150" s="2" t="s">
        <v>33</v>
      </c>
      <c r="E150" s="3">
        <v>44573</v>
      </c>
      <c r="F150" s="2" t="s">
        <v>66</v>
      </c>
      <c r="G150" s="2" t="s">
        <v>67</v>
      </c>
      <c r="H150" s="2" t="s">
        <v>44</v>
      </c>
      <c r="I150" s="4">
        <v>36762</v>
      </c>
    </row>
    <row r="151" spans="1:9" x14ac:dyDescent="0.25">
      <c r="A151" s="2" t="s">
        <v>6</v>
      </c>
      <c r="B151" s="2">
        <v>1200</v>
      </c>
      <c r="C151" s="2">
        <v>3</v>
      </c>
      <c r="D151" s="2" t="s">
        <v>35</v>
      </c>
      <c r="E151" s="3">
        <v>44693</v>
      </c>
      <c r="F151" s="2" t="s">
        <v>335</v>
      </c>
      <c r="G151" s="2" t="s">
        <v>530</v>
      </c>
      <c r="H151" s="2" t="s">
        <v>49</v>
      </c>
      <c r="I151" s="4">
        <v>36734</v>
      </c>
    </row>
    <row r="152" spans="1:9" x14ac:dyDescent="0.25">
      <c r="A152" s="2" t="s">
        <v>26</v>
      </c>
      <c r="B152" s="2">
        <v>1100</v>
      </c>
      <c r="C152" s="2">
        <v>5</v>
      </c>
      <c r="D152" s="2" t="s">
        <v>29</v>
      </c>
      <c r="E152" s="3">
        <v>44676</v>
      </c>
      <c r="F152" s="2" t="s">
        <v>87</v>
      </c>
      <c r="G152" s="2" t="s">
        <v>77</v>
      </c>
      <c r="H152" s="2" t="s">
        <v>44</v>
      </c>
      <c r="I152" s="4">
        <v>21522</v>
      </c>
    </row>
    <row r="153" spans="1:9" x14ac:dyDescent="0.25">
      <c r="A153" s="2" t="s">
        <v>23</v>
      </c>
      <c r="B153" s="2">
        <v>1500</v>
      </c>
      <c r="C153" s="2">
        <v>2</v>
      </c>
      <c r="D153" s="2" t="s">
        <v>36</v>
      </c>
      <c r="E153" s="3">
        <v>44612</v>
      </c>
      <c r="F153" s="2" t="s">
        <v>74</v>
      </c>
      <c r="G153" s="2" t="s">
        <v>169</v>
      </c>
      <c r="H153" s="2" t="s">
        <v>44</v>
      </c>
      <c r="I153" s="4">
        <v>34026</v>
      </c>
    </row>
    <row r="154" spans="1:9" x14ac:dyDescent="0.25">
      <c r="A154" s="2" t="s">
        <v>26</v>
      </c>
      <c r="B154" s="2">
        <v>1100</v>
      </c>
      <c r="C154" s="2">
        <v>5</v>
      </c>
      <c r="D154" s="2" t="s">
        <v>32</v>
      </c>
      <c r="E154" s="3">
        <v>44752</v>
      </c>
      <c r="F154" s="2" t="s">
        <v>446</v>
      </c>
      <c r="G154" s="2" t="s">
        <v>174</v>
      </c>
      <c r="H154" s="2" t="s">
        <v>44</v>
      </c>
      <c r="I154" s="4">
        <v>25704</v>
      </c>
    </row>
    <row r="155" spans="1:9" x14ac:dyDescent="0.25">
      <c r="A155" s="2" t="s">
        <v>10</v>
      </c>
      <c r="B155" s="2">
        <v>1450</v>
      </c>
      <c r="C155" s="2">
        <v>5</v>
      </c>
      <c r="D155" s="2" t="s">
        <v>29</v>
      </c>
      <c r="E155" s="3">
        <v>44708</v>
      </c>
      <c r="F155" s="2" t="s">
        <v>68</v>
      </c>
      <c r="G155" s="2" t="s">
        <v>145</v>
      </c>
      <c r="H155" s="2" t="s">
        <v>49</v>
      </c>
      <c r="I155" s="4">
        <v>20646</v>
      </c>
    </row>
    <row r="156" spans="1:9" x14ac:dyDescent="0.25">
      <c r="A156" s="2" t="s">
        <v>21</v>
      </c>
      <c r="B156" s="2">
        <v>2400</v>
      </c>
      <c r="C156" s="2">
        <v>1</v>
      </c>
      <c r="D156" s="2" t="s">
        <v>35</v>
      </c>
      <c r="E156" s="3">
        <v>44688</v>
      </c>
      <c r="F156" s="2" t="s">
        <v>331</v>
      </c>
      <c r="G156" s="2" t="s">
        <v>308</v>
      </c>
      <c r="H156" s="2" t="s">
        <v>44</v>
      </c>
      <c r="I156" s="4">
        <v>19664</v>
      </c>
    </row>
    <row r="157" spans="1:9" x14ac:dyDescent="0.25">
      <c r="A157" s="2" t="s">
        <v>15</v>
      </c>
      <c r="B157" s="2">
        <v>1900</v>
      </c>
      <c r="C157" s="2">
        <v>1</v>
      </c>
      <c r="D157" s="2" t="s">
        <v>36</v>
      </c>
      <c r="E157" s="3">
        <v>44753</v>
      </c>
      <c r="F157" s="2" t="s">
        <v>302</v>
      </c>
      <c r="G157" s="2" t="s">
        <v>566</v>
      </c>
      <c r="H157" s="2" t="s">
        <v>49</v>
      </c>
      <c r="I157" s="4">
        <v>27853</v>
      </c>
    </row>
    <row r="158" spans="1:9" x14ac:dyDescent="0.25">
      <c r="A158" s="2" t="s">
        <v>24</v>
      </c>
      <c r="B158" s="2">
        <v>2000</v>
      </c>
      <c r="C158" s="2">
        <v>2</v>
      </c>
      <c r="D158" s="2" t="s">
        <v>40</v>
      </c>
      <c r="E158" s="3">
        <v>44652</v>
      </c>
      <c r="F158" s="2" t="s">
        <v>137</v>
      </c>
      <c r="G158" s="2" t="s">
        <v>287</v>
      </c>
      <c r="H158" s="2" t="s">
        <v>49</v>
      </c>
      <c r="I158" s="4">
        <v>24974</v>
      </c>
    </row>
    <row r="159" spans="1:9" x14ac:dyDescent="0.25">
      <c r="A159" s="2" t="s">
        <v>20</v>
      </c>
      <c r="B159" s="2">
        <v>2600</v>
      </c>
      <c r="C159" s="2">
        <v>5</v>
      </c>
      <c r="D159" s="2" t="s">
        <v>36</v>
      </c>
      <c r="E159" s="3">
        <v>44899</v>
      </c>
      <c r="F159" s="2" t="s">
        <v>259</v>
      </c>
      <c r="G159" s="2" t="s">
        <v>584</v>
      </c>
      <c r="H159" s="2" t="s">
        <v>49</v>
      </c>
      <c r="I159" s="4">
        <v>22500</v>
      </c>
    </row>
    <row r="160" spans="1:9" x14ac:dyDescent="0.25">
      <c r="A160" s="2" t="s">
        <v>19</v>
      </c>
      <c r="B160" s="2">
        <v>700</v>
      </c>
      <c r="C160" s="2">
        <v>4</v>
      </c>
      <c r="D160" s="2" t="s">
        <v>33</v>
      </c>
      <c r="E160" s="3">
        <v>44831</v>
      </c>
      <c r="F160" s="2" t="s">
        <v>338</v>
      </c>
      <c r="G160" s="2" t="s">
        <v>171</v>
      </c>
      <c r="H160" s="2" t="s">
        <v>49</v>
      </c>
      <c r="I160" s="4">
        <v>34868</v>
      </c>
    </row>
    <row r="161" spans="1:9" x14ac:dyDescent="0.25">
      <c r="A161" s="2" t="s">
        <v>16</v>
      </c>
      <c r="B161" s="2">
        <v>1400</v>
      </c>
      <c r="C161" s="2">
        <v>2</v>
      </c>
      <c r="D161" s="2" t="s">
        <v>29</v>
      </c>
      <c r="E161" s="3">
        <v>44682</v>
      </c>
      <c r="F161" s="2" t="s">
        <v>142</v>
      </c>
      <c r="G161" s="2" t="s">
        <v>157</v>
      </c>
      <c r="H161" s="2" t="s">
        <v>49</v>
      </c>
      <c r="I161" s="4">
        <v>33294</v>
      </c>
    </row>
    <row r="162" spans="1:9" x14ac:dyDescent="0.25">
      <c r="A162" s="2" t="s">
        <v>28</v>
      </c>
      <c r="B162" s="2">
        <v>1400</v>
      </c>
      <c r="C162" s="2">
        <v>3</v>
      </c>
      <c r="D162" s="2" t="s">
        <v>32</v>
      </c>
      <c r="E162" s="3">
        <v>44805</v>
      </c>
      <c r="F162" s="2" t="s">
        <v>256</v>
      </c>
      <c r="G162" s="2" t="s">
        <v>262</v>
      </c>
      <c r="H162" s="2" t="s">
        <v>44</v>
      </c>
      <c r="I162" s="4">
        <v>18583</v>
      </c>
    </row>
    <row r="163" spans="1:9" x14ac:dyDescent="0.25">
      <c r="A163" s="2" t="s">
        <v>27</v>
      </c>
      <c r="B163" s="2">
        <v>1500</v>
      </c>
      <c r="C163" s="2">
        <v>4</v>
      </c>
      <c r="D163" s="2" t="s">
        <v>36</v>
      </c>
      <c r="E163" s="3">
        <v>44772</v>
      </c>
      <c r="F163" s="2" t="s">
        <v>175</v>
      </c>
      <c r="G163" s="2" t="s">
        <v>176</v>
      </c>
      <c r="H163" s="2" t="s">
        <v>49</v>
      </c>
      <c r="I163" s="4">
        <v>28801</v>
      </c>
    </row>
    <row r="164" spans="1:9" x14ac:dyDescent="0.25">
      <c r="A164" s="2" t="s">
        <v>25</v>
      </c>
      <c r="B164" s="2">
        <v>2500</v>
      </c>
      <c r="C164" s="2">
        <v>1</v>
      </c>
      <c r="D164" s="2" t="s">
        <v>32</v>
      </c>
      <c r="E164" s="3">
        <v>44761</v>
      </c>
      <c r="F164" s="2" t="s">
        <v>373</v>
      </c>
      <c r="G164" s="2" t="s">
        <v>99</v>
      </c>
      <c r="H164" s="2" t="s">
        <v>49</v>
      </c>
      <c r="I164" s="4">
        <v>22897</v>
      </c>
    </row>
    <row r="165" spans="1:9" x14ac:dyDescent="0.25">
      <c r="A165" s="2" t="s">
        <v>11</v>
      </c>
      <c r="B165" s="2">
        <v>4500</v>
      </c>
      <c r="C165" s="2">
        <v>5</v>
      </c>
      <c r="D165" s="2" t="s">
        <v>29</v>
      </c>
      <c r="E165" s="3">
        <v>44924</v>
      </c>
      <c r="F165" s="2" t="s">
        <v>52</v>
      </c>
      <c r="G165" s="2" t="s">
        <v>232</v>
      </c>
      <c r="H165" s="2" t="s">
        <v>44</v>
      </c>
      <c r="I165" s="4">
        <v>34971</v>
      </c>
    </row>
    <row r="166" spans="1:9" x14ac:dyDescent="0.25">
      <c r="A166" s="2" t="s">
        <v>23</v>
      </c>
      <c r="B166" s="2">
        <v>1500</v>
      </c>
      <c r="C166" s="2">
        <v>3</v>
      </c>
      <c r="D166" s="2" t="s">
        <v>29</v>
      </c>
      <c r="E166" s="3">
        <v>44829</v>
      </c>
      <c r="F166" s="2" t="s">
        <v>42</v>
      </c>
      <c r="G166" s="2" t="s">
        <v>89</v>
      </c>
      <c r="H166" s="2" t="s">
        <v>44</v>
      </c>
      <c r="I166" s="4">
        <v>35608</v>
      </c>
    </row>
    <row r="167" spans="1:9" x14ac:dyDescent="0.25">
      <c r="A167" s="2" t="s">
        <v>26</v>
      </c>
      <c r="B167" s="2">
        <v>1100</v>
      </c>
      <c r="C167" s="2">
        <v>1</v>
      </c>
      <c r="D167" s="2" t="s">
        <v>32</v>
      </c>
      <c r="E167" s="3">
        <v>44837</v>
      </c>
      <c r="F167" s="2" t="s">
        <v>70</v>
      </c>
      <c r="G167" s="2" t="s">
        <v>319</v>
      </c>
      <c r="H167" s="2" t="s">
        <v>44</v>
      </c>
      <c r="I167" s="4">
        <v>32945</v>
      </c>
    </row>
    <row r="168" spans="1:9" x14ac:dyDescent="0.25">
      <c r="A168" s="2" t="s">
        <v>15</v>
      </c>
      <c r="B168" s="2">
        <v>1900</v>
      </c>
      <c r="C168" s="2">
        <v>1</v>
      </c>
      <c r="D168" s="2" t="s">
        <v>32</v>
      </c>
      <c r="E168" s="3">
        <v>44781</v>
      </c>
      <c r="F168" s="2" t="s">
        <v>50</v>
      </c>
      <c r="G168" s="2" t="s">
        <v>51</v>
      </c>
      <c r="H168" s="2" t="s">
        <v>49</v>
      </c>
      <c r="I168" s="4">
        <v>25021</v>
      </c>
    </row>
    <row r="169" spans="1:9" x14ac:dyDescent="0.25">
      <c r="A169" s="2" t="s">
        <v>23</v>
      </c>
      <c r="B169" s="2">
        <v>1500</v>
      </c>
      <c r="C169" s="2">
        <v>3</v>
      </c>
      <c r="D169" s="2" t="s">
        <v>39</v>
      </c>
      <c r="E169" s="3">
        <v>44863</v>
      </c>
      <c r="F169" s="2" t="s">
        <v>98</v>
      </c>
      <c r="G169" s="2" t="s">
        <v>152</v>
      </c>
      <c r="H169" s="2" t="s">
        <v>44</v>
      </c>
      <c r="I169" s="4">
        <v>29032</v>
      </c>
    </row>
    <row r="170" spans="1:9" x14ac:dyDescent="0.25">
      <c r="A170" s="2" t="s">
        <v>15</v>
      </c>
      <c r="B170" s="2">
        <v>1900</v>
      </c>
      <c r="C170" s="2">
        <v>1</v>
      </c>
      <c r="D170" s="2" t="s">
        <v>30</v>
      </c>
      <c r="E170" s="3">
        <v>44803</v>
      </c>
      <c r="F170" s="2" t="s">
        <v>87</v>
      </c>
      <c r="G170" s="2" t="s">
        <v>417</v>
      </c>
      <c r="H170" s="2" t="s">
        <v>44</v>
      </c>
      <c r="I170" s="4">
        <v>19055</v>
      </c>
    </row>
    <row r="171" spans="1:9" x14ac:dyDescent="0.25">
      <c r="A171" s="2" t="s">
        <v>22</v>
      </c>
      <c r="B171" s="2">
        <v>5200</v>
      </c>
      <c r="C171" s="2">
        <v>1</v>
      </c>
      <c r="D171" s="2" t="s">
        <v>31</v>
      </c>
      <c r="E171" s="3">
        <v>44750</v>
      </c>
      <c r="F171" s="2" t="s">
        <v>460</v>
      </c>
      <c r="G171" s="2" t="s">
        <v>308</v>
      </c>
      <c r="H171" s="2" t="s">
        <v>49</v>
      </c>
      <c r="I171" s="4">
        <v>25392</v>
      </c>
    </row>
    <row r="172" spans="1:9" x14ac:dyDescent="0.25">
      <c r="A172" s="2" t="s">
        <v>19</v>
      </c>
      <c r="B172" s="2">
        <v>700</v>
      </c>
      <c r="C172" s="2">
        <v>1</v>
      </c>
      <c r="D172" s="2" t="s">
        <v>29</v>
      </c>
      <c r="E172" s="3">
        <v>44740</v>
      </c>
      <c r="F172" s="2" t="s">
        <v>131</v>
      </c>
      <c r="G172" s="2" t="s">
        <v>309</v>
      </c>
      <c r="H172" s="2" t="s">
        <v>44</v>
      </c>
      <c r="I172" s="4">
        <v>25888</v>
      </c>
    </row>
    <row r="173" spans="1:9" x14ac:dyDescent="0.25">
      <c r="A173" s="2" t="s">
        <v>27</v>
      </c>
      <c r="B173" s="2">
        <v>1500</v>
      </c>
      <c r="C173" s="2">
        <v>4</v>
      </c>
      <c r="D173" s="2" t="s">
        <v>29</v>
      </c>
      <c r="E173" s="3">
        <v>44893</v>
      </c>
      <c r="F173" s="2" t="s">
        <v>344</v>
      </c>
      <c r="G173" s="2" t="s">
        <v>345</v>
      </c>
      <c r="H173" s="2" t="s">
        <v>49</v>
      </c>
      <c r="I173" s="4">
        <v>31278</v>
      </c>
    </row>
    <row r="174" spans="1:9" x14ac:dyDescent="0.25">
      <c r="A174" s="2" t="s">
        <v>28</v>
      </c>
      <c r="B174" s="2">
        <v>1400</v>
      </c>
      <c r="C174" s="2">
        <v>3</v>
      </c>
      <c r="D174" s="2" t="s">
        <v>39</v>
      </c>
      <c r="E174" s="3">
        <v>44730</v>
      </c>
      <c r="F174" s="2" t="s">
        <v>187</v>
      </c>
      <c r="G174" s="2" t="s">
        <v>156</v>
      </c>
      <c r="H174" s="2" t="s">
        <v>49</v>
      </c>
      <c r="I174" s="4">
        <v>21926</v>
      </c>
    </row>
    <row r="175" spans="1:9" x14ac:dyDescent="0.25">
      <c r="A175" s="2" t="s">
        <v>12</v>
      </c>
      <c r="B175" s="2">
        <v>6500</v>
      </c>
      <c r="C175" s="2">
        <v>5</v>
      </c>
      <c r="D175" s="2" t="s">
        <v>31</v>
      </c>
      <c r="E175" s="3">
        <v>44783</v>
      </c>
      <c r="F175" s="2" t="s">
        <v>109</v>
      </c>
      <c r="G175" s="2" t="s">
        <v>81</v>
      </c>
      <c r="H175" s="2" t="s">
        <v>44</v>
      </c>
      <c r="I175" s="4">
        <v>24618</v>
      </c>
    </row>
    <row r="176" spans="1:9" x14ac:dyDescent="0.25">
      <c r="A176" s="2" t="s">
        <v>9</v>
      </c>
      <c r="B176" s="2">
        <v>1500</v>
      </c>
      <c r="C176" s="2">
        <v>4</v>
      </c>
      <c r="D176" s="2" t="s">
        <v>29</v>
      </c>
      <c r="E176" s="3">
        <v>44720</v>
      </c>
      <c r="F176" s="2" t="s">
        <v>225</v>
      </c>
      <c r="G176" s="2" t="s">
        <v>226</v>
      </c>
      <c r="H176" s="2" t="s">
        <v>44</v>
      </c>
      <c r="I176" s="4">
        <v>36143</v>
      </c>
    </row>
    <row r="177" spans="1:9" x14ac:dyDescent="0.25">
      <c r="A177" s="2" t="s">
        <v>13</v>
      </c>
      <c r="B177" s="2">
        <v>2300</v>
      </c>
      <c r="C177" s="2">
        <v>4</v>
      </c>
      <c r="D177" s="2" t="s">
        <v>31</v>
      </c>
      <c r="E177" s="3">
        <v>44591</v>
      </c>
      <c r="F177" s="2" t="s">
        <v>439</v>
      </c>
      <c r="G177" s="2" t="s">
        <v>77</v>
      </c>
      <c r="H177" s="2" t="s">
        <v>44</v>
      </c>
      <c r="I177" s="4">
        <v>34385</v>
      </c>
    </row>
    <row r="178" spans="1:9" x14ac:dyDescent="0.25">
      <c r="A178" s="2" t="s">
        <v>22</v>
      </c>
      <c r="B178" s="2">
        <v>5200</v>
      </c>
      <c r="C178" s="2">
        <v>2</v>
      </c>
      <c r="D178" s="2" t="s">
        <v>39</v>
      </c>
      <c r="E178" s="3">
        <v>44796</v>
      </c>
      <c r="F178" s="2" t="s">
        <v>289</v>
      </c>
      <c r="G178" s="2" t="s">
        <v>83</v>
      </c>
      <c r="H178" s="2" t="s">
        <v>44</v>
      </c>
      <c r="I178" s="4">
        <v>20233</v>
      </c>
    </row>
    <row r="179" spans="1:9" x14ac:dyDescent="0.25">
      <c r="A179" s="2" t="s">
        <v>24</v>
      </c>
      <c r="B179" s="2">
        <v>2000</v>
      </c>
      <c r="C179" s="2">
        <v>5</v>
      </c>
      <c r="D179" s="2" t="s">
        <v>36</v>
      </c>
      <c r="E179" s="3">
        <v>44633</v>
      </c>
      <c r="F179" s="2" t="s">
        <v>87</v>
      </c>
      <c r="G179" s="2" t="s">
        <v>454</v>
      </c>
      <c r="H179" s="2" t="s">
        <v>44</v>
      </c>
      <c r="I179" s="4">
        <v>22986</v>
      </c>
    </row>
    <row r="180" spans="1:9" x14ac:dyDescent="0.25">
      <c r="A180" s="2" t="s">
        <v>7</v>
      </c>
      <c r="B180" s="2">
        <v>750</v>
      </c>
      <c r="C180" s="2">
        <v>3</v>
      </c>
      <c r="D180" s="2" t="s">
        <v>37</v>
      </c>
      <c r="E180" s="3">
        <v>44624</v>
      </c>
      <c r="F180" s="2" t="s">
        <v>547</v>
      </c>
      <c r="G180" s="2" t="s">
        <v>83</v>
      </c>
      <c r="H180" s="2" t="s">
        <v>49</v>
      </c>
      <c r="I180" s="4">
        <v>32644</v>
      </c>
    </row>
    <row r="181" spans="1:9" x14ac:dyDescent="0.25">
      <c r="A181" s="2" t="s">
        <v>15</v>
      </c>
      <c r="B181" s="2">
        <v>1900</v>
      </c>
      <c r="C181" s="2">
        <v>1</v>
      </c>
      <c r="D181" s="2" t="s">
        <v>39</v>
      </c>
      <c r="E181" s="3">
        <v>44566</v>
      </c>
      <c r="F181" s="2" t="s">
        <v>367</v>
      </c>
      <c r="G181" s="2" t="s">
        <v>424</v>
      </c>
      <c r="H181" s="2" t="s">
        <v>49</v>
      </c>
      <c r="I181" s="4">
        <v>30039</v>
      </c>
    </row>
    <row r="182" spans="1:9" x14ac:dyDescent="0.25">
      <c r="A182" s="2" t="s">
        <v>27</v>
      </c>
      <c r="B182" s="2">
        <v>1500</v>
      </c>
      <c r="C182" s="2">
        <v>5</v>
      </c>
      <c r="D182" s="2" t="s">
        <v>37</v>
      </c>
      <c r="E182" s="3">
        <v>44807</v>
      </c>
      <c r="F182" s="2" t="s">
        <v>146</v>
      </c>
      <c r="G182" s="2" t="s">
        <v>147</v>
      </c>
      <c r="H182" s="2" t="s">
        <v>44</v>
      </c>
      <c r="I182" s="4">
        <v>31992</v>
      </c>
    </row>
    <row r="183" spans="1:9" x14ac:dyDescent="0.25">
      <c r="A183" s="2" t="s">
        <v>8</v>
      </c>
      <c r="B183" s="2">
        <v>5500</v>
      </c>
      <c r="C183" s="2">
        <v>5</v>
      </c>
      <c r="D183" s="2" t="s">
        <v>36</v>
      </c>
      <c r="E183" s="3">
        <v>44820</v>
      </c>
      <c r="F183" s="2" t="s">
        <v>111</v>
      </c>
      <c r="G183" s="2" t="s">
        <v>614</v>
      </c>
      <c r="H183" s="2" t="s">
        <v>44</v>
      </c>
      <c r="I183" s="4">
        <v>25590</v>
      </c>
    </row>
    <row r="184" spans="1:9" x14ac:dyDescent="0.25">
      <c r="A184" s="2" t="s">
        <v>13</v>
      </c>
      <c r="B184" s="2">
        <v>2300</v>
      </c>
      <c r="C184" s="2">
        <v>2</v>
      </c>
      <c r="D184" s="2" t="s">
        <v>34</v>
      </c>
      <c r="E184" s="3">
        <v>44713</v>
      </c>
      <c r="F184" s="2" t="s">
        <v>98</v>
      </c>
      <c r="G184" s="2" t="s">
        <v>619</v>
      </c>
      <c r="H184" s="2" t="s">
        <v>44</v>
      </c>
      <c r="I184" s="4">
        <v>26250</v>
      </c>
    </row>
    <row r="185" spans="1:9" x14ac:dyDescent="0.25">
      <c r="A185" s="2" t="s">
        <v>25</v>
      </c>
      <c r="B185" s="2">
        <v>2500</v>
      </c>
      <c r="C185" s="2">
        <v>2</v>
      </c>
      <c r="D185" s="2" t="s">
        <v>30</v>
      </c>
      <c r="E185" s="3">
        <v>44801</v>
      </c>
      <c r="F185" s="2" t="s">
        <v>350</v>
      </c>
      <c r="G185" s="2" t="s">
        <v>83</v>
      </c>
      <c r="H185" s="2" t="s">
        <v>44</v>
      </c>
      <c r="I185" s="4">
        <v>21130</v>
      </c>
    </row>
    <row r="186" spans="1:9" x14ac:dyDescent="0.25">
      <c r="A186" s="2" t="s">
        <v>23</v>
      </c>
      <c r="B186" s="2">
        <v>1500</v>
      </c>
      <c r="C186" s="2">
        <v>5</v>
      </c>
      <c r="D186" s="2" t="s">
        <v>37</v>
      </c>
      <c r="E186" s="3">
        <v>44704</v>
      </c>
      <c r="F186" s="2" t="s">
        <v>98</v>
      </c>
      <c r="G186" s="2" t="s">
        <v>99</v>
      </c>
      <c r="H186" s="2" t="s">
        <v>44</v>
      </c>
      <c r="I186" s="4">
        <v>34370</v>
      </c>
    </row>
    <row r="187" spans="1:9" x14ac:dyDescent="0.25">
      <c r="A187" s="2" t="s">
        <v>6</v>
      </c>
      <c r="B187" s="2">
        <v>1200</v>
      </c>
      <c r="C187" s="2">
        <v>3</v>
      </c>
      <c r="D187" s="2" t="s">
        <v>36</v>
      </c>
      <c r="E187" s="3">
        <v>44713</v>
      </c>
      <c r="F187" s="2" t="s">
        <v>486</v>
      </c>
      <c r="G187" s="2" t="s">
        <v>308</v>
      </c>
      <c r="H187" s="2" t="s">
        <v>44</v>
      </c>
      <c r="I187" s="4">
        <v>35988</v>
      </c>
    </row>
    <row r="188" spans="1:9" x14ac:dyDescent="0.25">
      <c r="A188" s="2" t="s">
        <v>28</v>
      </c>
      <c r="B188" s="2">
        <v>1400</v>
      </c>
      <c r="C188" s="2">
        <v>1</v>
      </c>
      <c r="D188" s="2" t="s">
        <v>38</v>
      </c>
      <c r="E188" s="3">
        <v>44649</v>
      </c>
      <c r="F188" s="2" t="s">
        <v>235</v>
      </c>
      <c r="G188" s="2" t="s">
        <v>57</v>
      </c>
      <c r="H188" s="2" t="s">
        <v>44</v>
      </c>
      <c r="I188" s="4">
        <v>26823</v>
      </c>
    </row>
    <row r="189" spans="1:9" x14ac:dyDescent="0.25">
      <c r="A189" s="2" t="s">
        <v>9</v>
      </c>
      <c r="B189" s="2">
        <v>1500</v>
      </c>
      <c r="C189" s="2">
        <v>2</v>
      </c>
      <c r="D189" s="2" t="s">
        <v>29</v>
      </c>
      <c r="E189" s="3">
        <v>44751</v>
      </c>
      <c r="F189" s="2" t="s">
        <v>356</v>
      </c>
      <c r="G189" s="2" t="s">
        <v>357</v>
      </c>
      <c r="H189" s="2" t="s">
        <v>49</v>
      </c>
      <c r="I189" s="4">
        <v>26402</v>
      </c>
    </row>
    <row r="190" spans="1:9" x14ac:dyDescent="0.25">
      <c r="A190" s="2" t="s">
        <v>17</v>
      </c>
      <c r="B190" s="2">
        <v>1550</v>
      </c>
      <c r="C190" s="2">
        <v>4</v>
      </c>
      <c r="D190" s="2" t="s">
        <v>37</v>
      </c>
      <c r="E190" s="3">
        <v>44770</v>
      </c>
      <c r="F190" s="2" t="s">
        <v>233</v>
      </c>
      <c r="G190" s="2" t="s">
        <v>483</v>
      </c>
      <c r="H190" s="2" t="s">
        <v>49</v>
      </c>
      <c r="I190" s="4">
        <v>23101</v>
      </c>
    </row>
    <row r="191" spans="1:9" x14ac:dyDescent="0.25">
      <c r="A191" s="2" t="s">
        <v>6</v>
      </c>
      <c r="B191" s="2">
        <v>1200</v>
      </c>
      <c r="C191" s="2">
        <v>2</v>
      </c>
      <c r="D191" s="2" t="s">
        <v>33</v>
      </c>
      <c r="E191" s="3">
        <v>44794</v>
      </c>
      <c r="F191" s="2" t="s">
        <v>527</v>
      </c>
      <c r="G191" s="2" t="s">
        <v>209</v>
      </c>
      <c r="H191" s="2" t="s">
        <v>49</v>
      </c>
      <c r="I191" s="4">
        <v>28647</v>
      </c>
    </row>
    <row r="192" spans="1:9" x14ac:dyDescent="0.25">
      <c r="A192" s="2" t="s">
        <v>26</v>
      </c>
      <c r="B192" s="2">
        <v>1100</v>
      </c>
      <c r="C192" s="2">
        <v>1</v>
      </c>
      <c r="D192" s="2" t="s">
        <v>30</v>
      </c>
      <c r="E192" s="3">
        <v>44757</v>
      </c>
      <c r="F192" s="2" t="s">
        <v>486</v>
      </c>
      <c r="G192" s="2" t="s">
        <v>63</v>
      </c>
      <c r="H192" s="2" t="s">
        <v>44</v>
      </c>
      <c r="I192" s="4">
        <v>35609</v>
      </c>
    </row>
    <row r="193" spans="1:9" x14ac:dyDescent="0.25">
      <c r="A193" s="2" t="s">
        <v>12</v>
      </c>
      <c r="B193" s="2">
        <v>6500</v>
      </c>
      <c r="C193" s="2">
        <v>4</v>
      </c>
      <c r="D193" s="2" t="s">
        <v>39</v>
      </c>
      <c r="E193" s="3">
        <v>44578</v>
      </c>
      <c r="F193" s="2" t="s">
        <v>98</v>
      </c>
      <c r="G193" s="2" t="s">
        <v>349</v>
      </c>
      <c r="H193" s="2" t="s">
        <v>44</v>
      </c>
      <c r="I193" s="4">
        <v>36677</v>
      </c>
    </row>
    <row r="194" spans="1:9" x14ac:dyDescent="0.25">
      <c r="A194" s="2" t="s">
        <v>10</v>
      </c>
      <c r="B194" s="2">
        <v>1450</v>
      </c>
      <c r="C194" s="2">
        <v>4</v>
      </c>
      <c r="D194" s="2" t="s">
        <v>36</v>
      </c>
      <c r="E194" s="3">
        <v>44844</v>
      </c>
      <c r="F194" s="2" t="s">
        <v>175</v>
      </c>
      <c r="G194" s="2" t="s">
        <v>176</v>
      </c>
      <c r="H194" s="2" t="s">
        <v>49</v>
      </c>
      <c r="I194" s="4">
        <v>28801</v>
      </c>
    </row>
    <row r="195" spans="1:9" x14ac:dyDescent="0.25">
      <c r="A195" s="2" t="s">
        <v>26</v>
      </c>
      <c r="B195" s="2">
        <v>1100</v>
      </c>
      <c r="C195" s="2">
        <v>5</v>
      </c>
      <c r="D195" s="2" t="s">
        <v>41</v>
      </c>
      <c r="E195" s="3">
        <v>44572</v>
      </c>
      <c r="F195" s="2" t="s">
        <v>355</v>
      </c>
      <c r="G195" s="2" t="s">
        <v>229</v>
      </c>
      <c r="H195" s="2" t="s">
        <v>44</v>
      </c>
      <c r="I195" s="4">
        <v>36707</v>
      </c>
    </row>
    <row r="196" spans="1:9" x14ac:dyDescent="0.25">
      <c r="A196" s="2" t="s">
        <v>17</v>
      </c>
      <c r="B196" s="2">
        <v>1550</v>
      </c>
      <c r="C196" s="2">
        <v>5</v>
      </c>
      <c r="D196" s="2" t="s">
        <v>34</v>
      </c>
      <c r="E196" s="3">
        <v>44776</v>
      </c>
      <c r="F196" s="2" t="s">
        <v>439</v>
      </c>
      <c r="G196" s="2" t="s">
        <v>89</v>
      </c>
      <c r="H196" s="2" t="s">
        <v>44</v>
      </c>
      <c r="I196" s="4">
        <v>20248</v>
      </c>
    </row>
    <row r="197" spans="1:9" x14ac:dyDescent="0.25">
      <c r="A197" s="2" t="s">
        <v>16</v>
      </c>
      <c r="B197" s="2">
        <v>1400</v>
      </c>
      <c r="C197" s="2">
        <v>5</v>
      </c>
      <c r="D197" s="2" t="s">
        <v>35</v>
      </c>
      <c r="E197" s="3">
        <v>44678</v>
      </c>
      <c r="F197" s="2" t="s">
        <v>120</v>
      </c>
      <c r="G197" s="2" t="s">
        <v>440</v>
      </c>
      <c r="H197" s="2" t="s">
        <v>44</v>
      </c>
      <c r="I197" s="4">
        <v>25875</v>
      </c>
    </row>
    <row r="198" spans="1:9" x14ac:dyDescent="0.25">
      <c r="A198" s="2" t="s">
        <v>12</v>
      </c>
      <c r="B198" s="2">
        <v>6500</v>
      </c>
      <c r="C198" s="2">
        <v>4</v>
      </c>
      <c r="D198" s="2" t="s">
        <v>35</v>
      </c>
      <c r="E198" s="3">
        <v>44700</v>
      </c>
      <c r="F198" s="2" t="s">
        <v>544</v>
      </c>
      <c r="G198" s="2" t="s">
        <v>238</v>
      </c>
      <c r="H198" s="2" t="s">
        <v>44</v>
      </c>
      <c r="I198" s="4">
        <v>23493</v>
      </c>
    </row>
    <row r="199" spans="1:9" x14ac:dyDescent="0.25">
      <c r="A199" s="2" t="s">
        <v>27</v>
      </c>
      <c r="B199" s="2">
        <v>1500</v>
      </c>
      <c r="C199" s="2">
        <v>1</v>
      </c>
      <c r="D199" s="2" t="s">
        <v>32</v>
      </c>
      <c r="E199" s="3">
        <v>44756</v>
      </c>
      <c r="F199" s="2" t="s">
        <v>295</v>
      </c>
      <c r="G199" s="2" t="s">
        <v>418</v>
      </c>
      <c r="H199" s="2" t="s">
        <v>49</v>
      </c>
      <c r="I199" s="4">
        <v>24615</v>
      </c>
    </row>
    <row r="200" spans="1:9" x14ac:dyDescent="0.25">
      <c r="A200" s="2" t="s">
        <v>28</v>
      </c>
      <c r="B200" s="2">
        <v>1400</v>
      </c>
      <c r="C200" s="2">
        <v>1</v>
      </c>
      <c r="D200" s="2" t="s">
        <v>30</v>
      </c>
      <c r="E200" s="3">
        <v>44840</v>
      </c>
      <c r="F200" s="2" t="s">
        <v>58</v>
      </c>
      <c r="G200" s="2" t="s">
        <v>59</v>
      </c>
      <c r="H200" s="2" t="s">
        <v>49</v>
      </c>
      <c r="I200" s="4">
        <v>23712</v>
      </c>
    </row>
    <row r="201" spans="1:9" x14ac:dyDescent="0.25">
      <c r="A201" s="2" t="s">
        <v>28</v>
      </c>
      <c r="B201" s="2">
        <v>1400</v>
      </c>
      <c r="C201" s="2">
        <v>4</v>
      </c>
      <c r="D201" s="2" t="s">
        <v>32</v>
      </c>
      <c r="E201" s="3">
        <v>44926</v>
      </c>
      <c r="F201" s="2" t="s">
        <v>420</v>
      </c>
      <c r="G201" s="2" t="s">
        <v>421</v>
      </c>
      <c r="H201" s="2" t="s">
        <v>44</v>
      </c>
      <c r="I201" s="4">
        <v>36441</v>
      </c>
    </row>
    <row r="202" spans="1:9" x14ac:dyDescent="0.25">
      <c r="A202" s="2" t="s">
        <v>8</v>
      </c>
      <c r="B202" s="2">
        <v>5500</v>
      </c>
      <c r="C202" s="2">
        <v>4</v>
      </c>
      <c r="D202" s="2" t="s">
        <v>35</v>
      </c>
      <c r="E202" s="3">
        <v>44919</v>
      </c>
      <c r="F202" s="2" t="s">
        <v>531</v>
      </c>
      <c r="G202" s="2" t="s">
        <v>532</v>
      </c>
      <c r="H202" s="2" t="s">
        <v>44</v>
      </c>
      <c r="I202" s="4">
        <v>23498</v>
      </c>
    </row>
    <row r="203" spans="1:9" x14ac:dyDescent="0.25">
      <c r="A203" s="2" t="s">
        <v>12</v>
      </c>
      <c r="B203" s="2">
        <v>6500</v>
      </c>
      <c r="C203" s="2">
        <v>3</v>
      </c>
      <c r="D203" s="2" t="s">
        <v>35</v>
      </c>
      <c r="E203" s="3">
        <v>44685</v>
      </c>
      <c r="F203" s="2" t="s">
        <v>137</v>
      </c>
      <c r="G203" s="2" t="s">
        <v>63</v>
      </c>
      <c r="H203" s="2" t="s">
        <v>49</v>
      </c>
      <c r="I203" s="4">
        <v>24741</v>
      </c>
    </row>
    <row r="204" spans="1:9" x14ac:dyDescent="0.25">
      <c r="A204" s="2" t="s">
        <v>18</v>
      </c>
      <c r="B204" s="2">
        <v>3000</v>
      </c>
      <c r="C204" s="2">
        <v>3</v>
      </c>
      <c r="D204" s="2" t="s">
        <v>38</v>
      </c>
      <c r="E204" s="3">
        <v>44723</v>
      </c>
      <c r="F204" s="2" t="s">
        <v>552</v>
      </c>
      <c r="G204" s="2" t="s">
        <v>553</v>
      </c>
      <c r="H204" s="2" t="s">
        <v>49</v>
      </c>
      <c r="I204" s="4">
        <v>23179</v>
      </c>
    </row>
    <row r="205" spans="1:9" x14ac:dyDescent="0.25">
      <c r="A205" s="2" t="s">
        <v>16</v>
      </c>
      <c r="B205" s="2">
        <v>1400</v>
      </c>
      <c r="C205" s="2">
        <v>3</v>
      </c>
      <c r="D205" s="2" t="s">
        <v>36</v>
      </c>
      <c r="E205" s="3">
        <v>44907</v>
      </c>
      <c r="F205" s="2" t="s">
        <v>120</v>
      </c>
      <c r="G205" s="2" t="s">
        <v>171</v>
      </c>
      <c r="H205" s="2" t="s">
        <v>44</v>
      </c>
      <c r="I205" s="4">
        <v>26810</v>
      </c>
    </row>
    <row r="206" spans="1:9" x14ac:dyDescent="0.25">
      <c r="A206" s="2" t="s">
        <v>9</v>
      </c>
      <c r="B206" s="2">
        <v>1500</v>
      </c>
      <c r="C206" s="2">
        <v>1</v>
      </c>
      <c r="D206" s="2" t="s">
        <v>37</v>
      </c>
      <c r="E206" s="3">
        <v>44609</v>
      </c>
      <c r="F206" s="2" t="s">
        <v>120</v>
      </c>
      <c r="G206" s="2" t="s">
        <v>171</v>
      </c>
      <c r="H206" s="2" t="s">
        <v>44</v>
      </c>
      <c r="I206" s="4">
        <v>26468</v>
      </c>
    </row>
    <row r="207" spans="1:9" x14ac:dyDescent="0.25">
      <c r="A207" s="2" t="s">
        <v>17</v>
      </c>
      <c r="B207" s="2">
        <v>1550</v>
      </c>
      <c r="C207" s="2">
        <v>5</v>
      </c>
      <c r="D207" s="2" t="s">
        <v>41</v>
      </c>
      <c r="E207" s="3">
        <v>44571</v>
      </c>
      <c r="F207" s="2" t="s">
        <v>74</v>
      </c>
      <c r="G207" s="2" t="s">
        <v>606</v>
      </c>
      <c r="H207" s="2" t="s">
        <v>44</v>
      </c>
      <c r="I207" s="4">
        <v>21824</v>
      </c>
    </row>
    <row r="208" spans="1:9" x14ac:dyDescent="0.25">
      <c r="A208" s="2" t="s">
        <v>9</v>
      </c>
      <c r="B208" s="2">
        <v>1500</v>
      </c>
      <c r="C208" s="2">
        <v>5</v>
      </c>
      <c r="D208" s="2" t="s">
        <v>33</v>
      </c>
      <c r="E208" s="3">
        <v>44867</v>
      </c>
      <c r="F208" s="2" t="s">
        <v>219</v>
      </c>
      <c r="G208" s="2" t="s">
        <v>220</v>
      </c>
      <c r="H208" s="2" t="s">
        <v>49</v>
      </c>
      <c r="I208" s="4">
        <v>22589</v>
      </c>
    </row>
    <row r="209" spans="1:9" x14ac:dyDescent="0.25">
      <c r="A209" s="2" t="s">
        <v>12</v>
      </c>
      <c r="B209" s="2">
        <v>6500</v>
      </c>
      <c r="C209" s="2">
        <v>1</v>
      </c>
      <c r="D209" s="2" t="s">
        <v>29</v>
      </c>
      <c r="E209" s="3">
        <v>44764</v>
      </c>
      <c r="F209" s="2" t="s">
        <v>466</v>
      </c>
      <c r="G209" s="2" t="s">
        <v>380</v>
      </c>
      <c r="H209" s="2" t="s">
        <v>49</v>
      </c>
      <c r="I209" s="4">
        <v>36283</v>
      </c>
    </row>
    <row r="210" spans="1:9" x14ac:dyDescent="0.25">
      <c r="A210" s="2" t="s">
        <v>11</v>
      </c>
      <c r="B210" s="2">
        <v>4500</v>
      </c>
      <c r="C210" s="2">
        <v>4</v>
      </c>
      <c r="D210" s="2" t="s">
        <v>36</v>
      </c>
      <c r="E210" s="3">
        <v>44757</v>
      </c>
      <c r="F210" s="2" t="s">
        <v>96</v>
      </c>
      <c r="G210" s="2" t="s">
        <v>97</v>
      </c>
      <c r="H210" s="2" t="s">
        <v>44</v>
      </c>
      <c r="I210" s="4">
        <v>28285</v>
      </c>
    </row>
    <row r="211" spans="1:9" x14ac:dyDescent="0.25">
      <c r="A211" s="2" t="s">
        <v>21</v>
      </c>
      <c r="B211" s="2">
        <v>2400</v>
      </c>
      <c r="C211" s="2">
        <v>5</v>
      </c>
      <c r="D211" s="2" t="s">
        <v>29</v>
      </c>
      <c r="E211" s="3">
        <v>44902</v>
      </c>
      <c r="F211" s="2" t="s">
        <v>136</v>
      </c>
      <c r="G211" s="2" t="s">
        <v>75</v>
      </c>
      <c r="H211" s="2" t="s">
        <v>49</v>
      </c>
      <c r="I211" s="4">
        <v>19190</v>
      </c>
    </row>
    <row r="212" spans="1:9" x14ac:dyDescent="0.25">
      <c r="A212" s="2" t="s">
        <v>17</v>
      </c>
      <c r="B212" s="2">
        <v>1550</v>
      </c>
      <c r="C212" s="2">
        <v>4</v>
      </c>
      <c r="D212" s="2" t="s">
        <v>39</v>
      </c>
      <c r="E212" s="3">
        <v>44747</v>
      </c>
      <c r="F212" s="2" t="s">
        <v>510</v>
      </c>
      <c r="G212" s="2" t="s">
        <v>482</v>
      </c>
      <c r="H212" s="2" t="s">
        <v>49</v>
      </c>
      <c r="I212" s="4">
        <v>34955</v>
      </c>
    </row>
    <row r="213" spans="1:9" x14ac:dyDescent="0.25">
      <c r="A213" s="2" t="s">
        <v>28</v>
      </c>
      <c r="B213" s="2">
        <v>1400</v>
      </c>
      <c r="C213" s="2">
        <v>5</v>
      </c>
      <c r="D213" s="2" t="s">
        <v>38</v>
      </c>
      <c r="E213" s="3">
        <v>44744</v>
      </c>
      <c r="F213" s="2" t="s">
        <v>216</v>
      </c>
      <c r="G213" s="2" t="s">
        <v>502</v>
      </c>
      <c r="H213" s="2" t="s">
        <v>44</v>
      </c>
      <c r="I213" s="4">
        <v>18757</v>
      </c>
    </row>
    <row r="214" spans="1:9" x14ac:dyDescent="0.25">
      <c r="A214" s="2" t="s">
        <v>17</v>
      </c>
      <c r="B214" s="2">
        <v>1550</v>
      </c>
      <c r="C214" s="2">
        <v>2</v>
      </c>
      <c r="D214" s="2" t="s">
        <v>41</v>
      </c>
      <c r="E214" s="3">
        <v>44772</v>
      </c>
      <c r="F214" s="2" t="s">
        <v>74</v>
      </c>
      <c r="G214" s="2" t="s">
        <v>63</v>
      </c>
      <c r="H214" s="2" t="s">
        <v>44</v>
      </c>
      <c r="I214" s="4">
        <v>34771</v>
      </c>
    </row>
    <row r="215" spans="1:9" x14ac:dyDescent="0.25">
      <c r="A215" s="2" t="s">
        <v>13</v>
      </c>
      <c r="B215" s="2">
        <v>2300</v>
      </c>
      <c r="C215" s="2">
        <v>2</v>
      </c>
      <c r="D215" s="2" t="s">
        <v>36</v>
      </c>
      <c r="E215" s="3">
        <v>44834</v>
      </c>
      <c r="F215" s="2" t="s">
        <v>74</v>
      </c>
      <c r="G215" s="2" t="s">
        <v>169</v>
      </c>
      <c r="H215" s="2" t="s">
        <v>44</v>
      </c>
      <c r="I215" s="4">
        <v>34026</v>
      </c>
    </row>
    <row r="216" spans="1:9" x14ac:dyDescent="0.25">
      <c r="A216" s="2" t="s">
        <v>23</v>
      </c>
      <c r="B216" s="2">
        <v>1500</v>
      </c>
      <c r="C216" s="2">
        <v>3</v>
      </c>
      <c r="D216" s="2" t="s">
        <v>31</v>
      </c>
      <c r="E216" s="3">
        <v>44893</v>
      </c>
      <c r="F216" s="2" t="s">
        <v>98</v>
      </c>
      <c r="G216" s="2" t="s">
        <v>508</v>
      </c>
      <c r="H216" s="2" t="s">
        <v>44</v>
      </c>
      <c r="I216" s="4">
        <v>33252</v>
      </c>
    </row>
    <row r="217" spans="1:9" x14ac:dyDescent="0.25">
      <c r="A217" s="2" t="s">
        <v>24</v>
      </c>
      <c r="B217" s="2">
        <v>2000</v>
      </c>
      <c r="C217" s="2">
        <v>2</v>
      </c>
      <c r="D217" s="2" t="s">
        <v>38</v>
      </c>
      <c r="E217" s="3">
        <v>44730</v>
      </c>
      <c r="F217" s="2" t="s">
        <v>51</v>
      </c>
      <c r="G217" s="2" t="s">
        <v>412</v>
      </c>
      <c r="H217" s="2" t="s">
        <v>44</v>
      </c>
      <c r="I217" s="4">
        <v>32482</v>
      </c>
    </row>
    <row r="218" spans="1:9" x14ac:dyDescent="0.25">
      <c r="A218" s="2" t="s">
        <v>10</v>
      </c>
      <c r="B218" s="2">
        <v>1450</v>
      </c>
      <c r="C218" s="2">
        <v>3</v>
      </c>
      <c r="D218" s="2" t="s">
        <v>37</v>
      </c>
      <c r="E218" s="3">
        <v>44566</v>
      </c>
      <c r="F218" s="2" t="s">
        <v>431</v>
      </c>
      <c r="G218" s="2" t="s">
        <v>432</v>
      </c>
      <c r="H218" s="2" t="s">
        <v>49</v>
      </c>
      <c r="I218" s="4">
        <v>36471</v>
      </c>
    </row>
    <row r="219" spans="1:9" x14ac:dyDescent="0.25">
      <c r="A219" s="2" t="s">
        <v>14</v>
      </c>
      <c r="B219" s="2">
        <v>2000</v>
      </c>
      <c r="C219" s="2">
        <v>4</v>
      </c>
      <c r="D219" s="2" t="s">
        <v>39</v>
      </c>
      <c r="E219" s="3">
        <v>44849</v>
      </c>
      <c r="F219" s="2" t="s">
        <v>318</v>
      </c>
      <c r="G219" s="2" t="s">
        <v>395</v>
      </c>
      <c r="H219" s="2" t="s">
        <v>44</v>
      </c>
      <c r="I219" s="4">
        <v>32659</v>
      </c>
    </row>
    <row r="220" spans="1:9" x14ac:dyDescent="0.25">
      <c r="A220" s="2" t="s">
        <v>24</v>
      </c>
      <c r="B220" s="2">
        <v>2000</v>
      </c>
      <c r="C220" s="2">
        <v>2</v>
      </c>
      <c r="D220" s="2" t="s">
        <v>32</v>
      </c>
      <c r="E220" s="3">
        <v>44635</v>
      </c>
      <c r="F220" s="2" t="s">
        <v>390</v>
      </c>
      <c r="G220" s="2" t="s">
        <v>229</v>
      </c>
      <c r="H220" s="2" t="s">
        <v>49</v>
      </c>
      <c r="I220" s="4">
        <v>30740</v>
      </c>
    </row>
    <row r="221" spans="1:9" x14ac:dyDescent="0.25">
      <c r="A221" s="2" t="s">
        <v>15</v>
      </c>
      <c r="B221" s="2">
        <v>1900</v>
      </c>
      <c r="C221" s="2">
        <v>4</v>
      </c>
      <c r="D221" s="2" t="s">
        <v>31</v>
      </c>
      <c r="E221" s="3">
        <v>44575</v>
      </c>
      <c r="F221" s="2" t="s">
        <v>260</v>
      </c>
      <c r="G221" s="2" t="s">
        <v>203</v>
      </c>
      <c r="H221" s="2" t="s">
        <v>49</v>
      </c>
      <c r="I221" s="4">
        <v>29734</v>
      </c>
    </row>
    <row r="222" spans="1:9" x14ac:dyDescent="0.25">
      <c r="A222" s="2" t="s">
        <v>5</v>
      </c>
      <c r="B222" s="2">
        <v>1750</v>
      </c>
      <c r="C222" s="2">
        <v>2</v>
      </c>
      <c r="D222" s="2" t="s">
        <v>30</v>
      </c>
      <c r="E222" s="3">
        <v>44594</v>
      </c>
      <c r="F222" s="2" t="s">
        <v>94</v>
      </c>
      <c r="G222" s="2" t="s">
        <v>536</v>
      </c>
      <c r="H222" s="2" t="s">
        <v>49</v>
      </c>
      <c r="I222" s="4">
        <v>33821</v>
      </c>
    </row>
    <row r="223" spans="1:9" x14ac:dyDescent="0.25">
      <c r="A223" s="2" t="s">
        <v>9</v>
      </c>
      <c r="B223" s="2">
        <v>1500</v>
      </c>
      <c r="C223" s="2">
        <v>5</v>
      </c>
      <c r="D223" s="2" t="s">
        <v>33</v>
      </c>
      <c r="E223" s="3">
        <v>44837</v>
      </c>
      <c r="F223" s="2" t="s">
        <v>78</v>
      </c>
      <c r="G223" s="2" t="s">
        <v>83</v>
      </c>
      <c r="H223" s="2" t="s">
        <v>49</v>
      </c>
      <c r="I223" s="4">
        <v>19821</v>
      </c>
    </row>
    <row r="224" spans="1:9" x14ac:dyDescent="0.25">
      <c r="A224" s="2" t="s">
        <v>28</v>
      </c>
      <c r="B224" s="2">
        <v>1400</v>
      </c>
      <c r="C224" s="2">
        <v>4</v>
      </c>
      <c r="D224" s="2" t="s">
        <v>37</v>
      </c>
      <c r="E224" s="3">
        <v>44603</v>
      </c>
      <c r="F224" s="2" t="s">
        <v>548</v>
      </c>
      <c r="G224" s="2" t="s">
        <v>559</v>
      </c>
      <c r="H224" s="2" t="s">
        <v>49</v>
      </c>
      <c r="I224" s="4">
        <v>35817</v>
      </c>
    </row>
    <row r="225" spans="1:9" x14ac:dyDescent="0.25">
      <c r="A225" s="2" t="s">
        <v>23</v>
      </c>
      <c r="B225" s="2">
        <v>1500</v>
      </c>
      <c r="C225" s="2">
        <v>4</v>
      </c>
      <c r="D225" s="2" t="s">
        <v>33</v>
      </c>
      <c r="E225" s="3">
        <v>44758</v>
      </c>
      <c r="F225" s="2" t="s">
        <v>109</v>
      </c>
      <c r="G225" s="2" t="s">
        <v>182</v>
      </c>
      <c r="H225" s="2" t="s">
        <v>44</v>
      </c>
      <c r="I225" s="4">
        <v>30803</v>
      </c>
    </row>
    <row r="226" spans="1:9" x14ac:dyDescent="0.25">
      <c r="A226" s="2" t="s">
        <v>24</v>
      </c>
      <c r="B226" s="2">
        <v>2000</v>
      </c>
      <c r="C226" s="2">
        <v>2</v>
      </c>
      <c r="D226" s="2" t="s">
        <v>33</v>
      </c>
      <c r="E226" s="3">
        <v>44871</v>
      </c>
      <c r="F226" s="2" t="s">
        <v>52</v>
      </c>
      <c r="G226" s="2" t="s">
        <v>75</v>
      </c>
      <c r="H226" s="2" t="s">
        <v>44</v>
      </c>
      <c r="I226" s="4">
        <v>29332</v>
      </c>
    </row>
    <row r="227" spans="1:9" x14ac:dyDescent="0.25">
      <c r="A227" s="2" t="s">
        <v>20</v>
      </c>
      <c r="B227" s="2">
        <v>2600</v>
      </c>
      <c r="C227" s="2">
        <v>1</v>
      </c>
      <c r="D227" s="2" t="s">
        <v>35</v>
      </c>
      <c r="E227" s="3">
        <v>44765</v>
      </c>
      <c r="F227" s="2" t="s">
        <v>52</v>
      </c>
      <c r="G227" s="2" t="s">
        <v>580</v>
      </c>
      <c r="H227" s="2" t="s">
        <v>44</v>
      </c>
      <c r="I227" s="4">
        <v>34051</v>
      </c>
    </row>
    <row r="228" spans="1:9" x14ac:dyDescent="0.25">
      <c r="A228" s="2" t="s">
        <v>24</v>
      </c>
      <c r="B228" s="2">
        <v>2000</v>
      </c>
      <c r="C228" s="2">
        <v>4</v>
      </c>
      <c r="D228" s="2" t="s">
        <v>36</v>
      </c>
      <c r="E228" s="3">
        <v>44754</v>
      </c>
      <c r="F228" s="2" t="s">
        <v>104</v>
      </c>
      <c r="G228" s="2" t="s">
        <v>410</v>
      </c>
      <c r="H228" s="2" t="s">
        <v>44</v>
      </c>
      <c r="I228" s="4">
        <v>18295</v>
      </c>
    </row>
    <row r="229" spans="1:9" x14ac:dyDescent="0.25">
      <c r="A229" s="2" t="s">
        <v>25</v>
      </c>
      <c r="B229" s="2">
        <v>2500</v>
      </c>
      <c r="C229" s="2">
        <v>4</v>
      </c>
      <c r="D229" s="2" t="s">
        <v>36</v>
      </c>
      <c r="E229" s="3">
        <v>44771</v>
      </c>
      <c r="F229" s="2" t="s">
        <v>302</v>
      </c>
      <c r="G229" s="2" t="s">
        <v>566</v>
      </c>
      <c r="H229" s="2" t="s">
        <v>49</v>
      </c>
      <c r="I229" s="4">
        <v>27853</v>
      </c>
    </row>
    <row r="230" spans="1:9" x14ac:dyDescent="0.25">
      <c r="A230" s="2" t="s">
        <v>8</v>
      </c>
      <c r="B230" s="2">
        <v>5500</v>
      </c>
      <c r="C230" s="2">
        <v>3</v>
      </c>
      <c r="D230" s="2" t="s">
        <v>40</v>
      </c>
      <c r="E230" s="3">
        <v>44783</v>
      </c>
      <c r="F230" s="2" t="s">
        <v>540</v>
      </c>
      <c r="G230" s="2" t="s">
        <v>75</v>
      </c>
      <c r="H230" s="2" t="s">
        <v>44</v>
      </c>
      <c r="I230" s="4">
        <v>25430</v>
      </c>
    </row>
    <row r="231" spans="1:9" x14ac:dyDescent="0.25">
      <c r="A231" s="2" t="s">
        <v>7</v>
      </c>
      <c r="B231" s="2">
        <v>750</v>
      </c>
      <c r="C231" s="2">
        <v>5</v>
      </c>
      <c r="D231" s="2" t="s">
        <v>32</v>
      </c>
      <c r="E231" s="3">
        <v>44625</v>
      </c>
      <c r="F231" s="2" t="s">
        <v>78</v>
      </c>
      <c r="G231" s="2" t="s">
        <v>67</v>
      </c>
      <c r="H231" s="2" t="s">
        <v>49</v>
      </c>
      <c r="I231" s="4">
        <v>33514</v>
      </c>
    </row>
    <row r="232" spans="1:9" x14ac:dyDescent="0.25">
      <c r="A232" s="2" t="s">
        <v>21</v>
      </c>
      <c r="B232" s="2">
        <v>2400</v>
      </c>
      <c r="C232" s="2">
        <v>5</v>
      </c>
      <c r="D232" s="2" t="s">
        <v>38</v>
      </c>
      <c r="E232" s="3">
        <v>44719</v>
      </c>
      <c r="F232" s="2" t="s">
        <v>140</v>
      </c>
      <c r="G232" s="2" t="s">
        <v>310</v>
      </c>
      <c r="H232" s="2" t="s">
        <v>49</v>
      </c>
      <c r="I232" s="4">
        <v>30655</v>
      </c>
    </row>
    <row r="233" spans="1:9" x14ac:dyDescent="0.25">
      <c r="A233" s="2" t="s">
        <v>16</v>
      </c>
      <c r="B233" s="2">
        <v>1400</v>
      </c>
      <c r="C233" s="2">
        <v>1</v>
      </c>
      <c r="D233" s="2" t="s">
        <v>30</v>
      </c>
      <c r="E233" s="3">
        <v>44656</v>
      </c>
      <c r="F233" s="2" t="s">
        <v>94</v>
      </c>
      <c r="G233" s="2" t="s">
        <v>285</v>
      </c>
      <c r="H233" s="2" t="s">
        <v>49</v>
      </c>
      <c r="I233" s="4">
        <v>23451</v>
      </c>
    </row>
    <row r="234" spans="1:9" x14ac:dyDescent="0.25">
      <c r="A234" s="2" t="s">
        <v>15</v>
      </c>
      <c r="B234" s="2">
        <v>1900</v>
      </c>
      <c r="C234" s="2">
        <v>2</v>
      </c>
      <c r="D234" s="2" t="s">
        <v>41</v>
      </c>
      <c r="E234" s="3">
        <v>44662</v>
      </c>
      <c r="F234" s="2" t="s">
        <v>267</v>
      </c>
      <c r="G234" s="2" t="s">
        <v>308</v>
      </c>
      <c r="H234" s="2" t="s">
        <v>44</v>
      </c>
      <c r="I234" s="4">
        <v>30823</v>
      </c>
    </row>
    <row r="235" spans="1:9" x14ac:dyDescent="0.25">
      <c r="A235" s="2" t="s">
        <v>8</v>
      </c>
      <c r="B235" s="2">
        <v>5500</v>
      </c>
      <c r="C235" s="2">
        <v>1</v>
      </c>
      <c r="D235" s="2" t="s">
        <v>32</v>
      </c>
      <c r="E235" s="3">
        <v>44714</v>
      </c>
      <c r="F235" s="2" t="s">
        <v>76</v>
      </c>
      <c r="G235" s="2" t="s">
        <v>358</v>
      </c>
      <c r="H235" s="2" t="s">
        <v>49</v>
      </c>
      <c r="I235" s="4">
        <v>33495</v>
      </c>
    </row>
    <row r="236" spans="1:9" x14ac:dyDescent="0.25">
      <c r="A236" s="2" t="s">
        <v>27</v>
      </c>
      <c r="B236" s="2">
        <v>1500</v>
      </c>
      <c r="C236" s="2">
        <v>5</v>
      </c>
      <c r="D236" s="2" t="s">
        <v>31</v>
      </c>
      <c r="E236" s="3">
        <v>44705</v>
      </c>
      <c r="F236" s="2" t="s">
        <v>101</v>
      </c>
      <c r="G236" s="2" t="s">
        <v>83</v>
      </c>
      <c r="H236" s="2" t="s">
        <v>49</v>
      </c>
      <c r="I236" s="4">
        <v>20172</v>
      </c>
    </row>
    <row r="237" spans="1:9" x14ac:dyDescent="0.25">
      <c r="A237" s="2" t="s">
        <v>20</v>
      </c>
      <c r="B237" s="2">
        <v>2600</v>
      </c>
      <c r="C237" s="2">
        <v>3</v>
      </c>
      <c r="D237" s="2" t="s">
        <v>29</v>
      </c>
      <c r="E237" s="3">
        <v>44714</v>
      </c>
      <c r="F237" s="2" t="s">
        <v>288</v>
      </c>
      <c r="G237" s="2" t="s">
        <v>308</v>
      </c>
      <c r="H237" s="2" t="s">
        <v>49</v>
      </c>
      <c r="I237" s="4">
        <v>26060</v>
      </c>
    </row>
    <row r="238" spans="1:9" x14ac:dyDescent="0.25">
      <c r="A238" s="2" t="s">
        <v>10</v>
      </c>
      <c r="B238" s="2">
        <v>1450</v>
      </c>
      <c r="C238" s="2">
        <v>5</v>
      </c>
      <c r="D238" s="2" t="s">
        <v>33</v>
      </c>
      <c r="E238" s="3">
        <v>44887</v>
      </c>
      <c r="F238" s="2" t="s">
        <v>87</v>
      </c>
      <c r="G238" s="2" t="s">
        <v>89</v>
      </c>
      <c r="H238" s="2" t="s">
        <v>44</v>
      </c>
      <c r="I238" s="4">
        <v>28442</v>
      </c>
    </row>
    <row r="239" spans="1:9" x14ac:dyDescent="0.25">
      <c r="A239" s="2" t="s">
        <v>7</v>
      </c>
      <c r="B239" s="2">
        <v>750</v>
      </c>
      <c r="C239" s="2">
        <v>2</v>
      </c>
      <c r="D239" s="2" t="s">
        <v>30</v>
      </c>
      <c r="E239" s="3">
        <v>44881</v>
      </c>
      <c r="F239" s="2" t="s">
        <v>78</v>
      </c>
      <c r="G239" s="2" t="s">
        <v>443</v>
      </c>
      <c r="H239" s="2" t="s">
        <v>49</v>
      </c>
      <c r="I239" s="4">
        <v>35369</v>
      </c>
    </row>
    <row r="240" spans="1:9" x14ac:dyDescent="0.25">
      <c r="A240" s="2" t="s">
        <v>9</v>
      </c>
      <c r="B240" s="2">
        <v>1500</v>
      </c>
      <c r="C240" s="2">
        <v>2</v>
      </c>
      <c r="D240" s="2" t="s">
        <v>36</v>
      </c>
      <c r="E240" s="3">
        <v>44724</v>
      </c>
      <c r="F240" s="2" t="s">
        <v>148</v>
      </c>
      <c r="G240" s="2" t="s">
        <v>322</v>
      </c>
      <c r="H240" s="2" t="s">
        <v>49</v>
      </c>
      <c r="I240" s="4">
        <v>18988</v>
      </c>
    </row>
    <row r="241" spans="1:9" x14ac:dyDescent="0.25">
      <c r="A241" s="2" t="s">
        <v>6</v>
      </c>
      <c r="B241" s="2">
        <v>1200</v>
      </c>
      <c r="C241" s="2">
        <v>2</v>
      </c>
      <c r="D241" s="2" t="s">
        <v>33</v>
      </c>
      <c r="E241" s="3">
        <v>44693</v>
      </c>
      <c r="F241" s="2" t="s">
        <v>109</v>
      </c>
      <c r="G241" s="2" t="s">
        <v>220</v>
      </c>
      <c r="H241" s="2" t="s">
        <v>44</v>
      </c>
      <c r="I241" s="4">
        <v>33043</v>
      </c>
    </row>
    <row r="242" spans="1:9" x14ac:dyDescent="0.25">
      <c r="A242" s="2" t="s">
        <v>17</v>
      </c>
      <c r="B242" s="2">
        <v>1550</v>
      </c>
      <c r="C242" s="2">
        <v>3</v>
      </c>
      <c r="D242" s="2" t="s">
        <v>38</v>
      </c>
      <c r="E242" s="3">
        <v>44799</v>
      </c>
      <c r="F242" s="2" t="s">
        <v>167</v>
      </c>
      <c r="G242" s="2" t="s">
        <v>168</v>
      </c>
      <c r="H242" s="2" t="s">
        <v>44</v>
      </c>
      <c r="I242" s="4">
        <v>32536</v>
      </c>
    </row>
    <row r="243" spans="1:9" x14ac:dyDescent="0.25">
      <c r="A243" s="2" t="s">
        <v>6</v>
      </c>
      <c r="B243" s="2">
        <v>1200</v>
      </c>
      <c r="C243" s="2">
        <v>2</v>
      </c>
      <c r="D243" s="2" t="s">
        <v>36</v>
      </c>
      <c r="E243" s="3">
        <v>44823</v>
      </c>
      <c r="F243" s="2" t="s">
        <v>120</v>
      </c>
      <c r="G243" s="2" t="s">
        <v>171</v>
      </c>
      <c r="H243" s="2" t="s">
        <v>44</v>
      </c>
      <c r="I243" s="4">
        <v>26810</v>
      </c>
    </row>
    <row r="244" spans="1:9" x14ac:dyDescent="0.25">
      <c r="A244" s="2" t="s">
        <v>7</v>
      </c>
      <c r="B244" s="2">
        <v>750</v>
      </c>
      <c r="C244" s="2">
        <v>5</v>
      </c>
      <c r="D244" s="2" t="s">
        <v>29</v>
      </c>
      <c r="E244" s="3">
        <v>44869</v>
      </c>
      <c r="F244" s="2" t="s">
        <v>179</v>
      </c>
      <c r="G244" s="2" t="s">
        <v>383</v>
      </c>
      <c r="H244" s="2" t="s">
        <v>44</v>
      </c>
      <c r="I244" s="4">
        <v>20035</v>
      </c>
    </row>
    <row r="245" spans="1:9" x14ac:dyDescent="0.25">
      <c r="A245" s="2" t="s">
        <v>10</v>
      </c>
      <c r="B245" s="2">
        <v>1450</v>
      </c>
      <c r="C245" s="2">
        <v>2</v>
      </c>
      <c r="D245" s="2" t="s">
        <v>34</v>
      </c>
      <c r="E245" s="3">
        <v>44677</v>
      </c>
      <c r="F245" s="2" t="s">
        <v>272</v>
      </c>
      <c r="G245" s="2" t="s">
        <v>495</v>
      </c>
      <c r="H245" s="2" t="s">
        <v>49</v>
      </c>
      <c r="I245" s="4">
        <v>34134</v>
      </c>
    </row>
    <row r="246" spans="1:9" x14ac:dyDescent="0.25">
      <c r="A246" s="2" t="s">
        <v>24</v>
      </c>
      <c r="B246" s="2">
        <v>2000</v>
      </c>
      <c r="C246" s="2">
        <v>2</v>
      </c>
      <c r="D246" s="2" t="s">
        <v>32</v>
      </c>
      <c r="E246" s="3">
        <v>44586</v>
      </c>
      <c r="F246" s="2" t="s">
        <v>256</v>
      </c>
      <c r="G246" s="2" t="s">
        <v>262</v>
      </c>
      <c r="H246" s="2" t="s">
        <v>44</v>
      </c>
      <c r="I246" s="4">
        <v>18583</v>
      </c>
    </row>
    <row r="247" spans="1:9" x14ac:dyDescent="0.25">
      <c r="A247" s="2" t="s">
        <v>15</v>
      </c>
      <c r="B247" s="2">
        <v>1900</v>
      </c>
      <c r="C247" s="2">
        <v>4</v>
      </c>
      <c r="D247" s="2" t="s">
        <v>37</v>
      </c>
      <c r="E247" s="3">
        <v>44685</v>
      </c>
      <c r="F247" s="2" t="s">
        <v>234</v>
      </c>
      <c r="G247" s="2" t="s">
        <v>117</v>
      </c>
      <c r="H247" s="2" t="s">
        <v>44</v>
      </c>
      <c r="I247" s="4">
        <v>31431</v>
      </c>
    </row>
    <row r="248" spans="1:9" x14ac:dyDescent="0.25">
      <c r="A248" s="2" t="s">
        <v>27</v>
      </c>
      <c r="B248" s="2">
        <v>1500</v>
      </c>
      <c r="C248" s="2">
        <v>1</v>
      </c>
      <c r="D248" s="2" t="s">
        <v>29</v>
      </c>
      <c r="E248" s="3">
        <v>44855</v>
      </c>
      <c r="F248" s="2" t="s">
        <v>179</v>
      </c>
      <c r="G248" s="2" t="s">
        <v>383</v>
      </c>
      <c r="H248" s="2" t="s">
        <v>44</v>
      </c>
      <c r="I248" s="4">
        <v>20035</v>
      </c>
    </row>
    <row r="249" spans="1:9" x14ac:dyDescent="0.25">
      <c r="A249" s="2" t="s">
        <v>25</v>
      </c>
      <c r="B249" s="2">
        <v>2500</v>
      </c>
      <c r="C249" s="2">
        <v>1</v>
      </c>
      <c r="D249" s="2" t="s">
        <v>30</v>
      </c>
      <c r="E249" s="3">
        <v>44592</v>
      </c>
      <c r="F249" s="2" t="s">
        <v>45</v>
      </c>
      <c r="G249" s="2" t="s">
        <v>46</v>
      </c>
      <c r="H249" s="2" t="s">
        <v>44</v>
      </c>
      <c r="I249" s="4">
        <v>32614</v>
      </c>
    </row>
    <row r="250" spans="1:9" x14ac:dyDescent="0.25">
      <c r="A250" s="2" t="s">
        <v>14</v>
      </c>
      <c r="B250" s="2">
        <v>2000</v>
      </c>
      <c r="C250" s="2">
        <v>3</v>
      </c>
      <c r="D250" s="2" t="s">
        <v>32</v>
      </c>
      <c r="E250" s="3">
        <v>44846</v>
      </c>
      <c r="F250" s="2" t="s">
        <v>68</v>
      </c>
      <c r="G250" s="2" t="s">
        <v>425</v>
      </c>
      <c r="H250" s="2" t="s">
        <v>49</v>
      </c>
      <c r="I250" s="4">
        <v>25697</v>
      </c>
    </row>
    <row r="251" spans="1:9" x14ac:dyDescent="0.25">
      <c r="A251" s="2" t="s">
        <v>15</v>
      </c>
      <c r="B251" s="2">
        <v>1900</v>
      </c>
      <c r="C251" s="2">
        <v>1</v>
      </c>
      <c r="D251" s="2" t="s">
        <v>29</v>
      </c>
      <c r="E251" s="3">
        <v>44653</v>
      </c>
      <c r="F251" s="2" t="s">
        <v>144</v>
      </c>
      <c r="G251" s="2" t="s">
        <v>145</v>
      </c>
      <c r="H251" s="2" t="s">
        <v>49</v>
      </c>
      <c r="I251" s="4">
        <v>27944</v>
      </c>
    </row>
    <row r="252" spans="1:9" x14ac:dyDescent="0.25">
      <c r="A252" s="2" t="s">
        <v>8</v>
      </c>
      <c r="B252" s="2">
        <v>5500</v>
      </c>
      <c r="C252" s="2">
        <v>2</v>
      </c>
      <c r="D252" s="2" t="s">
        <v>31</v>
      </c>
      <c r="E252" s="3">
        <v>44588</v>
      </c>
      <c r="F252" s="2" t="s">
        <v>535</v>
      </c>
      <c r="G252" s="2" t="s">
        <v>89</v>
      </c>
      <c r="H252" s="2" t="s">
        <v>44</v>
      </c>
      <c r="I252" s="4">
        <v>21320</v>
      </c>
    </row>
    <row r="253" spans="1:9" x14ac:dyDescent="0.25">
      <c r="A253" s="2" t="s">
        <v>13</v>
      </c>
      <c r="B253" s="2">
        <v>2300</v>
      </c>
      <c r="C253" s="2">
        <v>4</v>
      </c>
      <c r="D253" s="2" t="s">
        <v>34</v>
      </c>
      <c r="E253" s="3">
        <v>44674</v>
      </c>
      <c r="F253" s="2" t="s">
        <v>98</v>
      </c>
      <c r="G253" s="2" t="s">
        <v>213</v>
      </c>
      <c r="H253" s="2" t="s">
        <v>44</v>
      </c>
      <c r="I253" s="4">
        <v>23276</v>
      </c>
    </row>
    <row r="254" spans="1:9" x14ac:dyDescent="0.25">
      <c r="A254" s="2" t="s">
        <v>18</v>
      </c>
      <c r="B254" s="2">
        <v>3000</v>
      </c>
      <c r="C254" s="2">
        <v>1</v>
      </c>
      <c r="D254" s="2" t="s">
        <v>39</v>
      </c>
      <c r="E254" s="3">
        <v>44708</v>
      </c>
      <c r="F254" s="2" t="s">
        <v>131</v>
      </c>
      <c r="G254" s="2" t="s">
        <v>329</v>
      </c>
      <c r="H254" s="2" t="s">
        <v>44</v>
      </c>
      <c r="I254" s="4">
        <v>31228</v>
      </c>
    </row>
    <row r="255" spans="1:9" x14ac:dyDescent="0.25">
      <c r="A255" s="2" t="s">
        <v>28</v>
      </c>
      <c r="B255" s="2">
        <v>1400</v>
      </c>
      <c r="C255" s="2">
        <v>2</v>
      </c>
      <c r="D255" s="2" t="s">
        <v>33</v>
      </c>
      <c r="E255" s="3">
        <v>44752</v>
      </c>
      <c r="F255" s="2" t="s">
        <v>217</v>
      </c>
      <c r="G255" s="2" t="s">
        <v>297</v>
      </c>
      <c r="H255" s="2" t="s">
        <v>44</v>
      </c>
      <c r="I255" s="4">
        <v>27883</v>
      </c>
    </row>
    <row r="256" spans="1:9" x14ac:dyDescent="0.25">
      <c r="A256" s="2" t="s">
        <v>5</v>
      </c>
      <c r="B256" s="2">
        <v>1750</v>
      </c>
      <c r="C256" s="2">
        <v>4</v>
      </c>
      <c r="D256" s="2" t="s">
        <v>40</v>
      </c>
      <c r="E256" s="3">
        <v>44788</v>
      </c>
      <c r="F256" s="2" t="s">
        <v>461</v>
      </c>
      <c r="G256" s="2" t="s">
        <v>83</v>
      </c>
      <c r="H256" s="2" t="s">
        <v>49</v>
      </c>
      <c r="I256" s="4">
        <v>35735</v>
      </c>
    </row>
    <row r="257" spans="1:9" x14ac:dyDescent="0.25">
      <c r="A257" s="2" t="s">
        <v>7</v>
      </c>
      <c r="B257" s="2">
        <v>750</v>
      </c>
      <c r="C257" s="2">
        <v>4</v>
      </c>
      <c r="D257" s="2" t="s">
        <v>30</v>
      </c>
      <c r="E257" s="3">
        <v>44789</v>
      </c>
      <c r="F257" s="2" t="s">
        <v>87</v>
      </c>
      <c r="G257" s="2" t="s">
        <v>67</v>
      </c>
      <c r="H257" s="2" t="s">
        <v>44</v>
      </c>
      <c r="I257" s="4">
        <v>27176</v>
      </c>
    </row>
    <row r="258" spans="1:9" x14ac:dyDescent="0.25">
      <c r="A258" s="2" t="s">
        <v>27</v>
      </c>
      <c r="B258" s="2">
        <v>1500</v>
      </c>
      <c r="C258" s="2">
        <v>3</v>
      </c>
      <c r="D258" s="2" t="s">
        <v>35</v>
      </c>
      <c r="E258" s="3">
        <v>44787</v>
      </c>
      <c r="F258" s="2" t="s">
        <v>239</v>
      </c>
      <c r="G258" s="2" t="s">
        <v>561</v>
      </c>
      <c r="H258" s="2" t="s">
        <v>49</v>
      </c>
      <c r="I258" s="4">
        <v>36390</v>
      </c>
    </row>
    <row r="259" spans="1:9" x14ac:dyDescent="0.25">
      <c r="A259" s="2" t="s">
        <v>21</v>
      </c>
      <c r="B259" s="2">
        <v>2400</v>
      </c>
      <c r="C259" s="2">
        <v>2</v>
      </c>
      <c r="D259" s="2" t="s">
        <v>41</v>
      </c>
      <c r="E259" s="3">
        <v>44563</v>
      </c>
      <c r="F259" s="2" t="s">
        <v>381</v>
      </c>
      <c r="G259" s="2" t="s">
        <v>174</v>
      </c>
      <c r="H259" s="2" t="s">
        <v>49</v>
      </c>
      <c r="I259" s="4">
        <v>20117</v>
      </c>
    </row>
    <row r="260" spans="1:9" x14ac:dyDescent="0.25">
      <c r="A260" s="2" t="s">
        <v>9</v>
      </c>
      <c r="B260" s="2">
        <v>1500</v>
      </c>
      <c r="C260" s="2">
        <v>5</v>
      </c>
      <c r="D260" s="2" t="s">
        <v>33</v>
      </c>
      <c r="E260" s="3">
        <v>44870</v>
      </c>
      <c r="F260" s="2" t="s">
        <v>42</v>
      </c>
      <c r="G260" s="2" t="s">
        <v>459</v>
      </c>
      <c r="H260" s="2" t="s">
        <v>44</v>
      </c>
      <c r="I260" s="4">
        <v>30122</v>
      </c>
    </row>
    <row r="261" spans="1:9" x14ac:dyDescent="0.25">
      <c r="A261" s="2" t="s">
        <v>7</v>
      </c>
      <c r="B261" s="2">
        <v>750</v>
      </c>
      <c r="C261" s="2">
        <v>3</v>
      </c>
      <c r="D261" s="2" t="s">
        <v>37</v>
      </c>
      <c r="E261" s="3">
        <v>44591</v>
      </c>
      <c r="F261" s="2" t="s">
        <v>42</v>
      </c>
      <c r="G261" s="2" t="s">
        <v>93</v>
      </c>
      <c r="H261" s="2" t="s">
        <v>44</v>
      </c>
      <c r="I261" s="4">
        <v>21017</v>
      </c>
    </row>
    <row r="262" spans="1:9" x14ac:dyDescent="0.25">
      <c r="A262" s="2" t="s">
        <v>17</v>
      </c>
      <c r="B262" s="2">
        <v>1550</v>
      </c>
      <c r="C262" s="2">
        <v>1</v>
      </c>
      <c r="D262" s="2" t="s">
        <v>36</v>
      </c>
      <c r="E262" s="3">
        <v>44778</v>
      </c>
      <c r="F262" s="2" t="s">
        <v>87</v>
      </c>
      <c r="G262" s="2" t="s">
        <v>172</v>
      </c>
      <c r="H262" s="2" t="s">
        <v>44</v>
      </c>
      <c r="I262" s="4">
        <v>33395</v>
      </c>
    </row>
    <row r="263" spans="1:9" x14ac:dyDescent="0.25">
      <c r="A263" s="2" t="s">
        <v>28</v>
      </c>
      <c r="B263" s="2">
        <v>1400</v>
      </c>
      <c r="C263" s="2">
        <v>4</v>
      </c>
      <c r="D263" s="2" t="s">
        <v>29</v>
      </c>
      <c r="E263" s="3">
        <v>44572</v>
      </c>
      <c r="F263" s="2" t="s">
        <v>199</v>
      </c>
      <c r="G263" s="2" t="s">
        <v>200</v>
      </c>
      <c r="H263" s="2" t="s">
        <v>49</v>
      </c>
      <c r="I263" s="4">
        <v>34675</v>
      </c>
    </row>
    <row r="264" spans="1:9" x14ac:dyDescent="0.25">
      <c r="A264" s="2" t="s">
        <v>24</v>
      </c>
      <c r="B264" s="2">
        <v>2000</v>
      </c>
      <c r="C264" s="2">
        <v>5</v>
      </c>
      <c r="D264" s="2" t="s">
        <v>35</v>
      </c>
      <c r="E264" s="3">
        <v>44836</v>
      </c>
      <c r="F264" s="2" t="s">
        <v>137</v>
      </c>
      <c r="G264" s="2" t="s">
        <v>63</v>
      </c>
      <c r="H264" s="2" t="s">
        <v>49</v>
      </c>
      <c r="I264" s="4">
        <v>24741</v>
      </c>
    </row>
    <row r="265" spans="1:9" x14ac:dyDescent="0.25">
      <c r="A265" s="2" t="s">
        <v>20</v>
      </c>
      <c r="B265" s="2">
        <v>2600</v>
      </c>
      <c r="C265" s="2">
        <v>5</v>
      </c>
      <c r="D265" s="2" t="s">
        <v>29</v>
      </c>
      <c r="E265" s="3">
        <v>44764</v>
      </c>
      <c r="F265" s="2" t="s">
        <v>301</v>
      </c>
      <c r="G265" s="2" t="s">
        <v>449</v>
      </c>
      <c r="H265" s="2" t="s">
        <v>49</v>
      </c>
      <c r="I265" s="4">
        <v>33640</v>
      </c>
    </row>
    <row r="266" spans="1:9" x14ac:dyDescent="0.25">
      <c r="A266" s="2" t="s">
        <v>13</v>
      </c>
      <c r="B266" s="2">
        <v>2300</v>
      </c>
      <c r="C266" s="2">
        <v>4</v>
      </c>
      <c r="D266" s="2" t="s">
        <v>35</v>
      </c>
      <c r="E266" s="3">
        <v>44716</v>
      </c>
      <c r="F266" s="2" t="s">
        <v>134</v>
      </c>
      <c r="G266" s="2" t="s">
        <v>63</v>
      </c>
      <c r="H266" s="2" t="s">
        <v>49</v>
      </c>
      <c r="I266" s="4">
        <v>31125</v>
      </c>
    </row>
    <row r="267" spans="1:9" x14ac:dyDescent="0.25">
      <c r="A267" s="2" t="s">
        <v>14</v>
      </c>
      <c r="B267" s="2">
        <v>2000</v>
      </c>
      <c r="C267" s="2">
        <v>1</v>
      </c>
      <c r="D267" s="2" t="s">
        <v>30</v>
      </c>
      <c r="E267" s="3">
        <v>44620</v>
      </c>
      <c r="F267" s="2" t="s">
        <v>58</v>
      </c>
      <c r="G267" s="2" t="s">
        <v>59</v>
      </c>
      <c r="H267" s="2" t="s">
        <v>49</v>
      </c>
      <c r="I267" s="4">
        <v>23712</v>
      </c>
    </row>
    <row r="268" spans="1:9" x14ac:dyDescent="0.25">
      <c r="A268" s="2" t="s">
        <v>12</v>
      </c>
      <c r="B268" s="2">
        <v>6500</v>
      </c>
      <c r="C268" s="2">
        <v>4</v>
      </c>
      <c r="D268" s="2" t="s">
        <v>33</v>
      </c>
      <c r="E268" s="3">
        <v>44737</v>
      </c>
      <c r="F268" s="2" t="s">
        <v>78</v>
      </c>
      <c r="G268" s="2" t="s">
        <v>83</v>
      </c>
      <c r="H268" s="2" t="s">
        <v>49</v>
      </c>
      <c r="I268" s="4">
        <v>19821</v>
      </c>
    </row>
    <row r="269" spans="1:9" x14ac:dyDescent="0.25">
      <c r="A269" s="2" t="s">
        <v>15</v>
      </c>
      <c r="B269" s="2">
        <v>1900</v>
      </c>
      <c r="C269" s="2">
        <v>3</v>
      </c>
      <c r="D269" s="2" t="s">
        <v>38</v>
      </c>
      <c r="E269" s="3">
        <v>44814</v>
      </c>
      <c r="F269" s="2" t="s">
        <v>87</v>
      </c>
      <c r="G269" s="2" t="s">
        <v>586</v>
      </c>
      <c r="H269" s="2" t="s">
        <v>44</v>
      </c>
      <c r="I269" s="4">
        <v>34625</v>
      </c>
    </row>
    <row r="270" spans="1:9" x14ac:dyDescent="0.25">
      <c r="A270" s="2" t="s">
        <v>27</v>
      </c>
      <c r="B270" s="2">
        <v>1500</v>
      </c>
      <c r="C270" s="2">
        <v>1</v>
      </c>
      <c r="D270" s="2" t="s">
        <v>29</v>
      </c>
      <c r="E270" s="3">
        <v>44796</v>
      </c>
      <c r="F270" s="2" t="s">
        <v>199</v>
      </c>
      <c r="G270" s="2" t="s">
        <v>200</v>
      </c>
      <c r="H270" s="2" t="s">
        <v>49</v>
      </c>
      <c r="I270" s="4">
        <v>34675</v>
      </c>
    </row>
    <row r="271" spans="1:9" x14ac:dyDescent="0.25">
      <c r="A271" s="2" t="s">
        <v>23</v>
      </c>
      <c r="B271" s="2">
        <v>1500</v>
      </c>
      <c r="C271" s="2">
        <v>5</v>
      </c>
      <c r="D271" s="2" t="s">
        <v>38</v>
      </c>
      <c r="E271" s="3">
        <v>44672</v>
      </c>
      <c r="F271" s="2" t="s">
        <v>225</v>
      </c>
      <c r="G271" s="2" t="s">
        <v>86</v>
      </c>
      <c r="H271" s="2" t="s">
        <v>44</v>
      </c>
      <c r="I271" s="4">
        <v>32654</v>
      </c>
    </row>
    <row r="272" spans="1:9" x14ac:dyDescent="0.25">
      <c r="A272" s="2" t="s">
        <v>15</v>
      </c>
      <c r="B272" s="2">
        <v>1900</v>
      </c>
      <c r="C272" s="2">
        <v>2</v>
      </c>
      <c r="D272" s="2" t="s">
        <v>36</v>
      </c>
      <c r="E272" s="3">
        <v>44855</v>
      </c>
      <c r="F272" s="2" t="s">
        <v>257</v>
      </c>
      <c r="G272" s="2" t="s">
        <v>273</v>
      </c>
      <c r="H272" s="2" t="s">
        <v>44</v>
      </c>
      <c r="I272" s="4">
        <v>24203</v>
      </c>
    </row>
    <row r="273" spans="1:9" x14ac:dyDescent="0.25">
      <c r="A273" s="2" t="s">
        <v>25</v>
      </c>
      <c r="B273" s="2">
        <v>2500</v>
      </c>
      <c r="C273" s="2">
        <v>2</v>
      </c>
      <c r="D273" s="2" t="s">
        <v>36</v>
      </c>
      <c r="E273" s="3">
        <v>44795</v>
      </c>
      <c r="F273" s="2" t="s">
        <v>148</v>
      </c>
      <c r="G273" s="2" t="s">
        <v>322</v>
      </c>
      <c r="H273" s="2" t="s">
        <v>49</v>
      </c>
      <c r="I273" s="4">
        <v>18988</v>
      </c>
    </row>
    <row r="274" spans="1:9" x14ac:dyDescent="0.25">
      <c r="A274" s="2" t="s">
        <v>6</v>
      </c>
      <c r="B274" s="2">
        <v>1200</v>
      </c>
      <c r="C274" s="2">
        <v>3</v>
      </c>
      <c r="D274" s="2" t="s">
        <v>33</v>
      </c>
      <c r="E274" s="3">
        <v>44835</v>
      </c>
      <c r="F274" s="2" t="s">
        <v>92</v>
      </c>
      <c r="G274" s="2" t="s">
        <v>93</v>
      </c>
      <c r="H274" s="2" t="s">
        <v>44</v>
      </c>
      <c r="I274" s="4">
        <v>23689</v>
      </c>
    </row>
    <row r="275" spans="1:9" x14ac:dyDescent="0.25">
      <c r="A275" s="2" t="s">
        <v>22</v>
      </c>
      <c r="B275" s="2">
        <v>5200</v>
      </c>
      <c r="C275" s="2">
        <v>2</v>
      </c>
      <c r="D275" s="2" t="s">
        <v>35</v>
      </c>
      <c r="E275" s="3">
        <v>44692</v>
      </c>
      <c r="F275" s="2" t="s">
        <v>402</v>
      </c>
      <c r="G275" s="2" t="s">
        <v>292</v>
      </c>
      <c r="H275" s="2" t="s">
        <v>49</v>
      </c>
      <c r="I275" s="4">
        <v>24715</v>
      </c>
    </row>
    <row r="276" spans="1:9" x14ac:dyDescent="0.25">
      <c r="A276" s="2" t="s">
        <v>5</v>
      </c>
      <c r="B276" s="2">
        <v>1750</v>
      </c>
      <c r="C276" s="2">
        <v>1</v>
      </c>
      <c r="D276" s="2" t="s">
        <v>31</v>
      </c>
      <c r="E276" s="3">
        <v>44830</v>
      </c>
      <c r="F276" s="2" t="s">
        <v>87</v>
      </c>
      <c r="G276" s="2" t="s">
        <v>286</v>
      </c>
      <c r="H276" s="2" t="s">
        <v>44</v>
      </c>
      <c r="I276" s="4">
        <v>29174</v>
      </c>
    </row>
    <row r="277" spans="1:9" x14ac:dyDescent="0.25">
      <c r="A277" s="2" t="s">
        <v>7</v>
      </c>
      <c r="B277" s="2">
        <v>750</v>
      </c>
      <c r="C277" s="2">
        <v>1</v>
      </c>
      <c r="D277" s="2" t="s">
        <v>36</v>
      </c>
      <c r="E277" s="3">
        <v>44835</v>
      </c>
      <c r="F277" s="2" t="s">
        <v>595</v>
      </c>
      <c r="G277" s="2" t="s">
        <v>83</v>
      </c>
      <c r="H277" s="2" t="s">
        <v>49</v>
      </c>
      <c r="I277" s="4">
        <v>36243</v>
      </c>
    </row>
    <row r="278" spans="1:9" x14ac:dyDescent="0.25">
      <c r="A278" s="2" t="s">
        <v>17</v>
      </c>
      <c r="B278" s="2">
        <v>1550</v>
      </c>
      <c r="C278" s="2">
        <v>5</v>
      </c>
      <c r="D278" s="2" t="s">
        <v>29</v>
      </c>
      <c r="E278" s="3">
        <v>44853</v>
      </c>
      <c r="F278" s="2" t="s">
        <v>367</v>
      </c>
      <c r="G278" s="2" t="s">
        <v>63</v>
      </c>
      <c r="H278" s="2" t="s">
        <v>49</v>
      </c>
      <c r="I278" s="4">
        <v>31075</v>
      </c>
    </row>
    <row r="279" spans="1:9" x14ac:dyDescent="0.25">
      <c r="A279" s="2" t="s">
        <v>18</v>
      </c>
      <c r="B279" s="2">
        <v>3000</v>
      </c>
      <c r="C279" s="2">
        <v>5</v>
      </c>
      <c r="D279" s="2" t="s">
        <v>41</v>
      </c>
      <c r="E279" s="3">
        <v>44565</v>
      </c>
      <c r="F279" s="2" t="s">
        <v>74</v>
      </c>
      <c r="G279" s="2" t="s">
        <v>63</v>
      </c>
      <c r="H279" s="2" t="s">
        <v>44</v>
      </c>
      <c r="I279" s="4">
        <v>34771</v>
      </c>
    </row>
    <row r="280" spans="1:9" x14ac:dyDescent="0.25">
      <c r="A280" s="2" t="s">
        <v>12</v>
      </c>
      <c r="B280" s="2">
        <v>6500</v>
      </c>
      <c r="C280" s="2">
        <v>4</v>
      </c>
      <c r="D280" s="2" t="s">
        <v>29</v>
      </c>
      <c r="E280" s="3">
        <v>44687</v>
      </c>
      <c r="F280" s="2" t="s">
        <v>129</v>
      </c>
      <c r="G280" s="2" t="s">
        <v>130</v>
      </c>
      <c r="H280" s="2" t="s">
        <v>49</v>
      </c>
      <c r="I280" s="4">
        <v>24024</v>
      </c>
    </row>
    <row r="281" spans="1:9" x14ac:dyDescent="0.25">
      <c r="A281" s="2" t="s">
        <v>19</v>
      </c>
      <c r="B281" s="2">
        <v>700</v>
      </c>
      <c r="C281" s="2">
        <v>3</v>
      </c>
      <c r="D281" s="2" t="s">
        <v>31</v>
      </c>
      <c r="E281" s="3">
        <v>44875</v>
      </c>
      <c r="F281" s="2" t="s">
        <v>257</v>
      </c>
      <c r="G281" s="2" t="s">
        <v>345</v>
      </c>
      <c r="H281" s="2" t="s">
        <v>44</v>
      </c>
      <c r="I281" s="4">
        <v>36422</v>
      </c>
    </row>
    <row r="282" spans="1:9" x14ac:dyDescent="0.25">
      <c r="A282" s="2" t="s">
        <v>11</v>
      </c>
      <c r="B282" s="2">
        <v>4500</v>
      </c>
      <c r="C282" s="2">
        <v>3</v>
      </c>
      <c r="D282" s="2" t="s">
        <v>31</v>
      </c>
      <c r="E282" s="3">
        <v>44669</v>
      </c>
      <c r="F282" s="2" t="s">
        <v>379</v>
      </c>
      <c r="G282" s="2" t="s">
        <v>376</v>
      </c>
      <c r="H282" s="2" t="s">
        <v>44</v>
      </c>
      <c r="I282" s="4">
        <v>31380</v>
      </c>
    </row>
    <row r="283" spans="1:9" x14ac:dyDescent="0.25">
      <c r="A283" s="2" t="s">
        <v>16</v>
      </c>
      <c r="B283" s="2">
        <v>1400</v>
      </c>
      <c r="C283" s="2">
        <v>1</v>
      </c>
      <c r="D283" s="2" t="s">
        <v>35</v>
      </c>
      <c r="E283" s="3">
        <v>44619</v>
      </c>
      <c r="F283" s="2" t="s">
        <v>347</v>
      </c>
      <c r="G283" s="2" t="s">
        <v>386</v>
      </c>
      <c r="H283" s="2" t="s">
        <v>49</v>
      </c>
      <c r="I283" s="4">
        <v>21120</v>
      </c>
    </row>
    <row r="284" spans="1:9" x14ac:dyDescent="0.25">
      <c r="A284" s="2" t="s">
        <v>16</v>
      </c>
      <c r="B284" s="2">
        <v>1400</v>
      </c>
      <c r="C284" s="2">
        <v>5</v>
      </c>
      <c r="D284" s="2" t="s">
        <v>38</v>
      </c>
      <c r="E284" s="3">
        <v>44651</v>
      </c>
      <c r="F284" s="2" t="s">
        <v>233</v>
      </c>
      <c r="G284" s="2" t="s">
        <v>157</v>
      </c>
      <c r="H284" s="2" t="s">
        <v>49</v>
      </c>
      <c r="I284" s="4">
        <v>35651</v>
      </c>
    </row>
    <row r="285" spans="1:9" x14ac:dyDescent="0.25">
      <c r="A285" s="2" t="s">
        <v>18</v>
      </c>
      <c r="B285" s="2">
        <v>3000</v>
      </c>
      <c r="C285" s="2">
        <v>5</v>
      </c>
      <c r="D285" s="2" t="s">
        <v>32</v>
      </c>
      <c r="E285" s="3">
        <v>44567</v>
      </c>
      <c r="F285" s="2" t="s">
        <v>312</v>
      </c>
      <c r="G285" s="2" t="s">
        <v>63</v>
      </c>
      <c r="H285" s="2" t="s">
        <v>49</v>
      </c>
      <c r="I285" s="4">
        <v>20954</v>
      </c>
    </row>
    <row r="286" spans="1:9" x14ac:dyDescent="0.25">
      <c r="A286" s="2" t="s">
        <v>20</v>
      </c>
      <c r="B286" s="2">
        <v>2600</v>
      </c>
      <c r="C286" s="2">
        <v>3</v>
      </c>
      <c r="D286" s="2" t="s">
        <v>41</v>
      </c>
      <c r="E286" s="3">
        <v>44781</v>
      </c>
      <c r="F286" s="2" t="s">
        <v>137</v>
      </c>
      <c r="G286" s="2" t="s">
        <v>63</v>
      </c>
      <c r="H286" s="2" t="s">
        <v>49</v>
      </c>
      <c r="I286" s="4">
        <v>25384</v>
      </c>
    </row>
    <row r="287" spans="1:9" x14ac:dyDescent="0.25">
      <c r="A287" s="2" t="s">
        <v>16</v>
      </c>
      <c r="B287" s="2">
        <v>1400</v>
      </c>
      <c r="C287" s="2">
        <v>4</v>
      </c>
      <c r="D287" s="2" t="s">
        <v>38</v>
      </c>
      <c r="E287" s="3">
        <v>44913</v>
      </c>
      <c r="F287" s="2" t="s">
        <v>361</v>
      </c>
      <c r="G287" s="2" t="s">
        <v>203</v>
      </c>
      <c r="H287" s="2" t="s">
        <v>49</v>
      </c>
      <c r="I287" s="4">
        <v>36075</v>
      </c>
    </row>
    <row r="288" spans="1:9" x14ac:dyDescent="0.25">
      <c r="A288" s="2" t="s">
        <v>16</v>
      </c>
      <c r="B288" s="2">
        <v>1400</v>
      </c>
      <c r="C288" s="2">
        <v>1</v>
      </c>
      <c r="D288" s="2" t="s">
        <v>29</v>
      </c>
      <c r="E288" s="3">
        <v>44835</v>
      </c>
      <c r="F288" s="2" t="s">
        <v>419</v>
      </c>
      <c r="G288" s="2" t="s">
        <v>186</v>
      </c>
      <c r="H288" s="2" t="s">
        <v>44</v>
      </c>
      <c r="I288" s="4">
        <v>35250</v>
      </c>
    </row>
    <row r="289" spans="1:9" x14ac:dyDescent="0.25">
      <c r="A289" s="2" t="s">
        <v>13</v>
      </c>
      <c r="B289" s="2">
        <v>2300</v>
      </c>
      <c r="C289" s="2">
        <v>3</v>
      </c>
      <c r="D289" s="2" t="s">
        <v>41</v>
      </c>
      <c r="E289" s="3">
        <v>44662</v>
      </c>
      <c r="F289" s="2" t="s">
        <v>190</v>
      </c>
      <c r="G289" s="2" t="s">
        <v>174</v>
      </c>
      <c r="H289" s="2" t="s">
        <v>44</v>
      </c>
      <c r="I289" s="4">
        <v>22769</v>
      </c>
    </row>
    <row r="290" spans="1:9" x14ac:dyDescent="0.25">
      <c r="A290" s="2" t="s">
        <v>10</v>
      </c>
      <c r="B290" s="2">
        <v>1450</v>
      </c>
      <c r="C290" s="2">
        <v>5</v>
      </c>
      <c r="D290" s="2" t="s">
        <v>29</v>
      </c>
      <c r="E290" s="3">
        <v>44827</v>
      </c>
      <c r="F290" s="2" t="s">
        <v>134</v>
      </c>
      <c r="G290" s="2" t="s">
        <v>351</v>
      </c>
      <c r="H290" s="2" t="s">
        <v>49</v>
      </c>
      <c r="I290" s="4">
        <v>26735</v>
      </c>
    </row>
    <row r="291" spans="1:9" x14ac:dyDescent="0.25">
      <c r="A291" s="2" t="s">
        <v>9</v>
      </c>
      <c r="B291" s="2">
        <v>1500</v>
      </c>
      <c r="C291" s="2">
        <v>4</v>
      </c>
      <c r="D291" s="2" t="s">
        <v>38</v>
      </c>
      <c r="E291" s="3">
        <v>44846</v>
      </c>
      <c r="F291" s="2" t="s">
        <v>190</v>
      </c>
      <c r="G291" s="2" t="s">
        <v>63</v>
      </c>
      <c r="H291" s="2" t="s">
        <v>44</v>
      </c>
      <c r="I291" s="4">
        <v>19333</v>
      </c>
    </row>
    <row r="292" spans="1:9" x14ac:dyDescent="0.25">
      <c r="A292" s="2" t="s">
        <v>12</v>
      </c>
      <c r="B292" s="2">
        <v>6500</v>
      </c>
      <c r="C292" s="2">
        <v>5</v>
      </c>
      <c r="D292" s="2" t="s">
        <v>40</v>
      </c>
      <c r="E292" s="3">
        <v>44615</v>
      </c>
      <c r="F292" s="2" t="s">
        <v>461</v>
      </c>
      <c r="G292" s="2" t="s">
        <v>83</v>
      </c>
      <c r="H292" s="2" t="s">
        <v>49</v>
      </c>
      <c r="I292" s="4">
        <v>35735</v>
      </c>
    </row>
    <row r="293" spans="1:9" x14ac:dyDescent="0.25">
      <c r="A293" s="2" t="s">
        <v>16</v>
      </c>
      <c r="B293" s="2">
        <v>1400</v>
      </c>
      <c r="C293" s="2">
        <v>5</v>
      </c>
      <c r="D293" s="2" t="s">
        <v>31</v>
      </c>
      <c r="E293" s="3">
        <v>44654</v>
      </c>
      <c r="F293" s="2" t="s">
        <v>101</v>
      </c>
      <c r="G293" s="2" t="s">
        <v>83</v>
      </c>
      <c r="H293" s="2" t="s">
        <v>49</v>
      </c>
      <c r="I293" s="4">
        <v>20172</v>
      </c>
    </row>
    <row r="294" spans="1:9" x14ac:dyDescent="0.25">
      <c r="A294" s="2" t="s">
        <v>5</v>
      </c>
      <c r="B294" s="2">
        <v>1750</v>
      </c>
      <c r="C294" s="2">
        <v>1</v>
      </c>
      <c r="D294" s="2" t="s">
        <v>31</v>
      </c>
      <c r="E294" s="3">
        <v>44886</v>
      </c>
      <c r="F294" s="2" t="s">
        <v>127</v>
      </c>
      <c r="G294" s="2" t="s">
        <v>574</v>
      </c>
      <c r="H294" s="2" t="s">
        <v>44</v>
      </c>
      <c r="I294" s="4">
        <v>20646</v>
      </c>
    </row>
    <row r="295" spans="1:9" x14ac:dyDescent="0.25">
      <c r="A295" s="2" t="s">
        <v>25</v>
      </c>
      <c r="B295" s="2">
        <v>2500</v>
      </c>
      <c r="C295" s="2">
        <v>4</v>
      </c>
      <c r="D295" s="2" t="s">
        <v>30</v>
      </c>
      <c r="E295" s="3">
        <v>44639</v>
      </c>
      <c r="F295" s="2" t="s">
        <v>173</v>
      </c>
      <c r="G295" s="2" t="s">
        <v>174</v>
      </c>
      <c r="H295" s="2" t="s">
        <v>44</v>
      </c>
      <c r="I295" s="4">
        <v>28789</v>
      </c>
    </row>
    <row r="296" spans="1:9" x14ac:dyDescent="0.25">
      <c r="A296" s="2" t="s">
        <v>12</v>
      </c>
      <c r="B296" s="2">
        <v>6500</v>
      </c>
      <c r="C296" s="2">
        <v>5</v>
      </c>
      <c r="D296" s="2" t="s">
        <v>36</v>
      </c>
      <c r="E296" s="3">
        <v>44627</v>
      </c>
      <c r="F296" s="2" t="s">
        <v>257</v>
      </c>
      <c r="G296" s="2" t="s">
        <v>273</v>
      </c>
      <c r="H296" s="2" t="s">
        <v>44</v>
      </c>
      <c r="I296" s="4">
        <v>24203</v>
      </c>
    </row>
    <row r="297" spans="1:9" x14ac:dyDescent="0.25">
      <c r="A297" s="2" t="s">
        <v>26</v>
      </c>
      <c r="B297" s="2">
        <v>1100</v>
      </c>
      <c r="C297" s="2">
        <v>2</v>
      </c>
      <c r="D297" s="2" t="s">
        <v>32</v>
      </c>
      <c r="E297" s="3">
        <v>44567</v>
      </c>
      <c r="F297" s="2" t="s">
        <v>109</v>
      </c>
      <c r="G297" s="2" t="s">
        <v>152</v>
      </c>
      <c r="H297" s="2" t="s">
        <v>44</v>
      </c>
      <c r="I297" s="4">
        <v>31883</v>
      </c>
    </row>
    <row r="298" spans="1:9" x14ac:dyDescent="0.25">
      <c r="A298" s="2" t="s">
        <v>7</v>
      </c>
      <c r="B298" s="2">
        <v>750</v>
      </c>
      <c r="C298" s="2">
        <v>4</v>
      </c>
      <c r="D298" s="2" t="s">
        <v>29</v>
      </c>
      <c r="E298" s="3">
        <v>44649</v>
      </c>
      <c r="F298" s="2" t="s">
        <v>131</v>
      </c>
      <c r="G298" s="2" t="s">
        <v>309</v>
      </c>
      <c r="H298" s="2" t="s">
        <v>44</v>
      </c>
      <c r="I298" s="4">
        <v>25888</v>
      </c>
    </row>
    <row r="299" spans="1:9" x14ac:dyDescent="0.25">
      <c r="A299" s="2" t="s">
        <v>17</v>
      </c>
      <c r="B299" s="2">
        <v>1550</v>
      </c>
      <c r="C299" s="2">
        <v>2</v>
      </c>
      <c r="D299" s="2" t="s">
        <v>41</v>
      </c>
      <c r="E299" s="3">
        <v>44720</v>
      </c>
      <c r="F299" s="2" t="s">
        <v>381</v>
      </c>
      <c r="G299" s="2" t="s">
        <v>174</v>
      </c>
      <c r="H299" s="2" t="s">
        <v>49</v>
      </c>
      <c r="I299" s="4">
        <v>20117</v>
      </c>
    </row>
    <row r="300" spans="1:9" x14ac:dyDescent="0.25">
      <c r="A300" s="2" t="s">
        <v>7</v>
      </c>
      <c r="B300" s="2">
        <v>750</v>
      </c>
      <c r="C300" s="2">
        <v>2</v>
      </c>
      <c r="D300" s="2" t="s">
        <v>35</v>
      </c>
      <c r="E300" s="3">
        <v>44905</v>
      </c>
      <c r="F300" s="2" t="s">
        <v>87</v>
      </c>
      <c r="G300" s="2" t="s">
        <v>600</v>
      </c>
      <c r="H300" s="2" t="s">
        <v>44</v>
      </c>
      <c r="I300" s="4">
        <v>32032</v>
      </c>
    </row>
    <row r="301" spans="1:9" x14ac:dyDescent="0.25">
      <c r="A301" s="2" t="s">
        <v>11</v>
      </c>
      <c r="B301" s="2">
        <v>4500</v>
      </c>
      <c r="C301" s="2">
        <v>3</v>
      </c>
      <c r="D301" s="2" t="s">
        <v>30</v>
      </c>
      <c r="E301" s="3">
        <v>44684</v>
      </c>
      <c r="F301" s="2" t="s">
        <v>134</v>
      </c>
      <c r="G301" s="2" t="s">
        <v>310</v>
      </c>
      <c r="H301" s="2" t="s">
        <v>49</v>
      </c>
      <c r="I301" s="4">
        <v>20738</v>
      </c>
    </row>
    <row r="302" spans="1:9" x14ac:dyDescent="0.25">
      <c r="A302" s="2" t="s">
        <v>8</v>
      </c>
      <c r="B302" s="2">
        <v>5500</v>
      </c>
      <c r="C302" s="2">
        <v>4</v>
      </c>
      <c r="D302" s="2" t="s">
        <v>36</v>
      </c>
      <c r="E302" s="3">
        <v>44755</v>
      </c>
      <c r="F302" s="2" t="s">
        <v>264</v>
      </c>
      <c r="G302" s="2" t="s">
        <v>353</v>
      </c>
      <c r="H302" s="2" t="s">
        <v>49</v>
      </c>
      <c r="I302" s="4">
        <v>34434</v>
      </c>
    </row>
    <row r="303" spans="1:9" x14ac:dyDescent="0.25">
      <c r="A303" s="2" t="s">
        <v>13</v>
      </c>
      <c r="B303" s="2">
        <v>2300</v>
      </c>
      <c r="C303" s="2">
        <v>2</v>
      </c>
      <c r="D303" s="2" t="s">
        <v>31</v>
      </c>
      <c r="E303" s="3">
        <v>44897</v>
      </c>
      <c r="F303" s="2" t="s">
        <v>109</v>
      </c>
      <c r="G303" s="2" t="s">
        <v>190</v>
      </c>
      <c r="H303" s="2" t="s">
        <v>44</v>
      </c>
      <c r="I303" s="4">
        <v>35339</v>
      </c>
    </row>
    <row r="304" spans="1:9" x14ac:dyDescent="0.25">
      <c r="A304" s="2" t="s">
        <v>22</v>
      </c>
      <c r="B304" s="2">
        <v>5200</v>
      </c>
      <c r="C304" s="2">
        <v>4</v>
      </c>
      <c r="D304" s="2" t="s">
        <v>38</v>
      </c>
      <c r="E304" s="3">
        <v>44673</v>
      </c>
      <c r="F304" s="2" t="s">
        <v>42</v>
      </c>
      <c r="G304" s="2" t="s">
        <v>198</v>
      </c>
      <c r="H304" s="2" t="s">
        <v>44</v>
      </c>
      <c r="I304" s="4">
        <v>21984</v>
      </c>
    </row>
    <row r="305" spans="1:9" x14ac:dyDescent="0.25">
      <c r="A305" s="2" t="s">
        <v>25</v>
      </c>
      <c r="B305" s="2">
        <v>2500</v>
      </c>
      <c r="C305" s="2">
        <v>1</v>
      </c>
      <c r="D305" s="2" t="s">
        <v>32</v>
      </c>
      <c r="E305" s="3">
        <v>44753</v>
      </c>
      <c r="F305" s="2" t="s">
        <v>161</v>
      </c>
      <c r="G305" s="2" t="s">
        <v>105</v>
      </c>
      <c r="H305" s="2" t="s">
        <v>49</v>
      </c>
      <c r="I305" s="4">
        <v>36694</v>
      </c>
    </row>
    <row r="306" spans="1:9" x14ac:dyDescent="0.25">
      <c r="A306" s="2" t="s">
        <v>8</v>
      </c>
      <c r="B306" s="2">
        <v>5500</v>
      </c>
      <c r="C306" s="2">
        <v>3</v>
      </c>
      <c r="D306" s="2" t="s">
        <v>38</v>
      </c>
      <c r="E306" s="3">
        <v>44600</v>
      </c>
      <c r="F306" s="2" t="s">
        <v>233</v>
      </c>
      <c r="G306" s="2" t="s">
        <v>157</v>
      </c>
      <c r="H306" s="2" t="s">
        <v>49</v>
      </c>
      <c r="I306" s="4">
        <v>35651</v>
      </c>
    </row>
    <row r="307" spans="1:9" x14ac:dyDescent="0.25">
      <c r="A307" s="2" t="s">
        <v>8</v>
      </c>
      <c r="B307" s="2">
        <v>5500</v>
      </c>
      <c r="C307" s="2">
        <v>2</v>
      </c>
      <c r="D307" s="2" t="s">
        <v>40</v>
      </c>
      <c r="E307" s="3">
        <v>44712</v>
      </c>
      <c r="F307" s="2" t="s">
        <v>107</v>
      </c>
      <c r="G307" s="2" t="s">
        <v>108</v>
      </c>
      <c r="H307" s="2" t="s">
        <v>49</v>
      </c>
      <c r="I307" s="4">
        <v>32775</v>
      </c>
    </row>
    <row r="308" spans="1:9" x14ac:dyDescent="0.25">
      <c r="A308" s="2" t="s">
        <v>9</v>
      </c>
      <c r="B308" s="2">
        <v>1500</v>
      </c>
      <c r="C308" s="2">
        <v>2</v>
      </c>
      <c r="D308" s="2" t="s">
        <v>34</v>
      </c>
      <c r="E308" s="3">
        <v>44652</v>
      </c>
      <c r="F308" s="2" t="s">
        <v>167</v>
      </c>
      <c r="G308" s="2" t="s">
        <v>317</v>
      </c>
      <c r="H308" s="2" t="s">
        <v>44</v>
      </c>
      <c r="I308" s="4">
        <v>29698</v>
      </c>
    </row>
    <row r="309" spans="1:9" x14ac:dyDescent="0.25">
      <c r="A309" s="2" t="s">
        <v>9</v>
      </c>
      <c r="B309" s="2">
        <v>1500</v>
      </c>
      <c r="C309" s="2">
        <v>5</v>
      </c>
      <c r="D309" s="2" t="s">
        <v>33</v>
      </c>
      <c r="E309" s="3">
        <v>44798</v>
      </c>
      <c r="F309" s="2" t="s">
        <v>225</v>
      </c>
      <c r="G309" s="2" t="s">
        <v>81</v>
      </c>
      <c r="H309" s="2" t="s">
        <v>44</v>
      </c>
      <c r="I309" s="4">
        <v>26346</v>
      </c>
    </row>
    <row r="310" spans="1:9" x14ac:dyDescent="0.25">
      <c r="A310" s="2" t="s">
        <v>26</v>
      </c>
      <c r="B310" s="2">
        <v>1100</v>
      </c>
      <c r="C310" s="2">
        <v>1</v>
      </c>
      <c r="D310" s="2" t="s">
        <v>31</v>
      </c>
      <c r="E310" s="3">
        <v>44623</v>
      </c>
      <c r="F310" s="2" t="s">
        <v>66</v>
      </c>
      <c r="G310" s="2" t="s">
        <v>238</v>
      </c>
      <c r="H310" s="2" t="s">
        <v>44</v>
      </c>
      <c r="I310" s="4">
        <v>31319</v>
      </c>
    </row>
    <row r="311" spans="1:9" x14ac:dyDescent="0.25">
      <c r="A311" s="2" t="s">
        <v>6</v>
      </c>
      <c r="B311" s="2">
        <v>1200</v>
      </c>
      <c r="C311" s="2">
        <v>4</v>
      </c>
      <c r="D311" s="2" t="s">
        <v>34</v>
      </c>
      <c r="E311" s="3">
        <v>44657</v>
      </c>
      <c r="F311" s="2" t="s">
        <v>272</v>
      </c>
      <c r="G311" s="2" t="s">
        <v>495</v>
      </c>
      <c r="H311" s="2" t="s">
        <v>49</v>
      </c>
      <c r="I311" s="4">
        <v>34134</v>
      </c>
    </row>
    <row r="312" spans="1:9" x14ac:dyDescent="0.25">
      <c r="A312" s="2" t="s">
        <v>10</v>
      </c>
      <c r="B312" s="2">
        <v>1450</v>
      </c>
      <c r="C312" s="2">
        <v>3</v>
      </c>
      <c r="D312" s="2" t="s">
        <v>30</v>
      </c>
      <c r="E312" s="3">
        <v>44759</v>
      </c>
      <c r="F312" s="2" t="s">
        <v>343</v>
      </c>
      <c r="G312" s="2" t="s">
        <v>193</v>
      </c>
      <c r="H312" s="2" t="s">
        <v>49</v>
      </c>
      <c r="I312" s="4">
        <v>19478</v>
      </c>
    </row>
    <row r="313" spans="1:9" x14ac:dyDescent="0.25">
      <c r="A313" s="2" t="s">
        <v>28</v>
      </c>
      <c r="B313" s="2">
        <v>1400</v>
      </c>
      <c r="C313" s="2">
        <v>2</v>
      </c>
      <c r="D313" s="2" t="s">
        <v>34</v>
      </c>
      <c r="E313" s="3">
        <v>44632</v>
      </c>
      <c r="F313" s="2" t="s">
        <v>134</v>
      </c>
      <c r="G313" s="2" t="s">
        <v>604</v>
      </c>
      <c r="H313" s="2" t="s">
        <v>49</v>
      </c>
      <c r="I313" s="4">
        <v>24937</v>
      </c>
    </row>
    <row r="314" spans="1:9" x14ac:dyDescent="0.25">
      <c r="A314" s="2" t="s">
        <v>7</v>
      </c>
      <c r="B314" s="2">
        <v>750</v>
      </c>
      <c r="C314" s="2">
        <v>2</v>
      </c>
      <c r="D314" s="2" t="s">
        <v>33</v>
      </c>
      <c r="E314" s="3">
        <v>44623</v>
      </c>
      <c r="F314" s="2" t="s">
        <v>301</v>
      </c>
      <c r="G314" s="2" t="s">
        <v>246</v>
      </c>
      <c r="H314" s="2" t="s">
        <v>49</v>
      </c>
      <c r="I314" s="4">
        <v>34527</v>
      </c>
    </row>
    <row r="315" spans="1:9" x14ac:dyDescent="0.25">
      <c r="A315" s="2" t="s">
        <v>7</v>
      </c>
      <c r="B315" s="2">
        <v>750</v>
      </c>
      <c r="C315" s="2">
        <v>3</v>
      </c>
      <c r="D315" s="2" t="s">
        <v>41</v>
      </c>
      <c r="E315" s="3">
        <v>44803</v>
      </c>
      <c r="F315" s="2" t="s">
        <v>379</v>
      </c>
      <c r="G315" s="2" t="s">
        <v>205</v>
      </c>
      <c r="H315" s="2" t="s">
        <v>44</v>
      </c>
      <c r="I315" s="4">
        <v>31424</v>
      </c>
    </row>
    <row r="316" spans="1:9" x14ac:dyDescent="0.25">
      <c r="A316" s="2" t="s">
        <v>9</v>
      </c>
      <c r="B316" s="2">
        <v>1500</v>
      </c>
      <c r="C316" s="2">
        <v>3</v>
      </c>
      <c r="D316" s="2" t="s">
        <v>36</v>
      </c>
      <c r="E316" s="3">
        <v>44588</v>
      </c>
      <c r="F316" s="2" t="s">
        <v>264</v>
      </c>
      <c r="G316" s="2" t="s">
        <v>353</v>
      </c>
      <c r="H316" s="2" t="s">
        <v>49</v>
      </c>
      <c r="I316" s="4">
        <v>34434</v>
      </c>
    </row>
    <row r="317" spans="1:9" x14ac:dyDescent="0.25">
      <c r="A317" s="2" t="s">
        <v>6</v>
      </c>
      <c r="B317" s="2">
        <v>1200</v>
      </c>
      <c r="C317" s="2">
        <v>3</v>
      </c>
      <c r="D317" s="2" t="s">
        <v>39</v>
      </c>
      <c r="E317" s="3">
        <v>44903</v>
      </c>
      <c r="F317" s="2" t="s">
        <v>98</v>
      </c>
      <c r="G317" s="2" t="s">
        <v>152</v>
      </c>
      <c r="H317" s="2" t="s">
        <v>44</v>
      </c>
      <c r="I317" s="4">
        <v>29032</v>
      </c>
    </row>
    <row r="318" spans="1:9" x14ac:dyDescent="0.25">
      <c r="A318" s="2" t="s">
        <v>21</v>
      </c>
      <c r="B318" s="2">
        <v>2400</v>
      </c>
      <c r="C318" s="2">
        <v>4</v>
      </c>
      <c r="D318" s="2" t="s">
        <v>32</v>
      </c>
      <c r="E318" s="3">
        <v>44766</v>
      </c>
      <c r="F318" s="2" t="s">
        <v>258</v>
      </c>
      <c r="G318" s="2" t="s">
        <v>164</v>
      </c>
      <c r="H318" s="2" t="s">
        <v>49</v>
      </c>
      <c r="I318" s="4">
        <v>21676</v>
      </c>
    </row>
    <row r="319" spans="1:9" x14ac:dyDescent="0.25">
      <c r="A319" s="2" t="s">
        <v>16</v>
      </c>
      <c r="B319" s="2">
        <v>1400</v>
      </c>
      <c r="C319" s="2">
        <v>2</v>
      </c>
      <c r="D319" s="2" t="s">
        <v>40</v>
      </c>
      <c r="E319" s="3">
        <v>44904</v>
      </c>
      <c r="F319" s="2" t="s">
        <v>328</v>
      </c>
      <c r="G319" s="2" t="s">
        <v>473</v>
      </c>
      <c r="H319" s="2" t="s">
        <v>49</v>
      </c>
      <c r="I319" s="4">
        <v>18418</v>
      </c>
    </row>
    <row r="320" spans="1:9" x14ac:dyDescent="0.25">
      <c r="A320" s="2" t="s">
        <v>9</v>
      </c>
      <c r="B320" s="2">
        <v>1500</v>
      </c>
      <c r="C320" s="2">
        <v>3</v>
      </c>
      <c r="D320" s="2" t="s">
        <v>38</v>
      </c>
      <c r="E320" s="3">
        <v>44607</v>
      </c>
      <c r="F320" s="2" t="s">
        <v>272</v>
      </c>
      <c r="G320" s="2" t="s">
        <v>273</v>
      </c>
      <c r="H320" s="2" t="s">
        <v>49</v>
      </c>
      <c r="I320" s="4">
        <v>30689</v>
      </c>
    </row>
    <row r="321" spans="1:9" x14ac:dyDescent="0.25">
      <c r="A321" s="2" t="s">
        <v>23</v>
      </c>
      <c r="B321" s="2">
        <v>1500</v>
      </c>
      <c r="C321" s="2">
        <v>4</v>
      </c>
      <c r="D321" s="2" t="s">
        <v>29</v>
      </c>
      <c r="E321" s="3">
        <v>44738</v>
      </c>
      <c r="F321" s="2" t="s">
        <v>78</v>
      </c>
      <c r="G321" s="2" t="s">
        <v>612</v>
      </c>
      <c r="H321" s="2" t="s">
        <v>49</v>
      </c>
      <c r="I321" s="4">
        <v>31800</v>
      </c>
    </row>
    <row r="322" spans="1:9" x14ac:dyDescent="0.25">
      <c r="A322" s="2" t="s">
        <v>6</v>
      </c>
      <c r="B322" s="2">
        <v>1200</v>
      </c>
      <c r="C322" s="2">
        <v>1</v>
      </c>
      <c r="D322" s="2" t="s">
        <v>35</v>
      </c>
      <c r="E322" s="3">
        <v>44687</v>
      </c>
      <c r="F322" s="2" t="s">
        <v>331</v>
      </c>
      <c r="G322" s="2" t="s">
        <v>308</v>
      </c>
      <c r="H322" s="2" t="s">
        <v>44</v>
      </c>
      <c r="I322" s="4">
        <v>19664</v>
      </c>
    </row>
    <row r="323" spans="1:9" x14ac:dyDescent="0.25">
      <c r="A323" s="2" t="s">
        <v>15</v>
      </c>
      <c r="B323" s="2">
        <v>1900</v>
      </c>
      <c r="C323" s="2">
        <v>5</v>
      </c>
      <c r="D323" s="2" t="s">
        <v>38</v>
      </c>
      <c r="E323" s="3">
        <v>44914</v>
      </c>
      <c r="F323" s="2" t="s">
        <v>293</v>
      </c>
      <c r="G323" s="2" t="s">
        <v>586</v>
      </c>
      <c r="H323" s="2" t="s">
        <v>49</v>
      </c>
      <c r="I323" s="4">
        <v>31014</v>
      </c>
    </row>
    <row r="324" spans="1:9" x14ac:dyDescent="0.25">
      <c r="A324" s="2" t="s">
        <v>27</v>
      </c>
      <c r="B324" s="2">
        <v>1500</v>
      </c>
      <c r="C324" s="2">
        <v>3</v>
      </c>
      <c r="D324" s="2" t="s">
        <v>40</v>
      </c>
      <c r="E324" s="3">
        <v>44802</v>
      </c>
      <c r="F324" s="2" t="s">
        <v>293</v>
      </c>
      <c r="G324" s="2" t="s">
        <v>63</v>
      </c>
      <c r="H324" s="2" t="s">
        <v>49</v>
      </c>
      <c r="I324" s="4">
        <v>36322</v>
      </c>
    </row>
    <row r="325" spans="1:9" x14ac:dyDescent="0.25">
      <c r="A325" s="2" t="s">
        <v>23</v>
      </c>
      <c r="B325" s="2">
        <v>1500</v>
      </c>
      <c r="C325" s="2">
        <v>2</v>
      </c>
      <c r="D325" s="2" t="s">
        <v>37</v>
      </c>
      <c r="E325" s="3">
        <v>44766</v>
      </c>
      <c r="F325" s="2" t="s">
        <v>398</v>
      </c>
      <c r="G325" s="2" t="s">
        <v>232</v>
      </c>
      <c r="H325" s="2" t="s">
        <v>44</v>
      </c>
      <c r="I325" s="4">
        <v>22605</v>
      </c>
    </row>
    <row r="326" spans="1:9" x14ac:dyDescent="0.25">
      <c r="A326" s="2" t="s">
        <v>25</v>
      </c>
      <c r="B326" s="2">
        <v>2500</v>
      </c>
      <c r="C326" s="2">
        <v>3</v>
      </c>
      <c r="D326" s="2" t="s">
        <v>41</v>
      </c>
      <c r="E326" s="3">
        <v>44662</v>
      </c>
      <c r="F326" s="2" t="s">
        <v>179</v>
      </c>
      <c r="G326" s="2" t="s">
        <v>193</v>
      </c>
      <c r="H326" s="2" t="s">
        <v>44</v>
      </c>
      <c r="I326" s="4">
        <v>26033</v>
      </c>
    </row>
    <row r="327" spans="1:9" x14ac:dyDescent="0.25">
      <c r="A327" s="2" t="s">
        <v>8</v>
      </c>
      <c r="B327" s="2">
        <v>5500</v>
      </c>
      <c r="C327" s="2">
        <v>3</v>
      </c>
      <c r="D327" s="2" t="s">
        <v>30</v>
      </c>
      <c r="E327" s="3">
        <v>44897</v>
      </c>
      <c r="F327" s="2" t="s">
        <v>102</v>
      </c>
      <c r="G327" s="2" t="s">
        <v>103</v>
      </c>
      <c r="H327" s="2" t="s">
        <v>44</v>
      </c>
      <c r="I327" s="4">
        <v>26153</v>
      </c>
    </row>
    <row r="328" spans="1:9" x14ac:dyDescent="0.25">
      <c r="A328" s="2" t="s">
        <v>15</v>
      </c>
      <c r="B328" s="2">
        <v>1900</v>
      </c>
      <c r="C328" s="2">
        <v>1</v>
      </c>
      <c r="D328" s="2" t="s">
        <v>29</v>
      </c>
      <c r="E328" s="3">
        <v>44898</v>
      </c>
      <c r="F328" s="2" t="s">
        <v>339</v>
      </c>
      <c r="G328" s="2" t="s">
        <v>63</v>
      </c>
      <c r="H328" s="2" t="s">
        <v>44</v>
      </c>
      <c r="I328" s="4">
        <v>25183</v>
      </c>
    </row>
    <row r="329" spans="1:9" x14ac:dyDescent="0.25">
      <c r="A329" s="2" t="s">
        <v>12</v>
      </c>
      <c r="B329" s="2">
        <v>6500</v>
      </c>
      <c r="C329" s="2">
        <v>1</v>
      </c>
      <c r="D329" s="2" t="s">
        <v>33</v>
      </c>
      <c r="E329" s="3">
        <v>44670</v>
      </c>
      <c r="F329" s="2" t="s">
        <v>601</v>
      </c>
      <c r="G329" s="2" t="s">
        <v>123</v>
      </c>
      <c r="H329" s="2" t="s">
        <v>44</v>
      </c>
      <c r="I329" s="4">
        <v>29735</v>
      </c>
    </row>
    <row r="330" spans="1:9" x14ac:dyDescent="0.25">
      <c r="A330" s="2" t="s">
        <v>21</v>
      </c>
      <c r="B330" s="2">
        <v>2400</v>
      </c>
      <c r="C330" s="2">
        <v>5</v>
      </c>
      <c r="D330" s="2" t="s">
        <v>29</v>
      </c>
      <c r="E330" s="3">
        <v>44634</v>
      </c>
      <c r="F330" s="2" t="s">
        <v>367</v>
      </c>
      <c r="G330" s="2" t="s">
        <v>63</v>
      </c>
      <c r="H330" s="2" t="s">
        <v>49</v>
      </c>
      <c r="I330" s="4">
        <v>31075</v>
      </c>
    </row>
    <row r="331" spans="1:9" x14ac:dyDescent="0.25">
      <c r="A331" s="2" t="s">
        <v>14</v>
      </c>
      <c r="B331" s="2">
        <v>2000</v>
      </c>
      <c r="C331" s="2">
        <v>1</v>
      </c>
      <c r="D331" s="2" t="s">
        <v>29</v>
      </c>
      <c r="E331" s="3">
        <v>44855</v>
      </c>
      <c r="F331" s="2" t="s">
        <v>375</v>
      </c>
      <c r="G331" s="2" t="s">
        <v>376</v>
      </c>
      <c r="H331" s="2" t="s">
        <v>49</v>
      </c>
      <c r="I331" s="4">
        <v>19005</v>
      </c>
    </row>
    <row r="332" spans="1:9" x14ac:dyDescent="0.25">
      <c r="A332" s="2" t="s">
        <v>25</v>
      </c>
      <c r="B332" s="2">
        <v>2500</v>
      </c>
      <c r="C332" s="2">
        <v>2</v>
      </c>
      <c r="D332" s="2" t="s">
        <v>29</v>
      </c>
      <c r="E332" s="3">
        <v>44590</v>
      </c>
      <c r="F332" s="2" t="s">
        <v>196</v>
      </c>
      <c r="G332" s="2" t="s">
        <v>197</v>
      </c>
      <c r="H332" s="2" t="s">
        <v>44</v>
      </c>
      <c r="I332" s="4">
        <v>29458</v>
      </c>
    </row>
    <row r="333" spans="1:9" x14ac:dyDescent="0.25">
      <c r="A333" s="2" t="s">
        <v>26</v>
      </c>
      <c r="B333" s="2">
        <v>1100</v>
      </c>
      <c r="C333" s="2">
        <v>4</v>
      </c>
      <c r="D333" s="2" t="s">
        <v>40</v>
      </c>
      <c r="E333" s="3">
        <v>44748</v>
      </c>
      <c r="F333" s="2" t="s">
        <v>258</v>
      </c>
      <c r="G333" s="2" t="s">
        <v>75</v>
      </c>
      <c r="H333" s="2" t="s">
        <v>49</v>
      </c>
      <c r="I333" s="4">
        <v>35971</v>
      </c>
    </row>
    <row r="334" spans="1:9" x14ac:dyDescent="0.25">
      <c r="A334" s="2" t="s">
        <v>10</v>
      </c>
      <c r="B334" s="2">
        <v>1450</v>
      </c>
      <c r="C334" s="2">
        <v>1</v>
      </c>
      <c r="D334" s="2" t="s">
        <v>30</v>
      </c>
      <c r="E334" s="3">
        <v>44575</v>
      </c>
      <c r="F334" s="2" t="s">
        <v>87</v>
      </c>
      <c r="G334" s="2" t="s">
        <v>171</v>
      </c>
      <c r="H334" s="2" t="s">
        <v>44</v>
      </c>
      <c r="I334" s="4">
        <v>28244</v>
      </c>
    </row>
    <row r="335" spans="1:9" x14ac:dyDescent="0.25">
      <c r="A335" s="2" t="s">
        <v>26</v>
      </c>
      <c r="B335" s="2">
        <v>1100</v>
      </c>
      <c r="C335" s="2">
        <v>4</v>
      </c>
      <c r="D335" s="2" t="s">
        <v>29</v>
      </c>
      <c r="E335" s="3">
        <v>44700</v>
      </c>
      <c r="F335" s="2" t="s">
        <v>288</v>
      </c>
      <c r="G335" s="2" t="s">
        <v>308</v>
      </c>
      <c r="H335" s="2" t="s">
        <v>49</v>
      </c>
      <c r="I335" s="4">
        <v>26060</v>
      </c>
    </row>
    <row r="336" spans="1:9" x14ac:dyDescent="0.25">
      <c r="A336" s="2" t="s">
        <v>22</v>
      </c>
      <c r="B336" s="2">
        <v>5200</v>
      </c>
      <c r="C336" s="2">
        <v>5</v>
      </c>
      <c r="D336" s="2" t="s">
        <v>38</v>
      </c>
      <c r="E336" s="3">
        <v>44837</v>
      </c>
      <c r="F336" s="2" t="s">
        <v>394</v>
      </c>
      <c r="G336" s="2" t="s">
        <v>395</v>
      </c>
      <c r="H336" s="2" t="s">
        <v>49</v>
      </c>
      <c r="I336" s="4">
        <v>27665</v>
      </c>
    </row>
    <row r="337" spans="1:9" x14ac:dyDescent="0.25">
      <c r="A337" s="2" t="s">
        <v>27</v>
      </c>
      <c r="B337" s="2">
        <v>1500</v>
      </c>
      <c r="C337" s="2">
        <v>2</v>
      </c>
      <c r="D337" s="2" t="s">
        <v>31</v>
      </c>
      <c r="E337" s="3">
        <v>44667</v>
      </c>
      <c r="F337" s="2" t="s">
        <v>259</v>
      </c>
      <c r="G337" s="2" t="s">
        <v>276</v>
      </c>
      <c r="H337" s="2" t="s">
        <v>49</v>
      </c>
      <c r="I337" s="4">
        <v>25235</v>
      </c>
    </row>
    <row r="338" spans="1:9" x14ac:dyDescent="0.25">
      <c r="A338" s="2" t="s">
        <v>6</v>
      </c>
      <c r="B338" s="2">
        <v>1200</v>
      </c>
      <c r="C338" s="2">
        <v>2</v>
      </c>
      <c r="D338" s="2" t="s">
        <v>37</v>
      </c>
      <c r="E338" s="3">
        <v>44687</v>
      </c>
      <c r="F338" s="2" t="s">
        <v>234</v>
      </c>
      <c r="G338" s="2" t="s">
        <v>117</v>
      </c>
      <c r="H338" s="2" t="s">
        <v>44</v>
      </c>
      <c r="I338" s="4">
        <v>31431</v>
      </c>
    </row>
    <row r="339" spans="1:9" x14ac:dyDescent="0.25">
      <c r="A339" s="2" t="s">
        <v>21</v>
      </c>
      <c r="B339" s="2">
        <v>2400</v>
      </c>
      <c r="C339" s="2">
        <v>5</v>
      </c>
      <c r="D339" s="2" t="s">
        <v>32</v>
      </c>
      <c r="E339" s="3">
        <v>44749</v>
      </c>
      <c r="F339" s="2" t="s">
        <v>92</v>
      </c>
      <c r="G339" s="2" t="s">
        <v>113</v>
      </c>
      <c r="H339" s="2" t="s">
        <v>44</v>
      </c>
      <c r="I339" s="4">
        <v>33586</v>
      </c>
    </row>
    <row r="340" spans="1:9" x14ac:dyDescent="0.25">
      <c r="A340" s="2" t="s">
        <v>21</v>
      </c>
      <c r="B340" s="2">
        <v>2400</v>
      </c>
      <c r="C340" s="2">
        <v>3</v>
      </c>
      <c r="D340" s="2" t="s">
        <v>29</v>
      </c>
      <c r="E340" s="3">
        <v>44600</v>
      </c>
      <c r="F340" s="2" t="s">
        <v>364</v>
      </c>
      <c r="G340" s="2" t="s">
        <v>491</v>
      </c>
      <c r="H340" s="2" t="s">
        <v>44</v>
      </c>
      <c r="I340" s="4">
        <v>25352</v>
      </c>
    </row>
    <row r="341" spans="1:9" x14ac:dyDescent="0.25">
      <c r="A341" s="2" t="s">
        <v>13</v>
      </c>
      <c r="B341" s="2">
        <v>2300</v>
      </c>
      <c r="C341" s="2">
        <v>3</v>
      </c>
      <c r="D341" s="2" t="s">
        <v>29</v>
      </c>
      <c r="E341" s="3">
        <v>44883</v>
      </c>
      <c r="F341" s="2" t="s">
        <v>190</v>
      </c>
      <c r="G341" s="2" t="s">
        <v>313</v>
      </c>
      <c r="H341" s="2" t="s">
        <v>44</v>
      </c>
      <c r="I341" s="4">
        <v>19708</v>
      </c>
    </row>
    <row r="342" spans="1:9" x14ac:dyDescent="0.25">
      <c r="A342" s="2" t="s">
        <v>14</v>
      </c>
      <c r="B342" s="2">
        <v>2000</v>
      </c>
      <c r="C342" s="2">
        <v>2</v>
      </c>
      <c r="D342" s="2" t="s">
        <v>40</v>
      </c>
      <c r="E342" s="3">
        <v>44922</v>
      </c>
      <c r="F342" s="2" t="s">
        <v>70</v>
      </c>
      <c r="G342" s="2" t="s">
        <v>581</v>
      </c>
      <c r="H342" s="2" t="s">
        <v>44</v>
      </c>
      <c r="I342" s="4">
        <v>27603</v>
      </c>
    </row>
    <row r="343" spans="1:9" x14ac:dyDescent="0.25">
      <c r="A343" s="2" t="s">
        <v>10</v>
      </c>
      <c r="B343" s="2">
        <v>1450</v>
      </c>
      <c r="C343" s="2">
        <v>4</v>
      </c>
      <c r="D343" s="2" t="s">
        <v>29</v>
      </c>
      <c r="E343" s="3">
        <v>44610</v>
      </c>
      <c r="F343" s="2" t="s">
        <v>76</v>
      </c>
      <c r="G343" s="2" t="s">
        <v>297</v>
      </c>
      <c r="H343" s="2" t="s">
        <v>49</v>
      </c>
      <c r="I343" s="4">
        <v>25035</v>
      </c>
    </row>
    <row r="344" spans="1:9" x14ac:dyDescent="0.25">
      <c r="A344" s="2" t="s">
        <v>22</v>
      </c>
      <c r="B344" s="2">
        <v>5200</v>
      </c>
      <c r="C344" s="2">
        <v>1</v>
      </c>
      <c r="D344" s="2" t="s">
        <v>33</v>
      </c>
      <c r="E344" s="3">
        <v>44835</v>
      </c>
      <c r="F344" s="2" t="s">
        <v>52</v>
      </c>
      <c r="G344" s="2" t="s">
        <v>75</v>
      </c>
      <c r="H344" s="2" t="s">
        <v>44</v>
      </c>
      <c r="I344" s="4">
        <v>29332</v>
      </c>
    </row>
    <row r="345" spans="1:9" x14ac:dyDescent="0.25">
      <c r="A345" s="2" t="s">
        <v>10</v>
      </c>
      <c r="B345" s="2">
        <v>1450</v>
      </c>
      <c r="C345" s="2">
        <v>1</v>
      </c>
      <c r="D345" s="2" t="s">
        <v>34</v>
      </c>
      <c r="E345" s="3">
        <v>44791</v>
      </c>
      <c r="F345" s="2" t="s">
        <v>365</v>
      </c>
      <c r="G345" s="2" t="s">
        <v>220</v>
      </c>
      <c r="H345" s="2" t="s">
        <v>49</v>
      </c>
      <c r="I345" s="4">
        <v>28548</v>
      </c>
    </row>
    <row r="346" spans="1:9" x14ac:dyDescent="0.25">
      <c r="A346" s="2" t="s">
        <v>10</v>
      </c>
      <c r="B346" s="2">
        <v>1450</v>
      </c>
      <c r="C346" s="2">
        <v>4</v>
      </c>
      <c r="D346" s="2" t="s">
        <v>32</v>
      </c>
      <c r="E346" s="3">
        <v>44885</v>
      </c>
      <c r="F346" s="2" t="s">
        <v>137</v>
      </c>
      <c r="G346" s="2" t="s">
        <v>174</v>
      </c>
      <c r="H346" s="2" t="s">
        <v>49</v>
      </c>
      <c r="I346" s="4">
        <v>22798</v>
      </c>
    </row>
    <row r="347" spans="1:9" x14ac:dyDescent="0.25">
      <c r="A347" s="2" t="s">
        <v>18</v>
      </c>
      <c r="B347" s="2">
        <v>3000</v>
      </c>
      <c r="C347" s="2">
        <v>1</v>
      </c>
      <c r="D347" s="2" t="s">
        <v>29</v>
      </c>
      <c r="E347" s="3">
        <v>44648</v>
      </c>
      <c r="F347" s="2" t="s">
        <v>562</v>
      </c>
      <c r="G347" s="2" t="s">
        <v>89</v>
      </c>
      <c r="H347" s="2" t="s">
        <v>49</v>
      </c>
      <c r="I347" s="4">
        <v>19516</v>
      </c>
    </row>
    <row r="348" spans="1:9" x14ac:dyDescent="0.25">
      <c r="A348" s="2" t="s">
        <v>16</v>
      </c>
      <c r="B348" s="2">
        <v>1400</v>
      </c>
      <c r="C348" s="2">
        <v>1</v>
      </c>
      <c r="D348" s="2" t="s">
        <v>34</v>
      </c>
      <c r="E348" s="3">
        <v>44698</v>
      </c>
      <c r="F348" s="2" t="s">
        <v>589</v>
      </c>
      <c r="G348" s="2" t="s">
        <v>46</v>
      </c>
      <c r="H348" s="2" t="s">
        <v>44</v>
      </c>
      <c r="I348" s="4">
        <v>20785</v>
      </c>
    </row>
    <row r="349" spans="1:9" x14ac:dyDescent="0.25">
      <c r="A349" s="2" t="s">
        <v>6</v>
      </c>
      <c r="B349" s="2">
        <v>1200</v>
      </c>
      <c r="C349" s="2">
        <v>4</v>
      </c>
      <c r="D349" s="2" t="s">
        <v>34</v>
      </c>
      <c r="E349" s="3">
        <v>44828</v>
      </c>
      <c r="F349" s="2" t="s">
        <v>88</v>
      </c>
      <c r="G349" s="2" t="s">
        <v>89</v>
      </c>
      <c r="H349" s="2" t="s">
        <v>44</v>
      </c>
      <c r="I349" s="4">
        <v>20008</v>
      </c>
    </row>
    <row r="350" spans="1:9" x14ac:dyDescent="0.25">
      <c r="A350" s="2" t="s">
        <v>7</v>
      </c>
      <c r="B350" s="2">
        <v>750</v>
      </c>
      <c r="C350" s="2">
        <v>2</v>
      </c>
      <c r="D350" s="2" t="s">
        <v>38</v>
      </c>
      <c r="E350" s="3">
        <v>44860</v>
      </c>
      <c r="F350" s="2" t="s">
        <v>312</v>
      </c>
      <c r="G350" s="2" t="s">
        <v>411</v>
      </c>
      <c r="H350" s="2" t="s">
        <v>49</v>
      </c>
      <c r="I350" s="4">
        <v>26225</v>
      </c>
    </row>
    <row r="351" spans="1:9" x14ac:dyDescent="0.25">
      <c r="A351" s="2" t="s">
        <v>21</v>
      </c>
      <c r="B351" s="2">
        <v>2400</v>
      </c>
      <c r="C351" s="2">
        <v>1</v>
      </c>
      <c r="D351" s="2" t="s">
        <v>36</v>
      </c>
      <c r="E351" s="3">
        <v>44784</v>
      </c>
      <c r="F351" s="2" t="s">
        <v>104</v>
      </c>
      <c r="G351" s="2" t="s">
        <v>410</v>
      </c>
      <c r="H351" s="2" t="s">
        <v>44</v>
      </c>
      <c r="I351" s="4">
        <v>18295</v>
      </c>
    </row>
    <row r="352" spans="1:9" x14ac:dyDescent="0.25">
      <c r="A352" s="2" t="s">
        <v>22</v>
      </c>
      <c r="B352" s="2">
        <v>5200</v>
      </c>
      <c r="C352" s="2">
        <v>5</v>
      </c>
      <c r="D352" s="2" t="s">
        <v>40</v>
      </c>
      <c r="E352" s="3">
        <v>44637</v>
      </c>
      <c r="F352" s="2" t="s">
        <v>51</v>
      </c>
      <c r="G352" s="2" t="s">
        <v>352</v>
      </c>
      <c r="H352" s="2" t="s">
        <v>44</v>
      </c>
      <c r="I352" s="4">
        <v>32566</v>
      </c>
    </row>
    <row r="353" spans="1:9" x14ac:dyDescent="0.25">
      <c r="A353" s="2" t="s">
        <v>6</v>
      </c>
      <c r="B353" s="2">
        <v>1200</v>
      </c>
      <c r="C353" s="2">
        <v>1</v>
      </c>
      <c r="D353" s="2" t="s">
        <v>36</v>
      </c>
      <c r="E353" s="3">
        <v>44663</v>
      </c>
      <c r="F353" s="2" t="s">
        <v>233</v>
      </c>
      <c r="G353" s="2" t="s">
        <v>93</v>
      </c>
      <c r="H353" s="2" t="s">
        <v>49</v>
      </c>
      <c r="I353" s="4">
        <v>18972</v>
      </c>
    </row>
    <row r="354" spans="1:9" x14ac:dyDescent="0.25">
      <c r="A354" s="2" t="s">
        <v>13</v>
      </c>
      <c r="B354" s="2">
        <v>2300</v>
      </c>
      <c r="C354" s="2">
        <v>1</v>
      </c>
      <c r="D354" s="2" t="s">
        <v>32</v>
      </c>
      <c r="E354" s="3">
        <v>44792</v>
      </c>
      <c r="F354" s="2" t="s">
        <v>185</v>
      </c>
      <c r="G354" s="2" t="s">
        <v>186</v>
      </c>
      <c r="H354" s="2" t="s">
        <v>44</v>
      </c>
      <c r="I354" s="4">
        <v>21561</v>
      </c>
    </row>
    <row r="355" spans="1:9" x14ac:dyDescent="0.25">
      <c r="A355" s="2" t="s">
        <v>27</v>
      </c>
      <c r="B355" s="2">
        <v>1500</v>
      </c>
      <c r="C355" s="2">
        <v>2</v>
      </c>
      <c r="D355" s="2" t="s">
        <v>38</v>
      </c>
      <c r="E355" s="3">
        <v>44581</v>
      </c>
      <c r="F355" s="2" t="s">
        <v>221</v>
      </c>
      <c r="G355" s="2" t="s">
        <v>294</v>
      </c>
      <c r="H355" s="2" t="s">
        <v>44</v>
      </c>
      <c r="I355" s="4">
        <v>28733</v>
      </c>
    </row>
    <row r="356" spans="1:9" x14ac:dyDescent="0.25">
      <c r="A356" s="2" t="s">
        <v>5</v>
      </c>
      <c r="B356" s="2">
        <v>1750</v>
      </c>
      <c r="C356" s="2">
        <v>5</v>
      </c>
      <c r="D356" s="2" t="s">
        <v>36</v>
      </c>
      <c r="E356" s="3">
        <v>44639</v>
      </c>
      <c r="F356" s="2" t="s">
        <v>264</v>
      </c>
      <c r="G356" s="2" t="s">
        <v>353</v>
      </c>
      <c r="H356" s="2" t="s">
        <v>49</v>
      </c>
      <c r="I356" s="4">
        <v>34434</v>
      </c>
    </row>
    <row r="357" spans="1:9" x14ac:dyDescent="0.25">
      <c r="A357" s="2" t="s">
        <v>7</v>
      </c>
      <c r="B357" s="2">
        <v>750</v>
      </c>
      <c r="C357" s="2">
        <v>4</v>
      </c>
      <c r="D357" s="2" t="s">
        <v>36</v>
      </c>
      <c r="E357" s="3">
        <v>44700</v>
      </c>
      <c r="F357" s="2" t="s">
        <v>173</v>
      </c>
      <c r="G357" s="2" t="s">
        <v>359</v>
      </c>
      <c r="H357" s="2" t="s">
        <v>44</v>
      </c>
      <c r="I357" s="4">
        <v>33395</v>
      </c>
    </row>
    <row r="358" spans="1:9" x14ac:dyDescent="0.25">
      <c r="A358" s="2" t="s">
        <v>6</v>
      </c>
      <c r="B358" s="2">
        <v>1200</v>
      </c>
      <c r="C358" s="2">
        <v>1</v>
      </c>
      <c r="D358" s="2" t="s">
        <v>36</v>
      </c>
      <c r="E358" s="3">
        <v>44600</v>
      </c>
      <c r="F358" s="2" t="s">
        <v>233</v>
      </c>
      <c r="G358" s="2" t="s">
        <v>63</v>
      </c>
      <c r="H358" s="2" t="s">
        <v>49</v>
      </c>
      <c r="I358" s="4">
        <v>31797</v>
      </c>
    </row>
    <row r="359" spans="1:9" x14ac:dyDescent="0.25">
      <c r="A359" s="2" t="s">
        <v>8</v>
      </c>
      <c r="B359" s="2">
        <v>5500</v>
      </c>
      <c r="C359" s="2">
        <v>3</v>
      </c>
      <c r="D359" s="2" t="s">
        <v>35</v>
      </c>
      <c r="E359" s="3">
        <v>44811</v>
      </c>
      <c r="F359" s="2" t="s">
        <v>368</v>
      </c>
      <c r="G359" s="2" t="s">
        <v>369</v>
      </c>
      <c r="H359" s="2" t="s">
        <v>44</v>
      </c>
      <c r="I359" s="4">
        <v>30367</v>
      </c>
    </row>
    <row r="360" spans="1:9" x14ac:dyDescent="0.25">
      <c r="A360" s="2" t="s">
        <v>26</v>
      </c>
      <c r="B360" s="2">
        <v>1100</v>
      </c>
      <c r="C360" s="2">
        <v>4</v>
      </c>
      <c r="D360" s="2" t="s">
        <v>29</v>
      </c>
      <c r="E360" s="3">
        <v>44646</v>
      </c>
      <c r="F360" s="2" t="s">
        <v>140</v>
      </c>
      <c r="G360" s="2" t="s">
        <v>281</v>
      </c>
      <c r="H360" s="2" t="s">
        <v>49</v>
      </c>
      <c r="I360" s="4">
        <v>21078</v>
      </c>
    </row>
    <row r="361" spans="1:9" x14ac:dyDescent="0.25">
      <c r="A361" s="2" t="s">
        <v>17</v>
      </c>
      <c r="B361" s="2">
        <v>1550</v>
      </c>
      <c r="C361" s="2">
        <v>5</v>
      </c>
      <c r="D361" s="2" t="s">
        <v>31</v>
      </c>
      <c r="E361" s="3">
        <v>44769</v>
      </c>
      <c r="F361" s="2" t="s">
        <v>42</v>
      </c>
      <c r="G361" s="2" t="s">
        <v>274</v>
      </c>
      <c r="H361" s="2" t="s">
        <v>44</v>
      </c>
      <c r="I361" s="4">
        <v>30739</v>
      </c>
    </row>
    <row r="362" spans="1:9" x14ac:dyDescent="0.25">
      <c r="A362" s="2" t="s">
        <v>20</v>
      </c>
      <c r="B362" s="2">
        <v>2600</v>
      </c>
      <c r="C362" s="2">
        <v>2</v>
      </c>
      <c r="D362" s="2" t="s">
        <v>41</v>
      </c>
      <c r="E362" s="3">
        <v>44907</v>
      </c>
      <c r="F362" s="2" t="s">
        <v>175</v>
      </c>
      <c r="G362" s="2" t="s">
        <v>291</v>
      </c>
      <c r="H362" s="2" t="s">
        <v>49</v>
      </c>
      <c r="I362" s="4">
        <v>21339</v>
      </c>
    </row>
    <row r="363" spans="1:9" x14ac:dyDescent="0.25">
      <c r="A363" s="2" t="s">
        <v>19</v>
      </c>
      <c r="B363" s="2">
        <v>700</v>
      </c>
      <c r="C363" s="2">
        <v>1</v>
      </c>
      <c r="D363" s="2" t="s">
        <v>40</v>
      </c>
      <c r="E363" s="3">
        <v>44759</v>
      </c>
      <c r="F363" s="2" t="s">
        <v>461</v>
      </c>
      <c r="G363" s="2" t="s">
        <v>83</v>
      </c>
      <c r="H363" s="2" t="s">
        <v>49</v>
      </c>
      <c r="I363" s="4">
        <v>35735</v>
      </c>
    </row>
    <row r="364" spans="1:9" x14ac:dyDescent="0.25">
      <c r="A364" s="2" t="s">
        <v>6</v>
      </c>
      <c r="B364" s="2">
        <v>1200</v>
      </c>
      <c r="C364" s="2">
        <v>5</v>
      </c>
      <c r="D364" s="2" t="s">
        <v>30</v>
      </c>
      <c r="E364" s="3">
        <v>44793</v>
      </c>
      <c r="F364" s="2" t="s">
        <v>107</v>
      </c>
      <c r="G364" s="2" t="s">
        <v>63</v>
      </c>
      <c r="H364" s="2" t="s">
        <v>49</v>
      </c>
      <c r="I364" s="4">
        <v>29503</v>
      </c>
    </row>
    <row r="365" spans="1:9" x14ac:dyDescent="0.25">
      <c r="A365" s="2" t="s">
        <v>9</v>
      </c>
      <c r="B365" s="2">
        <v>1500</v>
      </c>
      <c r="C365" s="2">
        <v>1</v>
      </c>
      <c r="D365" s="2" t="s">
        <v>34</v>
      </c>
      <c r="E365" s="3">
        <v>44707</v>
      </c>
      <c r="F365" s="2" t="s">
        <v>272</v>
      </c>
      <c r="G365" s="2" t="s">
        <v>495</v>
      </c>
      <c r="H365" s="2" t="s">
        <v>49</v>
      </c>
      <c r="I365" s="4">
        <v>34134</v>
      </c>
    </row>
    <row r="366" spans="1:9" x14ac:dyDescent="0.25">
      <c r="A366" s="2" t="s">
        <v>20</v>
      </c>
      <c r="B366" s="2">
        <v>2600</v>
      </c>
      <c r="C366" s="2">
        <v>5</v>
      </c>
      <c r="D366" s="2" t="s">
        <v>37</v>
      </c>
      <c r="E366" s="3">
        <v>44904</v>
      </c>
      <c r="F366" s="2" t="s">
        <v>137</v>
      </c>
      <c r="G366" s="2" t="s">
        <v>200</v>
      </c>
      <c r="H366" s="2" t="s">
        <v>49</v>
      </c>
      <c r="I366" s="4">
        <v>21494</v>
      </c>
    </row>
    <row r="367" spans="1:9" x14ac:dyDescent="0.25">
      <c r="A367" s="2" t="s">
        <v>9</v>
      </c>
      <c r="B367" s="2">
        <v>1500</v>
      </c>
      <c r="C367" s="2">
        <v>5</v>
      </c>
      <c r="D367" s="2" t="s">
        <v>29</v>
      </c>
      <c r="E367" s="3">
        <v>44901</v>
      </c>
      <c r="F367" s="2" t="s">
        <v>142</v>
      </c>
      <c r="G367" s="2" t="s">
        <v>389</v>
      </c>
      <c r="H367" s="2" t="s">
        <v>49</v>
      </c>
      <c r="I367" s="4">
        <v>26911</v>
      </c>
    </row>
    <row r="368" spans="1:9" x14ac:dyDescent="0.25">
      <c r="A368" s="2" t="s">
        <v>28</v>
      </c>
      <c r="B368" s="2">
        <v>1400</v>
      </c>
      <c r="C368" s="2">
        <v>3</v>
      </c>
      <c r="D368" s="2" t="s">
        <v>32</v>
      </c>
      <c r="E368" s="3">
        <v>44812</v>
      </c>
      <c r="F368" s="2" t="s">
        <v>78</v>
      </c>
      <c r="G368" s="2" t="s">
        <v>67</v>
      </c>
      <c r="H368" s="2" t="s">
        <v>49</v>
      </c>
      <c r="I368" s="4">
        <v>33514</v>
      </c>
    </row>
    <row r="369" spans="1:9" x14ac:dyDescent="0.25">
      <c r="A369" s="2" t="s">
        <v>9</v>
      </c>
      <c r="B369" s="2">
        <v>1500</v>
      </c>
      <c r="C369" s="2">
        <v>1</v>
      </c>
      <c r="D369" s="2" t="s">
        <v>30</v>
      </c>
      <c r="E369" s="3">
        <v>44797</v>
      </c>
      <c r="F369" s="2" t="s">
        <v>318</v>
      </c>
      <c r="G369" s="2" t="s">
        <v>391</v>
      </c>
      <c r="H369" s="2" t="s">
        <v>44</v>
      </c>
      <c r="I369" s="4">
        <v>19417</v>
      </c>
    </row>
    <row r="370" spans="1:9" x14ac:dyDescent="0.25">
      <c r="A370" s="2" t="s">
        <v>26</v>
      </c>
      <c r="B370" s="2">
        <v>1100</v>
      </c>
      <c r="C370" s="2">
        <v>1</v>
      </c>
      <c r="D370" s="2" t="s">
        <v>36</v>
      </c>
      <c r="E370" s="3">
        <v>44924</v>
      </c>
      <c r="F370" s="2" t="s">
        <v>137</v>
      </c>
      <c r="G370" s="2" t="s">
        <v>360</v>
      </c>
      <c r="H370" s="2" t="s">
        <v>49</v>
      </c>
      <c r="I370" s="4">
        <v>26038</v>
      </c>
    </row>
    <row r="371" spans="1:9" x14ac:dyDescent="0.25">
      <c r="A371" s="2" t="s">
        <v>25</v>
      </c>
      <c r="B371" s="2">
        <v>2500</v>
      </c>
      <c r="C371" s="2">
        <v>5</v>
      </c>
      <c r="D371" s="2" t="s">
        <v>34</v>
      </c>
      <c r="E371" s="3">
        <v>44836</v>
      </c>
      <c r="F371" s="2" t="s">
        <v>66</v>
      </c>
      <c r="G371" s="2" t="s">
        <v>572</v>
      </c>
      <c r="H371" s="2" t="s">
        <v>44</v>
      </c>
      <c r="I371" s="4">
        <v>34143</v>
      </c>
    </row>
    <row r="372" spans="1:9" x14ac:dyDescent="0.25">
      <c r="A372" s="2" t="s">
        <v>28</v>
      </c>
      <c r="B372" s="2">
        <v>1400</v>
      </c>
      <c r="C372" s="2">
        <v>2</v>
      </c>
      <c r="D372" s="2" t="s">
        <v>34</v>
      </c>
      <c r="E372" s="3">
        <v>44562</v>
      </c>
      <c r="F372" s="2" t="s">
        <v>542</v>
      </c>
      <c r="G372" s="2" t="s">
        <v>117</v>
      </c>
      <c r="H372" s="2" t="s">
        <v>44</v>
      </c>
      <c r="I372" s="4">
        <v>27387</v>
      </c>
    </row>
    <row r="373" spans="1:9" x14ac:dyDescent="0.25">
      <c r="A373" s="2" t="s">
        <v>9</v>
      </c>
      <c r="B373" s="2">
        <v>1500</v>
      </c>
      <c r="C373" s="2">
        <v>4</v>
      </c>
      <c r="D373" s="2" t="s">
        <v>38</v>
      </c>
      <c r="E373" s="3">
        <v>44696</v>
      </c>
      <c r="F373" s="2" t="s">
        <v>258</v>
      </c>
      <c r="G373" s="2" t="s">
        <v>81</v>
      </c>
      <c r="H373" s="2" t="s">
        <v>49</v>
      </c>
      <c r="I373" s="4">
        <v>33726</v>
      </c>
    </row>
    <row r="374" spans="1:9" x14ac:dyDescent="0.25">
      <c r="A374" s="2" t="s">
        <v>5</v>
      </c>
      <c r="B374" s="2">
        <v>1750</v>
      </c>
      <c r="C374" s="2">
        <v>5</v>
      </c>
      <c r="D374" s="2" t="s">
        <v>31</v>
      </c>
      <c r="E374" s="3">
        <v>44884</v>
      </c>
      <c r="F374" s="2" t="s">
        <v>163</v>
      </c>
      <c r="G374" s="2" t="s">
        <v>99</v>
      </c>
      <c r="H374" s="2" t="s">
        <v>49</v>
      </c>
      <c r="I374" s="4">
        <v>34480</v>
      </c>
    </row>
    <row r="375" spans="1:9" x14ac:dyDescent="0.25">
      <c r="A375" s="2" t="s">
        <v>19</v>
      </c>
      <c r="B375" s="2">
        <v>700</v>
      </c>
      <c r="C375" s="2">
        <v>4</v>
      </c>
      <c r="D375" s="2" t="s">
        <v>41</v>
      </c>
      <c r="E375" s="3">
        <v>44640</v>
      </c>
      <c r="F375" s="2" t="s">
        <v>74</v>
      </c>
      <c r="G375" s="2" t="s">
        <v>63</v>
      </c>
      <c r="H375" s="2" t="s">
        <v>44</v>
      </c>
      <c r="I375" s="4">
        <v>34771</v>
      </c>
    </row>
    <row r="376" spans="1:9" x14ac:dyDescent="0.25">
      <c r="A376" s="2" t="s">
        <v>7</v>
      </c>
      <c r="B376" s="2">
        <v>750</v>
      </c>
      <c r="C376" s="2">
        <v>2</v>
      </c>
      <c r="D376" s="2" t="s">
        <v>41</v>
      </c>
      <c r="E376" s="3">
        <v>44721</v>
      </c>
      <c r="F376" s="2" t="s">
        <v>66</v>
      </c>
      <c r="G376" s="2" t="s">
        <v>69</v>
      </c>
      <c r="H376" s="2" t="s">
        <v>44</v>
      </c>
      <c r="I376" s="4">
        <v>35823</v>
      </c>
    </row>
    <row r="377" spans="1:9" x14ac:dyDescent="0.25">
      <c r="A377" s="2" t="s">
        <v>21</v>
      </c>
      <c r="B377" s="2">
        <v>2400</v>
      </c>
      <c r="C377" s="2">
        <v>5</v>
      </c>
      <c r="D377" s="2" t="s">
        <v>37</v>
      </c>
      <c r="E377" s="3">
        <v>44590</v>
      </c>
      <c r="F377" s="2" t="s">
        <v>401</v>
      </c>
      <c r="G377" s="2" t="s">
        <v>310</v>
      </c>
      <c r="H377" s="2" t="s">
        <v>49</v>
      </c>
      <c r="I377" s="4">
        <v>33535</v>
      </c>
    </row>
    <row r="378" spans="1:9" x14ac:dyDescent="0.25">
      <c r="A378" s="2" t="s">
        <v>26</v>
      </c>
      <c r="B378" s="2">
        <v>1100</v>
      </c>
      <c r="C378" s="2">
        <v>2</v>
      </c>
      <c r="D378" s="2" t="s">
        <v>37</v>
      </c>
      <c r="E378" s="3">
        <v>44898</v>
      </c>
      <c r="F378" s="2" t="s">
        <v>462</v>
      </c>
      <c r="G378" s="2" t="s">
        <v>75</v>
      </c>
      <c r="H378" s="2" t="s">
        <v>49</v>
      </c>
      <c r="I378" s="4">
        <v>22979</v>
      </c>
    </row>
    <row r="379" spans="1:9" x14ac:dyDescent="0.25">
      <c r="A379" s="2" t="s">
        <v>23</v>
      </c>
      <c r="B379" s="2">
        <v>1500</v>
      </c>
      <c r="C379" s="2">
        <v>2</v>
      </c>
      <c r="D379" s="2" t="s">
        <v>29</v>
      </c>
      <c r="E379" s="3">
        <v>44586</v>
      </c>
      <c r="F379" s="2" t="s">
        <v>394</v>
      </c>
      <c r="G379" s="2" t="s">
        <v>526</v>
      </c>
      <c r="H379" s="2" t="s">
        <v>49</v>
      </c>
      <c r="I379" s="4">
        <v>28317</v>
      </c>
    </row>
    <row r="380" spans="1:9" x14ac:dyDescent="0.25">
      <c r="A380" s="2" t="s">
        <v>16</v>
      </c>
      <c r="B380" s="2">
        <v>1400</v>
      </c>
      <c r="C380" s="2">
        <v>5</v>
      </c>
      <c r="D380" s="2" t="s">
        <v>39</v>
      </c>
      <c r="E380" s="3">
        <v>44769</v>
      </c>
      <c r="F380" s="2" t="s">
        <v>254</v>
      </c>
      <c r="G380" s="2" t="s">
        <v>117</v>
      </c>
      <c r="H380" s="2" t="s">
        <v>49</v>
      </c>
      <c r="I380" s="4">
        <v>27996</v>
      </c>
    </row>
    <row r="381" spans="1:9" x14ac:dyDescent="0.25">
      <c r="A381" s="2" t="s">
        <v>12</v>
      </c>
      <c r="B381" s="2">
        <v>6500</v>
      </c>
      <c r="C381" s="2">
        <v>1</v>
      </c>
      <c r="D381" s="2" t="s">
        <v>31</v>
      </c>
      <c r="E381" s="3">
        <v>44596</v>
      </c>
      <c r="F381" s="2" t="s">
        <v>544</v>
      </c>
      <c r="G381" s="2" t="s">
        <v>171</v>
      </c>
      <c r="H381" s="2" t="s">
        <v>44</v>
      </c>
      <c r="I381" s="4">
        <v>18869</v>
      </c>
    </row>
    <row r="382" spans="1:9" x14ac:dyDescent="0.25">
      <c r="A382" s="2" t="s">
        <v>25</v>
      </c>
      <c r="B382" s="2">
        <v>2500</v>
      </c>
      <c r="C382" s="2">
        <v>5</v>
      </c>
      <c r="D382" s="2" t="s">
        <v>29</v>
      </c>
      <c r="E382" s="3">
        <v>44597</v>
      </c>
      <c r="F382" s="2" t="s">
        <v>109</v>
      </c>
      <c r="G382" s="2" t="s">
        <v>291</v>
      </c>
      <c r="H382" s="2" t="s">
        <v>44</v>
      </c>
      <c r="I382" s="4">
        <v>29680</v>
      </c>
    </row>
    <row r="383" spans="1:9" x14ac:dyDescent="0.25">
      <c r="A383" s="2" t="s">
        <v>25</v>
      </c>
      <c r="B383" s="2">
        <v>2500</v>
      </c>
      <c r="C383" s="2">
        <v>2</v>
      </c>
      <c r="D383" s="2" t="s">
        <v>30</v>
      </c>
      <c r="E383" s="3">
        <v>44572</v>
      </c>
      <c r="F383" s="2" t="s">
        <v>173</v>
      </c>
      <c r="G383" s="2" t="s">
        <v>174</v>
      </c>
      <c r="H383" s="2" t="s">
        <v>44</v>
      </c>
      <c r="I383" s="4">
        <v>28789</v>
      </c>
    </row>
    <row r="384" spans="1:9" x14ac:dyDescent="0.25">
      <c r="A384" s="2" t="s">
        <v>6</v>
      </c>
      <c r="B384" s="2">
        <v>1200</v>
      </c>
      <c r="C384" s="2">
        <v>4</v>
      </c>
      <c r="D384" s="2" t="s">
        <v>31</v>
      </c>
      <c r="E384" s="3">
        <v>44775</v>
      </c>
      <c r="F384" s="2" t="s">
        <v>56</v>
      </c>
      <c r="G384" s="2" t="s">
        <v>138</v>
      </c>
      <c r="H384" s="2" t="s">
        <v>44</v>
      </c>
      <c r="I384" s="4">
        <v>26742</v>
      </c>
    </row>
    <row r="385" spans="1:9" x14ac:dyDescent="0.25">
      <c r="A385" s="2" t="s">
        <v>12</v>
      </c>
      <c r="B385" s="2">
        <v>6500</v>
      </c>
      <c r="C385" s="2">
        <v>4</v>
      </c>
      <c r="D385" s="2" t="s">
        <v>29</v>
      </c>
      <c r="E385" s="3">
        <v>44834</v>
      </c>
      <c r="F385" s="2" t="s">
        <v>92</v>
      </c>
      <c r="G385" s="2" t="s">
        <v>262</v>
      </c>
      <c r="H385" s="2" t="s">
        <v>44</v>
      </c>
      <c r="I385" s="4">
        <v>22499</v>
      </c>
    </row>
    <row r="386" spans="1:9" x14ac:dyDescent="0.25">
      <c r="A386" s="2" t="s">
        <v>25</v>
      </c>
      <c r="B386" s="2">
        <v>2500</v>
      </c>
      <c r="C386" s="2">
        <v>1</v>
      </c>
      <c r="D386" s="2" t="s">
        <v>30</v>
      </c>
      <c r="E386" s="3">
        <v>44829</v>
      </c>
      <c r="F386" s="2" t="s">
        <v>318</v>
      </c>
      <c r="G386" s="2" t="s">
        <v>345</v>
      </c>
      <c r="H386" s="2" t="s">
        <v>44</v>
      </c>
      <c r="I386" s="4">
        <v>18782</v>
      </c>
    </row>
    <row r="387" spans="1:9" x14ac:dyDescent="0.25">
      <c r="A387" s="2" t="s">
        <v>8</v>
      </c>
      <c r="B387" s="2">
        <v>5500</v>
      </c>
      <c r="C387" s="2">
        <v>1</v>
      </c>
      <c r="D387" s="2" t="s">
        <v>34</v>
      </c>
      <c r="E387" s="3">
        <v>44587</v>
      </c>
      <c r="F387" s="2" t="s">
        <v>165</v>
      </c>
      <c r="G387" s="2" t="s">
        <v>266</v>
      </c>
      <c r="H387" s="2" t="s">
        <v>49</v>
      </c>
      <c r="I387" s="4">
        <v>21774</v>
      </c>
    </row>
    <row r="388" spans="1:9" x14ac:dyDescent="0.25">
      <c r="A388" s="2" t="s">
        <v>13</v>
      </c>
      <c r="B388" s="2">
        <v>2300</v>
      </c>
      <c r="C388" s="2">
        <v>2</v>
      </c>
      <c r="D388" s="2" t="s">
        <v>29</v>
      </c>
      <c r="E388" s="3">
        <v>44703</v>
      </c>
      <c r="F388" s="2" t="s">
        <v>173</v>
      </c>
      <c r="G388" s="2" t="s">
        <v>181</v>
      </c>
      <c r="H388" s="2" t="s">
        <v>44</v>
      </c>
      <c r="I388" s="4">
        <v>32179</v>
      </c>
    </row>
    <row r="389" spans="1:9" x14ac:dyDescent="0.25">
      <c r="A389" s="2" t="s">
        <v>17</v>
      </c>
      <c r="B389" s="2">
        <v>1550</v>
      </c>
      <c r="C389" s="2">
        <v>2</v>
      </c>
      <c r="D389" s="2" t="s">
        <v>29</v>
      </c>
      <c r="E389" s="3">
        <v>44879</v>
      </c>
      <c r="F389" s="2" t="s">
        <v>196</v>
      </c>
      <c r="G389" s="2" t="s">
        <v>197</v>
      </c>
      <c r="H389" s="2" t="s">
        <v>44</v>
      </c>
      <c r="I389" s="4">
        <v>29458</v>
      </c>
    </row>
    <row r="390" spans="1:9" x14ac:dyDescent="0.25">
      <c r="A390" s="2" t="s">
        <v>20</v>
      </c>
      <c r="B390" s="2">
        <v>2600</v>
      </c>
      <c r="C390" s="2">
        <v>1</v>
      </c>
      <c r="D390" s="2" t="s">
        <v>38</v>
      </c>
      <c r="E390" s="3">
        <v>44687</v>
      </c>
      <c r="F390" s="2" t="s">
        <v>165</v>
      </c>
      <c r="G390" s="2" t="s">
        <v>166</v>
      </c>
      <c r="H390" s="2" t="s">
        <v>49</v>
      </c>
      <c r="I390" s="4">
        <v>30933</v>
      </c>
    </row>
    <row r="391" spans="1:9" x14ac:dyDescent="0.25">
      <c r="A391" s="2" t="s">
        <v>24</v>
      </c>
      <c r="B391" s="2">
        <v>2000</v>
      </c>
      <c r="C391" s="2">
        <v>4</v>
      </c>
      <c r="D391" s="2" t="s">
        <v>39</v>
      </c>
      <c r="E391" s="3">
        <v>44868</v>
      </c>
      <c r="F391" s="2" t="s">
        <v>587</v>
      </c>
      <c r="G391" s="2" t="s">
        <v>141</v>
      </c>
      <c r="H391" s="2" t="s">
        <v>49</v>
      </c>
      <c r="I391" s="4">
        <v>21878</v>
      </c>
    </row>
    <row r="392" spans="1:9" x14ac:dyDescent="0.25">
      <c r="A392" s="2" t="s">
        <v>25</v>
      </c>
      <c r="B392" s="2">
        <v>2500</v>
      </c>
      <c r="C392" s="2">
        <v>3</v>
      </c>
      <c r="D392" s="2" t="s">
        <v>31</v>
      </c>
      <c r="E392" s="3">
        <v>44828</v>
      </c>
      <c r="F392" s="2" t="s">
        <v>56</v>
      </c>
      <c r="G392" s="2" t="s">
        <v>138</v>
      </c>
      <c r="H392" s="2" t="s">
        <v>44</v>
      </c>
      <c r="I392" s="4">
        <v>26742</v>
      </c>
    </row>
    <row r="393" spans="1:9" x14ac:dyDescent="0.25">
      <c r="A393" s="2" t="s">
        <v>9</v>
      </c>
      <c r="B393" s="2">
        <v>1500</v>
      </c>
      <c r="C393" s="2">
        <v>5</v>
      </c>
      <c r="D393" s="2" t="s">
        <v>31</v>
      </c>
      <c r="E393" s="3">
        <v>44724</v>
      </c>
      <c r="F393" s="2" t="s">
        <v>460</v>
      </c>
      <c r="G393" s="2" t="s">
        <v>308</v>
      </c>
      <c r="H393" s="2" t="s">
        <v>49</v>
      </c>
      <c r="I393" s="4">
        <v>25392</v>
      </c>
    </row>
    <row r="394" spans="1:9" x14ac:dyDescent="0.25">
      <c r="A394" s="2" t="s">
        <v>15</v>
      </c>
      <c r="B394" s="2">
        <v>1900</v>
      </c>
      <c r="C394" s="2">
        <v>4</v>
      </c>
      <c r="D394" s="2" t="s">
        <v>29</v>
      </c>
      <c r="E394" s="3">
        <v>44733</v>
      </c>
      <c r="F394" s="2" t="s">
        <v>190</v>
      </c>
      <c r="G394" s="2" t="s">
        <v>313</v>
      </c>
      <c r="H394" s="2" t="s">
        <v>44</v>
      </c>
      <c r="I394" s="4">
        <v>19708</v>
      </c>
    </row>
    <row r="395" spans="1:9" x14ac:dyDescent="0.25">
      <c r="A395" s="2" t="s">
        <v>28</v>
      </c>
      <c r="B395" s="2">
        <v>1400</v>
      </c>
      <c r="C395" s="2">
        <v>5</v>
      </c>
      <c r="D395" s="2" t="s">
        <v>32</v>
      </c>
      <c r="E395" s="3">
        <v>44714</v>
      </c>
      <c r="F395" s="2" t="s">
        <v>414</v>
      </c>
      <c r="G395" s="2" t="s">
        <v>308</v>
      </c>
      <c r="H395" s="2" t="s">
        <v>44</v>
      </c>
      <c r="I395" s="4">
        <v>36278</v>
      </c>
    </row>
    <row r="396" spans="1:9" x14ac:dyDescent="0.25">
      <c r="A396" s="2" t="s">
        <v>7</v>
      </c>
      <c r="B396" s="2">
        <v>750</v>
      </c>
      <c r="C396" s="2">
        <v>2</v>
      </c>
      <c r="D396" s="2" t="s">
        <v>29</v>
      </c>
      <c r="E396" s="3">
        <v>44771</v>
      </c>
      <c r="F396" s="2" t="s">
        <v>173</v>
      </c>
      <c r="G396" s="2" t="s">
        <v>181</v>
      </c>
      <c r="H396" s="2" t="s">
        <v>44</v>
      </c>
      <c r="I396" s="4">
        <v>32179</v>
      </c>
    </row>
    <row r="397" spans="1:9" x14ac:dyDescent="0.25">
      <c r="A397" s="2" t="s">
        <v>23</v>
      </c>
      <c r="B397" s="2">
        <v>1500</v>
      </c>
      <c r="C397" s="2">
        <v>1</v>
      </c>
      <c r="D397" s="2" t="s">
        <v>36</v>
      </c>
      <c r="E397" s="3">
        <v>44658</v>
      </c>
      <c r="F397" s="2" t="s">
        <v>122</v>
      </c>
      <c r="G397" s="2" t="s">
        <v>480</v>
      </c>
      <c r="H397" s="2" t="s">
        <v>49</v>
      </c>
      <c r="I397" s="4">
        <v>34198</v>
      </c>
    </row>
    <row r="398" spans="1:9" x14ac:dyDescent="0.25">
      <c r="A398" s="2" t="s">
        <v>15</v>
      </c>
      <c r="B398" s="2">
        <v>1900</v>
      </c>
      <c r="C398" s="2">
        <v>3</v>
      </c>
      <c r="D398" s="2" t="s">
        <v>35</v>
      </c>
      <c r="E398" s="3">
        <v>44740</v>
      </c>
      <c r="F398" s="2" t="s">
        <v>328</v>
      </c>
      <c r="G398" s="2" t="s">
        <v>149</v>
      </c>
      <c r="H398" s="2" t="s">
        <v>49</v>
      </c>
      <c r="I398" s="4">
        <v>36743</v>
      </c>
    </row>
    <row r="399" spans="1:9" x14ac:dyDescent="0.25">
      <c r="A399" s="2" t="s">
        <v>23</v>
      </c>
      <c r="B399" s="2">
        <v>1500</v>
      </c>
      <c r="C399" s="2">
        <v>4</v>
      </c>
      <c r="D399" s="2" t="s">
        <v>34</v>
      </c>
      <c r="E399" s="3">
        <v>44637</v>
      </c>
      <c r="F399" s="2" t="s">
        <v>505</v>
      </c>
      <c r="G399" s="2" t="s">
        <v>171</v>
      </c>
      <c r="H399" s="2" t="s">
        <v>44</v>
      </c>
      <c r="I399" s="4">
        <v>31007</v>
      </c>
    </row>
    <row r="400" spans="1:9" x14ac:dyDescent="0.25">
      <c r="A400" s="2" t="s">
        <v>18</v>
      </c>
      <c r="B400" s="2">
        <v>3000</v>
      </c>
      <c r="C400" s="2">
        <v>2</v>
      </c>
      <c r="D400" s="2" t="s">
        <v>29</v>
      </c>
      <c r="E400" s="3">
        <v>44578</v>
      </c>
      <c r="F400" s="2" t="s">
        <v>344</v>
      </c>
      <c r="G400" s="2" t="s">
        <v>345</v>
      </c>
      <c r="H400" s="2" t="s">
        <v>49</v>
      </c>
      <c r="I400" s="4">
        <v>31278</v>
      </c>
    </row>
    <row r="401" spans="1:9" x14ac:dyDescent="0.25">
      <c r="A401" s="2" t="s">
        <v>16</v>
      </c>
      <c r="B401" s="2">
        <v>1400</v>
      </c>
      <c r="C401" s="2">
        <v>2</v>
      </c>
      <c r="D401" s="2" t="s">
        <v>33</v>
      </c>
      <c r="E401" s="3">
        <v>44899</v>
      </c>
      <c r="F401" s="2" t="s">
        <v>439</v>
      </c>
      <c r="G401" s="2" t="s">
        <v>139</v>
      </c>
      <c r="H401" s="2" t="s">
        <v>44</v>
      </c>
      <c r="I401" s="4">
        <v>33502</v>
      </c>
    </row>
    <row r="402" spans="1:9" x14ac:dyDescent="0.25">
      <c r="A402" s="2" t="s">
        <v>5</v>
      </c>
      <c r="B402" s="2">
        <v>1750</v>
      </c>
      <c r="C402" s="2">
        <v>1</v>
      </c>
      <c r="D402" s="2" t="s">
        <v>30</v>
      </c>
      <c r="E402" s="3">
        <v>44798</v>
      </c>
      <c r="F402" s="2" t="s">
        <v>155</v>
      </c>
      <c r="G402" s="2" t="s">
        <v>63</v>
      </c>
      <c r="H402" s="2" t="s">
        <v>44</v>
      </c>
      <c r="I402" s="4">
        <v>24147</v>
      </c>
    </row>
    <row r="403" spans="1:9" x14ac:dyDescent="0.25">
      <c r="A403" s="2" t="s">
        <v>7</v>
      </c>
      <c r="B403" s="2">
        <v>750</v>
      </c>
      <c r="C403" s="2">
        <v>2</v>
      </c>
      <c r="D403" s="2" t="s">
        <v>30</v>
      </c>
      <c r="E403" s="3">
        <v>44598</v>
      </c>
      <c r="F403" s="2" t="s">
        <v>68</v>
      </c>
      <c r="G403" s="2" t="s">
        <v>69</v>
      </c>
      <c r="H403" s="2" t="s">
        <v>49</v>
      </c>
      <c r="I403" s="4">
        <v>25248</v>
      </c>
    </row>
    <row r="404" spans="1:9" x14ac:dyDescent="0.25">
      <c r="A404" s="2" t="s">
        <v>26</v>
      </c>
      <c r="B404" s="2">
        <v>1100</v>
      </c>
      <c r="C404" s="2">
        <v>4</v>
      </c>
      <c r="D404" s="2" t="s">
        <v>36</v>
      </c>
      <c r="E404" s="3">
        <v>44844</v>
      </c>
      <c r="F404" s="2" t="s">
        <v>258</v>
      </c>
      <c r="G404" s="2" t="s">
        <v>174</v>
      </c>
      <c r="H404" s="2" t="s">
        <v>49</v>
      </c>
      <c r="I404" s="4">
        <v>33289</v>
      </c>
    </row>
    <row r="405" spans="1:9" x14ac:dyDescent="0.25">
      <c r="A405" s="2" t="s">
        <v>21</v>
      </c>
      <c r="B405" s="2">
        <v>2400</v>
      </c>
      <c r="C405" s="2">
        <v>5</v>
      </c>
      <c r="D405" s="2" t="s">
        <v>37</v>
      </c>
      <c r="E405" s="3">
        <v>44854</v>
      </c>
      <c r="F405" s="2" t="s">
        <v>235</v>
      </c>
      <c r="G405" s="2" t="s">
        <v>482</v>
      </c>
      <c r="H405" s="2" t="s">
        <v>44</v>
      </c>
      <c r="I405" s="4">
        <v>26736</v>
      </c>
    </row>
    <row r="406" spans="1:9" x14ac:dyDescent="0.25">
      <c r="A406" s="2" t="s">
        <v>7</v>
      </c>
      <c r="B406" s="2">
        <v>750</v>
      </c>
      <c r="C406" s="2">
        <v>3</v>
      </c>
      <c r="D406" s="2" t="s">
        <v>29</v>
      </c>
      <c r="E406" s="3">
        <v>44815</v>
      </c>
      <c r="F406" s="2" t="s">
        <v>167</v>
      </c>
      <c r="G406" s="2" t="s">
        <v>308</v>
      </c>
      <c r="H406" s="2" t="s">
        <v>44</v>
      </c>
      <c r="I406" s="4">
        <v>28055</v>
      </c>
    </row>
    <row r="407" spans="1:9" x14ac:dyDescent="0.25">
      <c r="A407" s="2" t="s">
        <v>5</v>
      </c>
      <c r="B407" s="2">
        <v>1750</v>
      </c>
      <c r="C407" s="2">
        <v>4</v>
      </c>
      <c r="D407" s="2" t="s">
        <v>38</v>
      </c>
      <c r="E407" s="3">
        <v>44763</v>
      </c>
      <c r="F407" s="2" t="s">
        <v>109</v>
      </c>
      <c r="G407" s="2" t="s">
        <v>71</v>
      </c>
      <c r="H407" s="2" t="s">
        <v>44</v>
      </c>
      <c r="I407" s="4">
        <v>30710</v>
      </c>
    </row>
    <row r="408" spans="1:9" x14ac:dyDescent="0.25">
      <c r="A408" s="2" t="s">
        <v>6</v>
      </c>
      <c r="B408" s="2">
        <v>1200</v>
      </c>
      <c r="C408" s="2">
        <v>4</v>
      </c>
      <c r="D408" s="2" t="s">
        <v>31</v>
      </c>
      <c r="E408" s="3">
        <v>44707</v>
      </c>
      <c r="F408" s="2" t="s">
        <v>270</v>
      </c>
      <c r="G408" s="2" t="s">
        <v>63</v>
      </c>
      <c r="H408" s="2" t="s">
        <v>44</v>
      </c>
      <c r="I408" s="4">
        <v>32206</v>
      </c>
    </row>
    <row r="409" spans="1:9" x14ac:dyDescent="0.25">
      <c r="A409" s="2" t="s">
        <v>28</v>
      </c>
      <c r="B409" s="2">
        <v>1400</v>
      </c>
      <c r="C409" s="2">
        <v>3</v>
      </c>
      <c r="D409" s="2" t="s">
        <v>30</v>
      </c>
      <c r="E409" s="3">
        <v>44728</v>
      </c>
      <c r="F409" s="2" t="s">
        <v>402</v>
      </c>
      <c r="G409" s="2" t="s">
        <v>205</v>
      </c>
      <c r="H409" s="2" t="s">
        <v>49</v>
      </c>
      <c r="I409" s="4">
        <v>26319</v>
      </c>
    </row>
    <row r="410" spans="1:9" x14ac:dyDescent="0.25">
      <c r="A410" s="2" t="s">
        <v>15</v>
      </c>
      <c r="B410" s="2">
        <v>1900</v>
      </c>
      <c r="C410" s="2">
        <v>4</v>
      </c>
      <c r="D410" s="2" t="s">
        <v>41</v>
      </c>
      <c r="E410" s="3">
        <v>44629</v>
      </c>
      <c r="F410" s="2" t="s">
        <v>66</v>
      </c>
      <c r="G410" s="2" t="s">
        <v>69</v>
      </c>
      <c r="H410" s="2" t="s">
        <v>44</v>
      </c>
      <c r="I410" s="4">
        <v>35823</v>
      </c>
    </row>
    <row r="411" spans="1:9" x14ac:dyDescent="0.25">
      <c r="A411" s="2" t="s">
        <v>11</v>
      </c>
      <c r="B411" s="2">
        <v>4500</v>
      </c>
      <c r="C411" s="2">
        <v>2</v>
      </c>
      <c r="D411" s="2" t="s">
        <v>33</v>
      </c>
      <c r="E411" s="3">
        <v>44605</v>
      </c>
      <c r="F411" s="2" t="s">
        <v>52</v>
      </c>
      <c r="G411" s="2" t="s">
        <v>75</v>
      </c>
      <c r="H411" s="2" t="s">
        <v>44</v>
      </c>
      <c r="I411" s="4">
        <v>29332</v>
      </c>
    </row>
    <row r="412" spans="1:9" x14ac:dyDescent="0.25">
      <c r="A412" s="2" t="s">
        <v>12</v>
      </c>
      <c r="B412" s="2">
        <v>6500</v>
      </c>
      <c r="C412" s="2">
        <v>3</v>
      </c>
      <c r="D412" s="2" t="s">
        <v>36</v>
      </c>
      <c r="E412" s="3">
        <v>44655</v>
      </c>
      <c r="F412" s="2" t="s">
        <v>74</v>
      </c>
      <c r="G412" s="2" t="s">
        <v>169</v>
      </c>
      <c r="H412" s="2" t="s">
        <v>44</v>
      </c>
      <c r="I412" s="4">
        <v>34026</v>
      </c>
    </row>
    <row r="413" spans="1:9" x14ac:dyDescent="0.25">
      <c r="A413" s="2" t="s">
        <v>11</v>
      </c>
      <c r="B413" s="2">
        <v>4500</v>
      </c>
      <c r="C413" s="2">
        <v>1</v>
      </c>
      <c r="D413" s="2" t="s">
        <v>37</v>
      </c>
      <c r="E413" s="3">
        <v>44916</v>
      </c>
      <c r="F413" s="2" t="s">
        <v>462</v>
      </c>
      <c r="G413" s="2" t="s">
        <v>569</v>
      </c>
      <c r="H413" s="2" t="s">
        <v>49</v>
      </c>
      <c r="I413" s="4">
        <v>36704</v>
      </c>
    </row>
    <row r="414" spans="1:9" x14ac:dyDescent="0.25">
      <c r="A414" s="2" t="s">
        <v>27</v>
      </c>
      <c r="B414" s="2">
        <v>1500</v>
      </c>
      <c r="C414" s="2">
        <v>2</v>
      </c>
      <c r="D414" s="2" t="s">
        <v>29</v>
      </c>
      <c r="E414" s="3">
        <v>44684</v>
      </c>
      <c r="F414" s="2" t="s">
        <v>426</v>
      </c>
      <c r="G414" s="2" t="s">
        <v>75</v>
      </c>
      <c r="H414" s="2" t="s">
        <v>49</v>
      </c>
      <c r="I414" s="4">
        <v>33756</v>
      </c>
    </row>
    <row r="415" spans="1:9" x14ac:dyDescent="0.25">
      <c r="A415" s="2" t="s">
        <v>19</v>
      </c>
      <c r="B415" s="2">
        <v>700</v>
      </c>
      <c r="C415" s="2">
        <v>2</v>
      </c>
      <c r="D415" s="2" t="s">
        <v>33</v>
      </c>
      <c r="E415" s="3">
        <v>44714</v>
      </c>
      <c r="F415" s="2" t="s">
        <v>87</v>
      </c>
      <c r="G415" s="2" t="s">
        <v>152</v>
      </c>
      <c r="H415" s="2" t="s">
        <v>44</v>
      </c>
      <c r="I415" s="4">
        <v>18510</v>
      </c>
    </row>
    <row r="416" spans="1:9" x14ac:dyDescent="0.25">
      <c r="A416" s="2" t="s">
        <v>18</v>
      </c>
      <c r="B416" s="2">
        <v>3000</v>
      </c>
      <c r="C416" s="2">
        <v>5</v>
      </c>
      <c r="D416" s="2" t="s">
        <v>37</v>
      </c>
      <c r="E416" s="3">
        <v>44637</v>
      </c>
      <c r="F416" s="2" t="s">
        <v>155</v>
      </c>
      <c r="G416" s="2" t="s">
        <v>229</v>
      </c>
      <c r="H416" s="2" t="s">
        <v>44</v>
      </c>
      <c r="I416" s="4">
        <v>30486</v>
      </c>
    </row>
    <row r="417" spans="1:9" x14ac:dyDescent="0.25">
      <c r="A417" s="2" t="s">
        <v>7</v>
      </c>
      <c r="B417" s="2">
        <v>750</v>
      </c>
      <c r="C417" s="2">
        <v>2</v>
      </c>
      <c r="D417" s="2" t="s">
        <v>41</v>
      </c>
      <c r="E417" s="3">
        <v>44917</v>
      </c>
      <c r="F417" s="2" t="s">
        <v>42</v>
      </c>
      <c r="G417" s="2" t="s">
        <v>485</v>
      </c>
      <c r="H417" s="2" t="s">
        <v>44</v>
      </c>
      <c r="I417" s="4">
        <v>30790</v>
      </c>
    </row>
    <row r="418" spans="1:9" x14ac:dyDescent="0.25">
      <c r="A418" s="2" t="s">
        <v>18</v>
      </c>
      <c r="B418" s="2">
        <v>3000</v>
      </c>
      <c r="C418" s="2">
        <v>1</v>
      </c>
      <c r="D418" s="2" t="s">
        <v>32</v>
      </c>
      <c r="E418" s="3">
        <v>44696</v>
      </c>
      <c r="F418" s="2" t="s">
        <v>68</v>
      </c>
      <c r="G418" s="2" t="s">
        <v>425</v>
      </c>
      <c r="H418" s="2" t="s">
        <v>49</v>
      </c>
      <c r="I418" s="4">
        <v>25697</v>
      </c>
    </row>
    <row r="419" spans="1:9" x14ac:dyDescent="0.25">
      <c r="A419" s="2" t="s">
        <v>28</v>
      </c>
      <c r="B419" s="2">
        <v>1400</v>
      </c>
      <c r="C419" s="2">
        <v>4</v>
      </c>
      <c r="D419" s="2" t="s">
        <v>37</v>
      </c>
      <c r="E419" s="3">
        <v>44710</v>
      </c>
      <c r="F419" s="2" t="s">
        <v>388</v>
      </c>
      <c r="G419" s="2" t="s">
        <v>389</v>
      </c>
      <c r="H419" s="2" t="s">
        <v>44</v>
      </c>
      <c r="I419" s="4">
        <v>19856</v>
      </c>
    </row>
    <row r="420" spans="1:9" x14ac:dyDescent="0.25">
      <c r="A420" s="2" t="s">
        <v>27</v>
      </c>
      <c r="B420" s="2">
        <v>1500</v>
      </c>
      <c r="C420" s="2">
        <v>3</v>
      </c>
      <c r="D420" s="2" t="s">
        <v>35</v>
      </c>
      <c r="E420" s="3">
        <v>44815</v>
      </c>
      <c r="F420" s="2" t="s">
        <v>217</v>
      </c>
      <c r="G420" s="2" t="s">
        <v>169</v>
      </c>
      <c r="H420" s="2" t="s">
        <v>44</v>
      </c>
      <c r="I420" s="4">
        <v>26324</v>
      </c>
    </row>
    <row r="421" spans="1:9" x14ac:dyDescent="0.25">
      <c r="A421" s="2" t="s">
        <v>13</v>
      </c>
      <c r="B421" s="2">
        <v>2300</v>
      </c>
      <c r="C421" s="2">
        <v>3</v>
      </c>
      <c r="D421" s="2" t="s">
        <v>32</v>
      </c>
      <c r="E421" s="3">
        <v>44901</v>
      </c>
      <c r="F421" s="2" t="s">
        <v>192</v>
      </c>
      <c r="G421" s="2" t="s">
        <v>245</v>
      </c>
      <c r="H421" s="2" t="s">
        <v>49</v>
      </c>
      <c r="I421" s="4">
        <v>29464</v>
      </c>
    </row>
    <row r="422" spans="1:9" x14ac:dyDescent="0.25">
      <c r="A422" s="2" t="s">
        <v>17</v>
      </c>
      <c r="B422" s="2">
        <v>1550</v>
      </c>
      <c r="C422" s="2">
        <v>3</v>
      </c>
      <c r="D422" s="2" t="s">
        <v>38</v>
      </c>
      <c r="E422" s="3">
        <v>44897</v>
      </c>
      <c r="F422" s="2" t="s">
        <v>361</v>
      </c>
      <c r="G422" s="2" t="s">
        <v>203</v>
      </c>
      <c r="H422" s="2" t="s">
        <v>49</v>
      </c>
      <c r="I422" s="4">
        <v>36075</v>
      </c>
    </row>
    <row r="423" spans="1:9" x14ac:dyDescent="0.25">
      <c r="A423" s="2" t="s">
        <v>18</v>
      </c>
      <c r="B423" s="2">
        <v>3000</v>
      </c>
      <c r="C423" s="2">
        <v>4</v>
      </c>
      <c r="D423" s="2" t="s">
        <v>30</v>
      </c>
      <c r="E423" s="3">
        <v>44751</v>
      </c>
      <c r="F423" s="2" t="s">
        <v>173</v>
      </c>
      <c r="G423" s="2" t="s">
        <v>174</v>
      </c>
      <c r="H423" s="2" t="s">
        <v>44</v>
      </c>
      <c r="I423" s="4">
        <v>28789</v>
      </c>
    </row>
    <row r="424" spans="1:9" x14ac:dyDescent="0.25">
      <c r="A424" s="2" t="s">
        <v>5</v>
      </c>
      <c r="B424" s="2">
        <v>1750</v>
      </c>
      <c r="C424" s="2">
        <v>5</v>
      </c>
      <c r="D424" s="2" t="s">
        <v>31</v>
      </c>
      <c r="E424" s="3">
        <v>44661</v>
      </c>
      <c r="F424" s="2" t="s">
        <v>109</v>
      </c>
      <c r="G424" s="2" t="s">
        <v>190</v>
      </c>
      <c r="H424" s="2" t="s">
        <v>44</v>
      </c>
      <c r="I424" s="4">
        <v>35339</v>
      </c>
    </row>
    <row r="425" spans="1:9" x14ac:dyDescent="0.25">
      <c r="A425" s="2" t="s">
        <v>13</v>
      </c>
      <c r="B425" s="2">
        <v>2300</v>
      </c>
      <c r="C425" s="2">
        <v>4</v>
      </c>
      <c r="D425" s="2" t="s">
        <v>30</v>
      </c>
      <c r="E425" s="3">
        <v>44793</v>
      </c>
      <c r="F425" s="2" t="s">
        <v>277</v>
      </c>
      <c r="G425" s="2" t="s">
        <v>278</v>
      </c>
      <c r="H425" s="2" t="s">
        <v>49</v>
      </c>
      <c r="I425" s="4">
        <v>24915</v>
      </c>
    </row>
    <row r="426" spans="1:9" x14ac:dyDescent="0.25">
      <c r="A426" s="2" t="s">
        <v>23</v>
      </c>
      <c r="B426" s="2">
        <v>1500</v>
      </c>
      <c r="C426" s="2">
        <v>1</v>
      </c>
      <c r="D426" s="2" t="s">
        <v>29</v>
      </c>
      <c r="E426" s="3">
        <v>44602</v>
      </c>
      <c r="F426" s="2" t="s">
        <v>129</v>
      </c>
      <c r="G426" s="2" t="s">
        <v>130</v>
      </c>
      <c r="H426" s="2" t="s">
        <v>49</v>
      </c>
      <c r="I426" s="4">
        <v>24024</v>
      </c>
    </row>
    <row r="427" spans="1:9" x14ac:dyDescent="0.25">
      <c r="A427" s="2" t="s">
        <v>6</v>
      </c>
      <c r="B427" s="2">
        <v>1200</v>
      </c>
      <c r="C427" s="2">
        <v>2</v>
      </c>
      <c r="D427" s="2" t="s">
        <v>29</v>
      </c>
      <c r="E427" s="3">
        <v>44880</v>
      </c>
      <c r="F427" s="2" t="s">
        <v>42</v>
      </c>
      <c r="G427" s="2" t="s">
        <v>89</v>
      </c>
      <c r="H427" s="2" t="s">
        <v>44</v>
      </c>
      <c r="I427" s="4">
        <v>35608</v>
      </c>
    </row>
    <row r="428" spans="1:9" x14ac:dyDescent="0.25">
      <c r="A428" s="2" t="s">
        <v>18</v>
      </c>
      <c r="B428" s="2">
        <v>3000</v>
      </c>
      <c r="C428" s="2">
        <v>1</v>
      </c>
      <c r="D428" s="2" t="s">
        <v>36</v>
      </c>
      <c r="E428" s="3">
        <v>44630</v>
      </c>
      <c r="F428" s="2" t="s">
        <v>64</v>
      </c>
      <c r="G428" s="2" t="s">
        <v>65</v>
      </c>
      <c r="H428" s="2" t="s">
        <v>44</v>
      </c>
      <c r="I428" s="4">
        <v>33748</v>
      </c>
    </row>
    <row r="429" spans="1:9" x14ac:dyDescent="0.25">
      <c r="A429" s="2" t="s">
        <v>5</v>
      </c>
      <c r="B429" s="2">
        <v>1750</v>
      </c>
      <c r="C429" s="2">
        <v>5</v>
      </c>
      <c r="D429" s="2" t="s">
        <v>36</v>
      </c>
      <c r="E429" s="3">
        <v>44791</v>
      </c>
      <c r="F429" s="2" t="s">
        <v>66</v>
      </c>
      <c r="G429" s="2" t="s">
        <v>123</v>
      </c>
      <c r="H429" s="2" t="s">
        <v>44</v>
      </c>
      <c r="I429" s="4">
        <v>18687</v>
      </c>
    </row>
    <row r="430" spans="1:9" x14ac:dyDescent="0.25">
      <c r="A430" s="2" t="s">
        <v>25</v>
      </c>
      <c r="B430" s="2">
        <v>2500</v>
      </c>
      <c r="C430" s="2">
        <v>3</v>
      </c>
      <c r="D430" s="2" t="s">
        <v>34</v>
      </c>
      <c r="E430" s="3">
        <v>44562</v>
      </c>
      <c r="F430" s="2" t="s">
        <v>126</v>
      </c>
      <c r="G430" s="2" t="s">
        <v>81</v>
      </c>
      <c r="H430" s="2" t="s">
        <v>49</v>
      </c>
      <c r="I430" s="4">
        <v>28031</v>
      </c>
    </row>
    <row r="431" spans="1:9" x14ac:dyDescent="0.25">
      <c r="A431" s="2" t="s">
        <v>16</v>
      </c>
      <c r="B431" s="2">
        <v>1400</v>
      </c>
      <c r="C431" s="2">
        <v>2</v>
      </c>
      <c r="D431" s="2" t="s">
        <v>32</v>
      </c>
      <c r="E431" s="3">
        <v>44693</v>
      </c>
      <c r="F431" s="2" t="s">
        <v>173</v>
      </c>
      <c r="G431" s="2" t="s">
        <v>474</v>
      </c>
      <c r="H431" s="2" t="s">
        <v>44</v>
      </c>
      <c r="I431" s="4">
        <v>25642</v>
      </c>
    </row>
    <row r="432" spans="1:9" x14ac:dyDescent="0.25">
      <c r="A432" s="2" t="s">
        <v>20</v>
      </c>
      <c r="B432" s="2">
        <v>2600</v>
      </c>
      <c r="C432" s="2">
        <v>4</v>
      </c>
      <c r="D432" s="2" t="s">
        <v>29</v>
      </c>
      <c r="E432" s="3">
        <v>44818</v>
      </c>
      <c r="F432" s="2" t="s">
        <v>233</v>
      </c>
      <c r="G432" s="2" t="s">
        <v>172</v>
      </c>
      <c r="H432" s="2" t="s">
        <v>49</v>
      </c>
      <c r="I432" s="4">
        <v>27495</v>
      </c>
    </row>
    <row r="433" spans="1:9" x14ac:dyDescent="0.25">
      <c r="A433" s="2" t="s">
        <v>6</v>
      </c>
      <c r="B433" s="2">
        <v>1200</v>
      </c>
      <c r="C433" s="2">
        <v>2</v>
      </c>
      <c r="D433" s="2" t="s">
        <v>31</v>
      </c>
      <c r="E433" s="3">
        <v>44786</v>
      </c>
      <c r="F433" s="2" t="s">
        <v>239</v>
      </c>
      <c r="G433" s="2" t="s">
        <v>501</v>
      </c>
      <c r="H433" s="2" t="s">
        <v>49</v>
      </c>
      <c r="I433" s="4">
        <v>20916</v>
      </c>
    </row>
    <row r="434" spans="1:9" x14ac:dyDescent="0.25">
      <c r="A434" s="2" t="s">
        <v>18</v>
      </c>
      <c r="B434" s="2">
        <v>3000</v>
      </c>
      <c r="C434" s="2">
        <v>3</v>
      </c>
      <c r="D434" s="2" t="s">
        <v>31</v>
      </c>
      <c r="E434" s="3">
        <v>44890</v>
      </c>
      <c r="F434" s="2" t="s">
        <v>577</v>
      </c>
      <c r="G434" s="2" t="s">
        <v>334</v>
      </c>
      <c r="H434" s="2" t="s">
        <v>44</v>
      </c>
      <c r="I434" s="4">
        <v>28734</v>
      </c>
    </row>
    <row r="435" spans="1:9" x14ac:dyDescent="0.25">
      <c r="A435" s="2" t="s">
        <v>21</v>
      </c>
      <c r="B435" s="2">
        <v>2400</v>
      </c>
      <c r="C435" s="2">
        <v>2</v>
      </c>
      <c r="D435" s="2" t="s">
        <v>40</v>
      </c>
      <c r="E435" s="3">
        <v>44575</v>
      </c>
      <c r="F435" s="2" t="s">
        <v>190</v>
      </c>
      <c r="G435" s="2" t="s">
        <v>238</v>
      </c>
      <c r="H435" s="2" t="s">
        <v>44</v>
      </c>
      <c r="I435" s="4">
        <v>25439</v>
      </c>
    </row>
    <row r="436" spans="1:9" x14ac:dyDescent="0.25">
      <c r="A436" s="2" t="s">
        <v>20</v>
      </c>
      <c r="B436" s="2">
        <v>2600</v>
      </c>
      <c r="C436" s="2">
        <v>4</v>
      </c>
      <c r="D436" s="2" t="s">
        <v>33</v>
      </c>
      <c r="E436" s="3">
        <v>44817</v>
      </c>
      <c r="F436" s="2" t="s">
        <v>87</v>
      </c>
      <c r="G436" s="2" t="s">
        <v>358</v>
      </c>
      <c r="H436" s="2" t="s">
        <v>44</v>
      </c>
      <c r="I436" s="4">
        <v>28276</v>
      </c>
    </row>
    <row r="437" spans="1:9" x14ac:dyDescent="0.25">
      <c r="A437" s="2" t="s">
        <v>6</v>
      </c>
      <c r="B437" s="2">
        <v>1200</v>
      </c>
      <c r="C437" s="2">
        <v>5</v>
      </c>
      <c r="D437" s="2" t="s">
        <v>29</v>
      </c>
      <c r="E437" s="3">
        <v>44748</v>
      </c>
      <c r="F437" s="2" t="s">
        <v>221</v>
      </c>
      <c r="G437" s="2" t="s">
        <v>467</v>
      </c>
      <c r="H437" s="2" t="s">
        <v>44</v>
      </c>
      <c r="I437" s="4">
        <v>35281</v>
      </c>
    </row>
    <row r="438" spans="1:9" x14ac:dyDescent="0.25">
      <c r="A438" s="2" t="s">
        <v>5</v>
      </c>
      <c r="B438" s="2">
        <v>1750</v>
      </c>
      <c r="C438" s="2">
        <v>3</v>
      </c>
      <c r="D438" s="2" t="s">
        <v>29</v>
      </c>
      <c r="E438" s="3">
        <v>44777</v>
      </c>
      <c r="F438" s="2" t="s">
        <v>42</v>
      </c>
      <c r="G438" s="2" t="s">
        <v>43</v>
      </c>
      <c r="H438" s="2" t="s">
        <v>44</v>
      </c>
      <c r="I438" s="4">
        <v>33469</v>
      </c>
    </row>
    <row r="439" spans="1:9" x14ac:dyDescent="0.25">
      <c r="A439" s="2" t="s">
        <v>23</v>
      </c>
      <c r="B439" s="2">
        <v>1500</v>
      </c>
      <c r="C439" s="2">
        <v>1</v>
      </c>
      <c r="D439" s="2" t="s">
        <v>29</v>
      </c>
      <c r="E439" s="3">
        <v>44875</v>
      </c>
      <c r="F439" s="2" t="s">
        <v>165</v>
      </c>
      <c r="G439" s="2" t="s">
        <v>205</v>
      </c>
      <c r="H439" s="2" t="s">
        <v>49</v>
      </c>
      <c r="I439" s="4">
        <v>32463</v>
      </c>
    </row>
    <row r="440" spans="1:9" x14ac:dyDescent="0.25">
      <c r="A440" s="2" t="s">
        <v>28</v>
      </c>
      <c r="B440" s="2">
        <v>1400</v>
      </c>
      <c r="C440" s="2">
        <v>1</v>
      </c>
      <c r="D440" s="2" t="s">
        <v>35</v>
      </c>
      <c r="E440" s="3">
        <v>44697</v>
      </c>
      <c r="F440" s="2" t="s">
        <v>42</v>
      </c>
      <c r="G440" s="2" t="s">
        <v>308</v>
      </c>
      <c r="H440" s="2" t="s">
        <v>44</v>
      </c>
      <c r="I440" s="4">
        <v>30517</v>
      </c>
    </row>
    <row r="441" spans="1:9" x14ac:dyDescent="0.25">
      <c r="A441" s="2" t="s">
        <v>13</v>
      </c>
      <c r="B441" s="2">
        <v>2300</v>
      </c>
      <c r="C441" s="2">
        <v>2</v>
      </c>
      <c r="D441" s="2" t="s">
        <v>29</v>
      </c>
      <c r="E441" s="3">
        <v>44627</v>
      </c>
      <c r="F441" s="2" t="s">
        <v>282</v>
      </c>
      <c r="G441" s="2" t="s">
        <v>283</v>
      </c>
      <c r="H441" s="2" t="s">
        <v>49</v>
      </c>
      <c r="I441" s="4">
        <v>26525</v>
      </c>
    </row>
    <row r="442" spans="1:9" x14ac:dyDescent="0.25">
      <c r="A442" s="2" t="s">
        <v>27</v>
      </c>
      <c r="B442" s="2">
        <v>1500</v>
      </c>
      <c r="C442" s="2">
        <v>3</v>
      </c>
      <c r="D442" s="2" t="s">
        <v>31</v>
      </c>
      <c r="E442" s="3">
        <v>44605</v>
      </c>
      <c r="F442" s="2" t="s">
        <v>270</v>
      </c>
      <c r="G442" s="2" t="s">
        <v>63</v>
      </c>
      <c r="H442" s="2" t="s">
        <v>44</v>
      </c>
      <c r="I442" s="4">
        <v>32206</v>
      </c>
    </row>
    <row r="443" spans="1:9" x14ac:dyDescent="0.25">
      <c r="A443" s="2" t="s">
        <v>28</v>
      </c>
      <c r="B443" s="2">
        <v>1400</v>
      </c>
      <c r="C443" s="2">
        <v>1</v>
      </c>
      <c r="D443" s="2" t="s">
        <v>39</v>
      </c>
      <c r="E443" s="3">
        <v>44871</v>
      </c>
      <c r="F443" s="2" t="s">
        <v>356</v>
      </c>
      <c r="G443" s="2" t="s">
        <v>463</v>
      </c>
      <c r="H443" s="2" t="s">
        <v>49</v>
      </c>
      <c r="I443" s="4">
        <v>35222</v>
      </c>
    </row>
    <row r="444" spans="1:9" x14ac:dyDescent="0.25">
      <c r="A444" s="2" t="s">
        <v>20</v>
      </c>
      <c r="B444" s="2">
        <v>2600</v>
      </c>
      <c r="C444" s="2">
        <v>1</v>
      </c>
      <c r="D444" s="2" t="s">
        <v>33</v>
      </c>
      <c r="E444" s="3">
        <v>44719</v>
      </c>
      <c r="F444" s="2" t="s">
        <v>140</v>
      </c>
      <c r="G444" s="2" t="s">
        <v>384</v>
      </c>
      <c r="H444" s="2" t="s">
        <v>49</v>
      </c>
      <c r="I444" s="4">
        <v>34409</v>
      </c>
    </row>
    <row r="445" spans="1:9" x14ac:dyDescent="0.25">
      <c r="A445" s="2" t="s">
        <v>27</v>
      </c>
      <c r="B445" s="2">
        <v>1500</v>
      </c>
      <c r="C445" s="2">
        <v>4</v>
      </c>
      <c r="D445" s="2" t="s">
        <v>29</v>
      </c>
      <c r="E445" s="3">
        <v>44691</v>
      </c>
      <c r="F445" s="2" t="s">
        <v>52</v>
      </c>
      <c r="G445" s="2" t="s">
        <v>53</v>
      </c>
      <c r="H445" s="2" t="s">
        <v>44</v>
      </c>
      <c r="I445" s="4">
        <v>33858</v>
      </c>
    </row>
    <row r="446" spans="1:9" x14ac:dyDescent="0.25">
      <c r="A446" s="2" t="s">
        <v>6</v>
      </c>
      <c r="B446" s="2">
        <v>1200</v>
      </c>
      <c r="C446" s="2">
        <v>4</v>
      </c>
      <c r="D446" s="2" t="s">
        <v>36</v>
      </c>
      <c r="E446" s="3">
        <v>44912</v>
      </c>
      <c r="F446" s="2" t="s">
        <v>259</v>
      </c>
      <c r="G446" s="2" t="s">
        <v>584</v>
      </c>
      <c r="H446" s="2" t="s">
        <v>49</v>
      </c>
      <c r="I446" s="4">
        <v>22500</v>
      </c>
    </row>
    <row r="447" spans="1:9" x14ac:dyDescent="0.25">
      <c r="A447" s="2" t="s">
        <v>20</v>
      </c>
      <c r="B447" s="2">
        <v>2600</v>
      </c>
      <c r="C447" s="2">
        <v>2</v>
      </c>
      <c r="D447" s="2" t="s">
        <v>29</v>
      </c>
      <c r="E447" s="3">
        <v>44815</v>
      </c>
      <c r="F447" s="2" t="s">
        <v>249</v>
      </c>
      <c r="G447" s="2" t="s">
        <v>81</v>
      </c>
      <c r="H447" s="2" t="s">
        <v>49</v>
      </c>
      <c r="I447" s="4">
        <v>24932</v>
      </c>
    </row>
    <row r="448" spans="1:9" x14ac:dyDescent="0.25">
      <c r="A448" s="2" t="s">
        <v>10</v>
      </c>
      <c r="B448" s="2">
        <v>1450</v>
      </c>
      <c r="C448" s="2">
        <v>5</v>
      </c>
      <c r="D448" s="2" t="s">
        <v>39</v>
      </c>
      <c r="E448" s="3">
        <v>44877</v>
      </c>
      <c r="F448" s="2" t="s">
        <v>318</v>
      </c>
      <c r="G448" s="2" t="s">
        <v>395</v>
      </c>
      <c r="H448" s="2" t="s">
        <v>44</v>
      </c>
      <c r="I448" s="4">
        <v>32659</v>
      </c>
    </row>
    <row r="449" spans="1:9" x14ac:dyDescent="0.25">
      <c r="A449" s="2" t="s">
        <v>23</v>
      </c>
      <c r="B449" s="2">
        <v>1500</v>
      </c>
      <c r="C449" s="2">
        <v>5</v>
      </c>
      <c r="D449" s="2" t="s">
        <v>29</v>
      </c>
      <c r="E449" s="3">
        <v>44651</v>
      </c>
      <c r="F449" s="2" t="s">
        <v>120</v>
      </c>
      <c r="G449" s="2" t="s">
        <v>71</v>
      </c>
      <c r="H449" s="2" t="s">
        <v>44</v>
      </c>
      <c r="I449" s="4">
        <v>32835</v>
      </c>
    </row>
    <row r="450" spans="1:9" x14ac:dyDescent="0.25">
      <c r="A450" s="2" t="s">
        <v>28</v>
      </c>
      <c r="B450" s="2">
        <v>1400</v>
      </c>
      <c r="C450" s="2">
        <v>4</v>
      </c>
      <c r="D450" s="2" t="s">
        <v>30</v>
      </c>
      <c r="E450" s="3">
        <v>44577</v>
      </c>
      <c r="F450" s="2" t="s">
        <v>42</v>
      </c>
      <c r="G450" s="2" t="s">
        <v>300</v>
      </c>
      <c r="H450" s="2" t="s">
        <v>44</v>
      </c>
      <c r="I450" s="4">
        <v>18694</v>
      </c>
    </row>
    <row r="451" spans="1:9" x14ac:dyDescent="0.25">
      <c r="A451" s="2" t="s">
        <v>22</v>
      </c>
      <c r="B451" s="2">
        <v>5200</v>
      </c>
      <c r="C451" s="2">
        <v>1</v>
      </c>
      <c r="D451" s="2" t="s">
        <v>35</v>
      </c>
      <c r="E451" s="3">
        <v>44687</v>
      </c>
      <c r="F451" s="2" t="s">
        <v>347</v>
      </c>
      <c r="G451" s="2" t="s">
        <v>386</v>
      </c>
      <c r="H451" s="2" t="s">
        <v>49</v>
      </c>
      <c r="I451" s="4">
        <v>21120</v>
      </c>
    </row>
    <row r="452" spans="1:9" x14ac:dyDescent="0.25">
      <c r="A452" s="2" t="s">
        <v>13</v>
      </c>
      <c r="B452" s="2">
        <v>2300</v>
      </c>
      <c r="C452" s="2">
        <v>3</v>
      </c>
      <c r="D452" s="2" t="s">
        <v>37</v>
      </c>
      <c r="E452" s="3">
        <v>44732</v>
      </c>
      <c r="F452" s="2" t="s">
        <v>237</v>
      </c>
      <c r="G452" s="2" t="s">
        <v>238</v>
      </c>
      <c r="H452" s="2" t="s">
        <v>49</v>
      </c>
      <c r="I452" s="4">
        <v>23012</v>
      </c>
    </row>
    <row r="453" spans="1:9" x14ac:dyDescent="0.25">
      <c r="A453" s="2" t="s">
        <v>8</v>
      </c>
      <c r="B453" s="2">
        <v>5500</v>
      </c>
      <c r="C453" s="2">
        <v>3</v>
      </c>
      <c r="D453" s="2" t="s">
        <v>40</v>
      </c>
      <c r="E453" s="3">
        <v>44816</v>
      </c>
      <c r="F453" s="2" t="s">
        <v>120</v>
      </c>
      <c r="G453" s="2" t="s">
        <v>578</v>
      </c>
      <c r="H453" s="2" t="s">
        <v>44</v>
      </c>
      <c r="I453" s="4">
        <v>27100</v>
      </c>
    </row>
    <row r="454" spans="1:9" x14ac:dyDescent="0.25">
      <c r="A454" s="2" t="s">
        <v>20</v>
      </c>
      <c r="B454" s="2">
        <v>2600</v>
      </c>
      <c r="C454" s="2">
        <v>2</v>
      </c>
      <c r="D454" s="2" t="s">
        <v>35</v>
      </c>
      <c r="E454" s="3">
        <v>44741</v>
      </c>
      <c r="F454" s="2" t="s">
        <v>109</v>
      </c>
      <c r="G454" s="2" t="s">
        <v>488</v>
      </c>
      <c r="H454" s="2" t="s">
        <v>44</v>
      </c>
      <c r="I454" s="4">
        <v>36710</v>
      </c>
    </row>
    <row r="455" spans="1:9" x14ac:dyDescent="0.25">
      <c r="A455" s="2" t="s">
        <v>13</v>
      </c>
      <c r="B455" s="2">
        <v>2300</v>
      </c>
      <c r="C455" s="2">
        <v>3</v>
      </c>
      <c r="D455" s="2" t="s">
        <v>29</v>
      </c>
      <c r="E455" s="3">
        <v>44749</v>
      </c>
      <c r="F455" s="2" t="s">
        <v>522</v>
      </c>
      <c r="G455" s="2" t="s">
        <v>541</v>
      </c>
      <c r="H455" s="2" t="s">
        <v>44</v>
      </c>
      <c r="I455" s="4">
        <v>29115</v>
      </c>
    </row>
    <row r="456" spans="1:9" x14ac:dyDescent="0.25">
      <c r="A456" s="2" t="s">
        <v>16</v>
      </c>
      <c r="B456" s="2">
        <v>1400</v>
      </c>
      <c r="C456" s="2">
        <v>4</v>
      </c>
      <c r="D456" s="2" t="s">
        <v>34</v>
      </c>
      <c r="E456" s="3">
        <v>44797</v>
      </c>
      <c r="F456" s="2" t="s">
        <v>120</v>
      </c>
      <c r="G456" s="2" t="s">
        <v>169</v>
      </c>
      <c r="H456" s="2" t="s">
        <v>44</v>
      </c>
      <c r="I456" s="4">
        <v>33230</v>
      </c>
    </row>
    <row r="457" spans="1:9" x14ac:dyDescent="0.25">
      <c r="A457" s="2" t="s">
        <v>17</v>
      </c>
      <c r="B457" s="2">
        <v>1550</v>
      </c>
      <c r="C457" s="2">
        <v>5</v>
      </c>
      <c r="D457" s="2" t="s">
        <v>34</v>
      </c>
      <c r="E457" s="3">
        <v>44655</v>
      </c>
      <c r="F457" s="2" t="s">
        <v>392</v>
      </c>
      <c r="G457" s="2" t="s">
        <v>458</v>
      </c>
      <c r="H457" s="2" t="s">
        <v>49</v>
      </c>
      <c r="I457" s="4">
        <v>21960</v>
      </c>
    </row>
    <row r="458" spans="1:9" x14ac:dyDescent="0.25">
      <c r="A458" s="2" t="s">
        <v>20</v>
      </c>
      <c r="B458" s="2">
        <v>2600</v>
      </c>
      <c r="C458" s="2">
        <v>3</v>
      </c>
      <c r="D458" s="2" t="s">
        <v>37</v>
      </c>
      <c r="E458" s="3">
        <v>44615</v>
      </c>
      <c r="F458" s="2" t="s">
        <v>512</v>
      </c>
      <c r="G458" s="2" t="s">
        <v>198</v>
      </c>
      <c r="H458" s="2" t="s">
        <v>44</v>
      </c>
      <c r="I458" s="4">
        <v>32916</v>
      </c>
    </row>
    <row r="459" spans="1:9" x14ac:dyDescent="0.25">
      <c r="A459" s="2" t="s">
        <v>12</v>
      </c>
      <c r="B459" s="2">
        <v>6500</v>
      </c>
      <c r="C459" s="2">
        <v>5</v>
      </c>
      <c r="D459" s="2" t="s">
        <v>38</v>
      </c>
      <c r="E459" s="3">
        <v>44658</v>
      </c>
      <c r="F459" s="2" t="s">
        <v>140</v>
      </c>
      <c r="G459" s="2" t="s">
        <v>310</v>
      </c>
      <c r="H459" s="2" t="s">
        <v>49</v>
      </c>
      <c r="I459" s="4">
        <v>30655</v>
      </c>
    </row>
    <row r="460" spans="1:9" x14ac:dyDescent="0.25">
      <c r="A460" s="2" t="s">
        <v>12</v>
      </c>
      <c r="B460" s="2">
        <v>6500</v>
      </c>
      <c r="C460" s="2">
        <v>2</v>
      </c>
      <c r="D460" s="2" t="s">
        <v>39</v>
      </c>
      <c r="E460" s="3">
        <v>44628</v>
      </c>
      <c r="F460" s="2" t="s">
        <v>254</v>
      </c>
      <c r="G460" s="2" t="s">
        <v>117</v>
      </c>
      <c r="H460" s="2" t="s">
        <v>49</v>
      </c>
      <c r="I460" s="4">
        <v>27996</v>
      </c>
    </row>
    <row r="461" spans="1:9" x14ac:dyDescent="0.25">
      <c r="A461" s="2" t="s">
        <v>27</v>
      </c>
      <c r="B461" s="2">
        <v>1500</v>
      </c>
      <c r="C461" s="2">
        <v>5</v>
      </c>
      <c r="D461" s="2" t="s">
        <v>36</v>
      </c>
      <c r="E461" s="3">
        <v>44918</v>
      </c>
      <c r="F461" s="2" t="s">
        <v>374</v>
      </c>
      <c r="G461" s="2" t="s">
        <v>81</v>
      </c>
      <c r="H461" s="2" t="s">
        <v>49</v>
      </c>
      <c r="I461" s="4">
        <v>21262</v>
      </c>
    </row>
    <row r="462" spans="1:9" x14ac:dyDescent="0.25">
      <c r="A462" s="2" t="s">
        <v>8</v>
      </c>
      <c r="B462" s="2">
        <v>5500</v>
      </c>
      <c r="C462" s="2">
        <v>1</v>
      </c>
      <c r="D462" s="2" t="s">
        <v>35</v>
      </c>
      <c r="E462" s="3">
        <v>44767</v>
      </c>
      <c r="F462" s="2" t="s">
        <v>127</v>
      </c>
      <c r="G462" s="2" t="s">
        <v>189</v>
      </c>
      <c r="H462" s="2" t="s">
        <v>44</v>
      </c>
      <c r="I462" s="4">
        <v>20410</v>
      </c>
    </row>
    <row r="463" spans="1:9" x14ac:dyDescent="0.25">
      <c r="A463" s="2" t="s">
        <v>11</v>
      </c>
      <c r="B463" s="2">
        <v>4500</v>
      </c>
      <c r="C463" s="2">
        <v>3</v>
      </c>
      <c r="D463" s="2" t="s">
        <v>39</v>
      </c>
      <c r="E463" s="3">
        <v>44653</v>
      </c>
      <c r="F463" s="2" t="s">
        <v>356</v>
      </c>
      <c r="G463" s="2" t="s">
        <v>463</v>
      </c>
      <c r="H463" s="2" t="s">
        <v>49</v>
      </c>
      <c r="I463" s="4">
        <v>35222</v>
      </c>
    </row>
    <row r="464" spans="1:9" x14ac:dyDescent="0.25">
      <c r="A464" s="2" t="s">
        <v>7</v>
      </c>
      <c r="B464" s="2">
        <v>750</v>
      </c>
      <c r="C464" s="2">
        <v>3</v>
      </c>
      <c r="D464" s="2" t="s">
        <v>36</v>
      </c>
      <c r="E464" s="3">
        <v>44772</v>
      </c>
      <c r="F464" s="2" t="s">
        <v>233</v>
      </c>
      <c r="G464" s="2" t="s">
        <v>63</v>
      </c>
      <c r="H464" s="2" t="s">
        <v>49</v>
      </c>
      <c r="I464" s="4">
        <v>31797</v>
      </c>
    </row>
    <row r="465" spans="1:9" x14ac:dyDescent="0.25">
      <c r="A465" s="2" t="s">
        <v>12</v>
      </c>
      <c r="B465" s="2">
        <v>6500</v>
      </c>
      <c r="C465" s="2">
        <v>3</v>
      </c>
      <c r="D465" s="2" t="s">
        <v>35</v>
      </c>
      <c r="E465" s="3">
        <v>44594</v>
      </c>
      <c r="F465" s="2" t="s">
        <v>84</v>
      </c>
      <c r="G465" s="2" t="s">
        <v>99</v>
      </c>
      <c r="H465" s="2" t="s">
        <v>44</v>
      </c>
      <c r="I465" s="4">
        <v>26109</v>
      </c>
    </row>
    <row r="466" spans="1:9" x14ac:dyDescent="0.25">
      <c r="A466" s="2" t="s">
        <v>12</v>
      </c>
      <c r="B466" s="2">
        <v>6500</v>
      </c>
      <c r="C466" s="2">
        <v>4</v>
      </c>
      <c r="D466" s="2" t="s">
        <v>30</v>
      </c>
      <c r="E466" s="3">
        <v>44698</v>
      </c>
      <c r="F466" s="2" t="s">
        <v>94</v>
      </c>
      <c r="G466" s="2" t="s">
        <v>407</v>
      </c>
      <c r="H466" s="2" t="s">
        <v>49</v>
      </c>
      <c r="I466" s="4">
        <v>30610</v>
      </c>
    </row>
    <row r="467" spans="1:9" x14ac:dyDescent="0.25">
      <c r="A467" s="2" t="s">
        <v>10</v>
      </c>
      <c r="B467" s="2">
        <v>1450</v>
      </c>
      <c r="C467" s="2">
        <v>4</v>
      </c>
      <c r="D467" s="2" t="s">
        <v>39</v>
      </c>
      <c r="E467" s="3">
        <v>44782</v>
      </c>
      <c r="F467" s="2" t="s">
        <v>87</v>
      </c>
      <c r="G467" s="2" t="s">
        <v>81</v>
      </c>
      <c r="H467" s="2" t="s">
        <v>44</v>
      </c>
      <c r="I467" s="4">
        <v>31569</v>
      </c>
    </row>
    <row r="468" spans="1:9" x14ac:dyDescent="0.25">
      <c r="A468" s="2" t="s">
        <v>14</v>
      </c>
      <c r="B468" s="2">
        <v>2000</v>
      </c>
      <c r="C468" s="2">
        <v>5</v>
      </c>
      <c r="D468" s="2" t="s">
        <v>34</v>
      </c>
      <c r="E468" s="3">
        <v>44924</v>
      </c>
      <c r="F468" s="2" t="s">
        <v>241</v>
      </c>
      <c r="G468" s="2" t="s">
        <v>242</v>
      </c>
      <c r="H468" s="2" t="s">
        <v>49</v>
      </c>
      <c r="I468" s="4">
        <v>30191</v>
      </c>
    </row>
    <row r="469" spans="1:9" x14ac:dyDescent="0.25">
      <c r="A469" s="2" t="s">
        <v>18</v>
      </c>
      <c r="B469" s="2">
        <v>3000</v>
      </c>
      <c r="C469" s="2">
        <v>5</v>
      </c>
      <c r="D469" s="2" t="s">
        <v>32</v>
      </c>
      <c r="E469" s="3">
        <v>44736</v>
      </c>
      <c r="F469" s="2" t="s">
        <v>420</v>
      </c>
      <c r="G469" s="2" t="s">
        <v>421</v>
      </c>
      <c r="H469" s="2" t="s">
        <v>44</v>
      </c>
      <c r="I469" s="4">
        <v>36441</v>
      </c>
    </row>
    <row r="470" spans="1:9" x14ac:dyDescent="0.25">
      <c r="A470" s="2" t="s">
        <v>28</v>
      </c>
      <c r="B470" s="2">
        <v>1400</v>
      </c>
      <c r="C470" s="2">
        <v>4</v>
      </c>
      <c r="D470" s="2" t="s">
        <v>41</v>
      </c>
      <c r="E470" s="3">
        <v>44897</v>
      </c>
      <c r="F470" s="2" t="s">
        <v>264</v>
      </c>
      <c r="G470" s="2" t="s">
        <v>205</v>
      </c>
      <c r="H470" s="2" t="s">
        <v>49</v>
      </c>
      <c r="I470" s="4">
        <v>27496</v>
      </c>
    </row>
    <row r="471" spans="1:9" x14ac:dyDescent="0.25">
      <c r="A471" s="2" t="s">
        <v>11</v>
      </c>
      <c r="B471" s="2">
        <v>4500</v>
      </c>
      <c r="C471" s="2">
        <v>2</v>
      </c>
      <c r="D471" s="2" t="s">
        <v>31</v>
      </c>
      <c r="E471" s="3">
        <v>44785</v>
      </c>
      <c r="F471" s="2" t="s">
        <v>363</v>
      </c>
      <c r="G471" s="2" t="s">
        <v>262</v>
      </c>
      <c r="H471" s="2" t="s">
        <v>44</v>
      </c>
      <c r="I471" s="4">
        <v>35725</v>
      </c>
    </row>
    <row r="472" spans="1:9" x14ac:dyDescent="0.25">
      <c r="A472" s="2" t="s">
        <v>16</v>
      </c>
      <c r="B472" s="2">
        <v>1400</v>
      </c>
      <c r="C472" s="2">
        <v>5</v>
      </c>
      <c r="D472" s="2" t="s">
        <v>30</v>
      </c>
      <c r="E472" s="3">
        <v>44917</v>
      </c>
      <c r="F472" s="2" t="s">
        <v>78</v>
      </c>
      <c r="G472" s="2" t="s">
        <v>443</v>
      </c>
      <c r="H472" s="2" t="s">
        <v>49</v>
      </c>
      <c r="I472" s="4">
        <v>35369</v>
      </c>
    </row>
    <row r="473" spans="1:9" x14ac:dyDescent="0.25">
      <c r="A473" s="2" t="s">
        <v>26</v>
      </c>
      <c r="B473" s="2">
        <v>1100</v>
      </c>
      <c r="C473" s="2">
        <v>4</v>
      </c>
      <c r="D473" s="2" t="s">
        <v>31</v>
      </c>
      <c r="E473" s="3">
        <v>44696</v>
      </c>
      <c r="F473" s="2" t="s">
        <v>78</v>
      </c>
      <c r="G473" s="2" t="s">
        <v>157</v>
      </c>
      <c r="H473" s="2" t="s">
        <v>49</v>
      </c>
      <c r="I473" s="4">
        <v>25194</v>
      </c>
    </row>
    <row r="474" spans="1:9" x14ac:dyDescent="0.25">
      <c r="A474" s="2" t="s">
        <v>6</v>
      </c>
      <c r="B474" s="2">
        <v>1200</v>
      </c>
      <c r="C474" s="2">
        <v>1</v>
      </c>
      <c r="D474" s="2" t="s">
        <v>38</v>
      </c>
      <c r="E474" s="3">
        <v>44842</v>
      </c>
      <c r="F474" s="2" t="s">
        <v>312</v>
      </c>
      <c r="G474" s="2" t="s">
        <v>63</v>
      </c>
      <c r="H474" s="2" t="s">
        <v>49</v>
      </c>
      <c r="I474" s="4">
        <v>30554</v>
      </c>
    </row>
    <row r="475" spans="1:9" x14ac:dyDescent="0.25">
      <c r="A475" s="2" t="s">
        <v>10</v>
      </c>
      <c r="B475" s="2">
        <v>1450</v>
      </c>
      <c r="C475" s="2">
        <v>5</v>
      </c>
      <c r="D475" s="2" t="s">
        <v>35</v>
      </c>
      <c r="E475" s="3">
        <v>44578</v>
      </c>
      <c r="F475" s="2" t="s">
        <v>51</v>
      </c>
      <c r="G475" s="2" t="s">
        <v>524</v>
      </c>
      <c r="H475" s="2" t="s">
        <v>44</v>
      </c>
      <c r="I475" s="4">
        <v>24170</v>
      </c>
    </row>
    <row r="476" spans="1:9" x14ac:dyDescent="0.25">
      <c r="A476" s="2" t="s">
        <v>20</v>
      </c>
      <c r="B476" s="2">
        <v>2600</v>
      </c>
      <c r="C476" s="2">
        <v>3</v>
      </c>
      <c r="D476" s="2" t="s">
        <v>29</v>
      </c>
      <c r="E476" s="3">
        <v>44869</v>
      </c>
      <c r="F476" s="2" t="s">
        <v>221</v>
      </c>
      <c r="G476" s="2" t="s">
        <v>467</v>
      </c>
      <c r="H476" s="2" t="s">
        <v>44</v>
      </c>
      <c r="I476" s="4">
        <v>35281</v>
      </c>
    </row>
    <row r="477" spans="1:9" x14ac:dyDescent="0.25">
      <c r="A477" s="2" t="s">
        <v>12</v>
      </c>
      <c r="B477" s="2">
        <v>6500</v>
      </c>
      <c r="C477" s="2">
        <v>5</v>
      </c>
      <c r="D477" s="2" t="s">
        <v>37</v>
      </c>
      <c r="E477" s="3">
        <v>44683</v>
      </c>
      <c r="F477" s="2" t="s">
        <v>235</v>
      </c>
      <c r="G477" s="2" t="s">
        <v>482</v>
      </c>
      <c r="H477" s="2" t="s">
        <v>44</v>
      </c>
      <c r="I477" s="4">
        <v>26736</v>
      </c>
    </row>
    <row r="478" spans="1:9" x14ac:dyDescent="0.25">
      <c r="A478" s="2" t="s">
        <v>12</v>
      </c>
      <c r="B478" s="2">
        <v>6500</v>
      </c>
      <c r="C478" s="2">
        <v>3</v>
      </c>
      <c r="D478" s="2" t="s">
        <v>35</v>
      </c>
      <c r="E478" s="3">
        <v>44823</v>
      </c>
      <c r="F478" s="2" t="s">
        <v>630</v>
      </c>
      <c r="G478" s="2" t="s">
        <v>631</v>
      </c>
      <c r="H478" s="2" t="s">
        <v>49</v>
      </c>
      <c r="I478" s="4">
        <v>36082</v>
      </c>
    </row>
    <row r="479" spans="1:9" x14ac:dyDescent="0.25">
      <c r="A479" s="2" t="s">
        <v>11</v>
      </c>
      <c r="B479" s="2">
        <v>4500</v>
      </c>
      <c r="C479" s="2">
        <v>1</v>
      </c>
      <c r="D479" s="2" t="s">
        <v>39</v>
      </c>
      <c r="E479" s="3">
        <v>44589</v>
      </c>
      <c r="F479" s="2" t="s">
        <v>158</v>
      </c>
      <c r="G479" s="2" t="s">
        <v>487</v>
      </c>
      <c r="H479" s="2" t="s">
        <v>49</v>
      </c>
      <c r="I479" s="4">
        <v>18331</v>
      </c>
    </row>
    <row r="480" spans="1:9" x14ac:dyDescent="0.25">
      <c r="A480" s="2" t="s">
        <v>6</v>
      </c>
      <c r="B480" s="2">
        <v>1200</v>
      </c>
      <c r="C480" s="2">
        <v>3</v>
      </c>
      <c r="D480" s="2" t="s">
        <v>40</v>
      </c>
      <c r="E480" s="3">
        <v>44705</v>
      </c>
      <c r="F480" s="2" t="s">
        <v>390</v>
      </c>
      <c r="G480" s="2" t="s">
        <v>487</v>
      </c>
      <c r="H480" s="2" t="s">
        <v>49</v>
      </c>
      <c r="I480" s="4">
        <v>32855</v>
      </c>
    </row>
    <row r="481" spans="1:9" x14ac:dyDescent="0.25">
      <c r="A481" s="2" t="s">
        <v>17</v>
      </c>
      <c r="B481" s="2">
        <v>1550</v>
      </c>
      <c r="C481" s="2">
        <v>3</v>
      </c>
      <c r="D481" s="2" t="s">
        <v>33</v>
      </c>
      <c r="E481" s="3">
        <v>44752</v>
      </c>
      <c r="F481" s="2" t="s">
        <v>140</v>
      </c>
      <c r="G481" s="2" t="s">
        <v>141</v>
      </c>
      <c r="H481" s="2" t="s">
        <v>49</v>
      </c>
      <c r="I481" s="4">
        <v>31366</v>
      </c>
    </row>
    <row r="482" spans="1:9" x14ac:dyDescent="0.25">
      <c r="A482" s="2" t="s">
        <v>8</v>
      </c>
      <c r="B482" s="2">
        <v>5500</v>
      </c>
      <c r="C482" s="2">
        <v>3</v>
      </c>
      <c r="D482" s="2" t="s">
        <v>34</v>
      </c>
      <c r="E482" s="3">
        <v>44621</v>
      </c>
      <c r="F482" s="2" t="s">
        <v>173</v>
      </c>
      <c r="G482" s="2" t="s">
        <v>174</v>
      </c>
      <c r="H482" s="2" t="s">
        <v>44</v>
      </c>
      <c r="I482" s="4">
        <v>20273</v>
      </c>
    </row>
    <row r="483" spans="1:9" x14ac:dyDescent="0.25">
      <c r="A483" s="2" t="s">
        <v>8</v>
      </c>
      <c r="B483" s="2">
        <v>5500</v>
      </c>
      <c r="C483" s="2">
        <v>1</v>
      </c>
      <c r="D483" s="2" t="s">
        <v>35</v>
      </c>
      <c r="E483" s="3">
        <v>44870</v>
      </c>
      <c r="F483" s="2" t="s">
        <v>98</v>
      </c>
      <c r="G483" s="2" t="s">
        <v>263</v>
      </c>
      <c r="H483" s="2" t="s">
        <v>44</v>
      </c>
      <c r="I483" s="4">
        <v>29929</v>
      </c>
    </row>
    <row r="484" spans="1:9" x14ac:dyDescent="0.25">
      <c r="A484" s="2" t="s">
        <v>24</v>
      </c>
      <c r="B484" s="2">
        <v>2000</v>
      </c>
      <c r="C484" s="2">
        <v>1</v>
      </c>
      <c r="D484" s="2" t="s">
        <v>30</v>
      </c>
      <c r="E484" s="3">
        <v>44568</v>
      </c>
      <c r="F484" s="2" t="s">
        <v>68</v>
      </c>
      <c r="G484" s="2" t="s">
        <v>69</v>
      </c>
      <c r="H484" s="2" t="s">
        <v>49</v>
      </c>
      <c r="I484" s="4">
        <v>25248</v>
      </c>
    </row>
    <row r="485" spans="1:9" x14ac:dyDescent="0.25">
      <c r="A485" s="2" t="s">
        <v>15</v>
      </c>
      <c r="B485" s="2">
        <v>1900</v>
      </c>
      <c r="C485" s="2">
        <v>5</v>
      </c>
      <c r="D485" s="2" t="s">
        <v>40</v>
      </c>
      <c r="E485" s="3">
        <v>44793</v>
      </c>
      <c r="F485" s="2" t="s">
        <v>267</v>
      </c>
      <c r="G485" s="2" t="s">
        <v>55</v>
      </c>
      <c r="H485" s="2" t="s">
        <v>44</v>
      </c>
      <c r="I485" s="4">
        <v>29760</v>
      </c>
    </row>
    <row r="486" spans="1:9" x14ac:dyDescent="0.25">
      <c r="A486" s="2" t="s">
        <v>23</v>
      </c>
      <c r="B486" s="2">
        <v>1500</v>
      </c>
      <c r="C486" s="2">
        <v>4</v>
      </c>
      <c r="D486" s="2" t="s">
        <v>31</v>
      </c>
      <c r="E486" s="3">
        <v>44851</v>
      </c>
      <c r="F486" s="2" t="s">
        <v>109</v>
      </c>
      <c r="G486" s="2" t="s">
        <v>81</v>
      </c>
      <c r="H486" s="2" t="s">
        <v>44</v>
      </c>
      <c r="I486" s="4">
        <v>24618</v>
      </c>
    </row>
    <row r="487" spans="1:9" x14ac:dyDescent="0.25">
      <c r="A487" s="2" t="s">
        <v>22</v>
      </c>
      <c r="B487" s="2">
        <v>5200</v>
      </c>
      <c r="C487" s="2">
        <v>2</v>
      </c>
      <c r="D487" s="2" t="s">
        <v>31</v>
      </c>
      <c r="E487" s="3">
        <v>44825</v>
      </c>
      <c r="F487" s="2" t="s">
        <v>264</v>
      </c>
      <c r="G487" s="2" t="s">
        <v>395</v>
      </c>
      <c r="H487" s="2" t="s">
        <v>49</v>
      </c>
      <c r="I487" s="4">
        <v>34991</v>
      </c>
    </row>
    <row r="488" spans="1:9" x14ac:dyDescent="0.25">
      <c r="A488" s="2" t="s">
        <v>17</v>
      </c>
      <c r="B488" s="2">
        <v>1550</v>
      </c>
      <c r="C488" s="2">
        <v>5</v>
      </c>
      <c r="D488" s="2" t="s">
        <v>32</v>
      </c>
      <c r="E488" s="3">
        <v>44837</v>
      </c>
      <c r="F488" s="2" t="s">
        <v>82</v>
      </c>
      <c r="G488" s="2" t="s">
        <v>83</v>
      </c>
      <c r="H488" s="2" t="s">
        <v>49</v>
      </c>
      <c r="I488" s="4">
        <v>26584</v>
      </c>
    </row>
    <row r="489" spans="1:9" x14ac:dyDescent="0.25">
      <c r="A489" s="2" t="s">
        <v>25</v>
      </c>
      <c r="B489" s="2">
        <v>2500</v>
      </c>
      <c r="C489" s="2">
        <v>3</v>
      </c>
      <c r="D489" s="2" t="s">
        <v>36</v>
      </c>
      <c r="E489" s="3">
        <v>44861</v>
      </c>
      <c r="F489" s="2" t="s">
        <v>104</v>
      </c>
      <c r="G489" s="2" t="s">
        <v>410</v>
      </c>
      <c r="H489" s="2" t="s">
        <v>44</v>
      </c>
      <c r="I489" s="4">
        <v>18295</v>
      </c>
    </row>
    <row r="490" spans="1:9" x14ac:dyDescent="0.25">
      <c r="A490" s="2" t="s">
        <v>8</v>
      </c>
      <c r="B490" s="2">
        <v>5500</v>
      </c>
      <c r="C490" s="2">
        <v>3</v>
      </c>
      <c r="D490" s="2" t="s">
        <v>40</v>
      </c>
      <c r="E490" s="3">
        <v>44737</v>
      </c>
      <c r="F490" s="2" t="s">
        <v>80</v>
      </c>
      <c r="G490" s="2" t="s">
        <v>75</v>
      </c>
      <c r="H490" s="2" t="s">
        <v>44</v>
      </c>
      <c r="I490" s="4">
        <v>32180</v>
      </c>
    </row>
    <row r="491" spans="1:9" x14ac:dyDescent="0.25">
      <c r="A491" s="2" t="s">
        <v>14</v>
      </c>
      <c r="B491" s="2">
        <v>2000</v>
      </c>
      <c r="C491" s="2">
        <v>5</v>
      </c>
      <c r="D491" s="2" t="s">
        <v>35</v>
      </c>
      <c r="E491" s="3">
        <v>44582</v>
      </c>
      <c r="F491" s="2" t="s">
        <v>316</v>
      </c>
      <c r="G491" s="2" t="s">
        <v>253</v>
      </c>
      <c r="H491" s="2" t="s">
        <v>44</v>
      </c>
      <c r="I491" s="4">
        <v>26822</v>
      </c>
    </row>
    <row r="492" spans="1:9" x14ac:dyDescent="0.25">
      <c r="A492" s="2" t="s">
        <v>9</v>
      </c>
      <c r="B492" s="2">
        <v>1500</v>
      </c>
      <c r="C492" s="2">
        <v>4</v>
      </c>
      <c r="D492" s="2" t="s">
        <v>33</v>
      </c>
      <c r="E492" s="3">
        <v>44816</v>
      </c>
      <c r="F492" s="2" t="s">
        <v>98</v>
      </c>
      <c r="G492" s="2" t="s">
        <v>613</v>
      </c>
      <c r="H492" s="2" t="s">
        <v>44</v>
      </c>
      <c r="I492" s="4">
        <v>30574</v>
      </c>
    </row>
    <row r="493" spans="1:9" x14ac:dyDescent="0.25">
      <c r="A493" s="2" t="s">
        <v>6</v>
      </c>
      <c r="B493" s="2">
        <v>1200</v>
      </c>
      <c r="C493" s="2">
        <v>2</v>
      </c>
      <c r="D493" s="2" t="s">
        <v>35</v>
      </c>
      <c r="E493" s="3">
        <v>44682</v>
      </c>
      <c r="F493" s="2" t="s">
        <v>158</v>
      </c>
      <c r="G493" s="2" t="s">
        <v>330</v>
      </c>
      <c r="H493" s="2" t="s">
        <v>49</v>
      </c>
      <c r="I493" s="4">
        <v>29314</v>
      </c>
    </row>
    <row r="494" spans="1:9" x14ac:dyDescent="0.25">
      <c r="A494" s="2" t="s">
        <v>12</v>
      </c>
      <c r="B494" s="2">
        <v>6500</v>
      </c>
      <c r="C494" s="2">
        <v>3</v>
      </c>
      <c r="D494" s="2" t="s">
        <v>38</v>
      </c>
      <c r="E494" s="3">
        <v>44796</v>
      </c>
      <c r="F494" s="2" t="s">
        <v>190</v>
      </c>
      <c r="G494" s="2" t="s">
        <v>297</v>
      </c>
      <c r="H494" s="2" t="s">
        <v>44</v>
      </c>
      <c r="I494" s="4">
        <v>24883</v>
      </c>
    </row>
    <row r="495" spans="1:9" x14ac:dyDescent="0.25">
      <c r="A495" s="2" t="s">
        <v>16</v>
      </c>
      <c r="B495" s="2">
        <v>1400</v>
      </c>
      <c r="C495" s="2">
        <v>5</v>
      </c>
      <c r="D495" s="2" t="s">
        <v>39</v>
      </c>
      <c r="E495" s="3">
        <v>44606</v>
      </c>
      <c r="F495" s="2" t="s">
        <v>239</v>
      </c>
      <c r="G495" s="2" t="s">
        <v>63</v>
      </c>
      <c r="H495" s="2" t="s">
        <v>49</v>
      </c>
      <c r="I495" s="4">
        <v>18506</v>
      </c>
    </row>
    <row r="496" spans="1:9" x14ac:dyDescent="0.25">
      <c r="A496" s="2" t="s">
        <v>27</v>
      </c>
      <c r="B496" s="2">
        <v>1500</v>
      </c>
      <c r="C496" s="2">
        <v>5</v>
      </c>
      <c r="D496" s="2" t="s">
        <v>29</v>
      </c>
      <c r="E496" s="3">
        <v>44901</v>
      </c>
      <c r="F496" s="2" t="s">
        <v>42</v>
      </c>
      <c r="G496" s="2" t="s">
        <v>89</v>
      </c>
      <c r="H496" s="2" t="s">
        <v>44</v>
      </c>
      <c r="I496" s="4">
        <v>35608</v>
      </c>
    </row>
    <row r="497" spans="1:9" x14ac:dyDescent="0.25">
      <c r="A497" s="2" t="s">
        <v>24</v>
      </c>
      <c r="B497" s="2">
        <v>2000</v>
      </c>
      <c r="C497" s="2">
        <v>4</v>
      </c>
      <c r="D497" s="2" t="s">
        <v>36</v>
      </c>
      <c r="E497" s="3">
        <v>44704</v>
      </c>
      <c r="F497" s="2" t="s">
        <v>64</v>
      </c>
      <c r="G497" s="2" t="s">
        <v>65</v>
      </c>
      <c r="H497" s="2" t="s">
        <v>44</v>
      </c>
      <c r="I497" s="4">
        <v>33748</v>
      </c>
    </row>
    <row r="498" spans="1:9" x14ac:dyDescent="0.25">
      <c r="A498" s="2" t="s">
        <v>6</v>
      </c>
      <c r="B498" s="2">
        <v>1200</v>
      </c>
      <c r="C498" s="2">
        <v>4</v>
      </c>
      <c r="D498" s="2" t="s">
        <v>39</v>
      </c>
      <c r="E498" s="3">
        <v>44752</v>
      </c>
      <c r="F498" s="2" t="s">
        <v>318</v>
      </c>
      <c r="G498" s="2" t="s">
        <v>395</v>
      </c>
      <c r="H498" s="2" t="s">
        <v>44</v>
      </c>
      <c r="I498" s="4">
        <v>32659</v>
      </c>
    </row>
    <row r="499" spans="1:9" x14ac:dyDescent="0.25">
      <c r="A499" s="2" t="s">
        <v>18</v>
      </c>
      <c r="B499" s="2">
        <v>3000</v>
      </c>
      <c r="C499" s="2">
        <v>4</v>
      </c>
      <c r="D499" s="2" t="s">
        <v>29</v>
      </c>
      <c r="E499" s="3">
        <v>44833</v>
      </c>
      <c r="F499" s="2" t="s">
        <v>142</v>
      </c>
      <c r="G499" s="2" t="s">
        <v>157</v>
      </c>
      <c r="H499" s="2" t="s">
        <v>49</v>
      </c>
      <c r="I499" s="4">
        <v>33294</v>
      </c>
    </row>
    <row r="500" spans="1:9" x14ac:dyDescent="0.25">
      <c r="A500" s="2" t="s">
        <v>28</v>
      </c>
      <c r="B500" s="2">
        <v>1400</v>
      </c>
      <c r="C500" s="2">
        <v>3</v>
      </c>
      <c r="D500" s="2" t="s">
        <v>38</v>
      </c>
      <c r="E500" s="3">
        <v>44801</v>
      </c>
      <c r="F500" s="2" t="s">
        <v>272</v>
      </c>
      <c r="G500" s="2" t="s">
        <v>273</v>
      </c>
      <c r="H500" s="2" t="s">
        <v>49</v>
      </c>
      <c r="I500" s="4">
        <v>30689</v>
      </c>
    </row>
    <row r="501" spans="1:9" x14ac:dyDescent="0.25">
      <c r="A501" s="2" t="s">
        <v>16</v>
      </c>
      <c r="B501" s="2">
        <v>1400</v>
      </c>
      <c r="C501" s="2">
        <v>1</v>
      </c>
      <c r="D501" s="2" t="s">
        <v>29</v>
      </c>
      <c r="E501" s="3">
        <v>44839</v>
      </c>
      <c r="F501" s="2" t="s">
        <v>142</v>
      </c>
      <c r="G501" s="2" t="s">
        <v>157</v>
      </c>
      <c r="H501" s="2" t="s">
        <v>49</v>
      </c>
      <c r="I501" s="4">
        <v>33294</v>
      </c>
    </row>
    <row r="502" spans="1:9" x14ac:dyDescent="0.25">
      <c r="A502" s="2" t="s">
        <v>11</v>
      </c>
      <c r="B502" s="2">
        <v>4500</v>
      </c>
      <c r="C502" s="2">
        <v>1</v>
      </c>
      <c r="D502" s="2" t="s">
        <v>37</v>
      </c>
      <c r="E502" s="3">
        <v>44780</v>
      </c>
      <c r="F502" s="2" t="s">
        <v>268</v>
      </c>
      <c r="G502" s="2" t="s">
        <v>269</v>
      </c>
      <c r="H502" s="2" t="s">
        <v>44</v>
      </c>
      <c r="I502" s="4">
        <v>28451</v>
      </c>
    </row>
    <row r="503" spans="1:9" x14ac:dyDescent="0.25">
      <c r="A503" s="2" t="s">
        <v>5</v>
      </c>
      <c r="B503" s="2">
        <v>1750</v>
      </c>
      <c r="C503" s="2">
        <v>1</v>
      </c>
      <c r="D503" s="2" t="s">
        <v>29</v>
      </c>
      <c r="E503" s="3">
        <v>44866</v>
      </c>
      <c r="F503" s="2" t="s">
        <v>239</v>
      </c>
      <c r="G503" s="2" t="s">
        <v>240</v>
      </c>
      <c r="H503" s="2" t="s">
        <v>49</v>
      </c>
      <c r="I503" s="4">
        <v>31265</v>
      </c>
    </row>
    <row r="504" spans="1:9" x14ac:dyDescent="0.25">
      <c r="A504" s="2" t="s">
        <v>28</v>
      </c>
      <c r="B504" s="2">
        <v>1400</v>
      </c>
      <c r="C504" s="2">
        <v>2</v>
      </c>
      <c r="D504" s="2" t="s">
        <v>35</v>
      </c>
      <c r="E504" s="3">
        <v>44849</v>
      </c>
      <c r="F504" s="2" t="s">
        <v>74</v>
      </c>
      <c r="G504" s="2" t="s">
        <v>621</v>
      </c>
      <c r="H504" s="2" t="s">
        <v>44</v>
      </c>
      <c r="I504" s="4">
        <v>34072</v>
      </c>
    </row>
    <row r="505" spans="1:9" x14ac:dyDescent="0.25">
      <c r="A505" s="2" t="s">
        <v>22</v>
      </c>
      <c r="B505" s="2">
        <v>5200</v>
      </c>
      <c r="C505" s="2">
        <v>3</v>
      </c>
      <c r="D505" s="2" t="s">
        <v>34</v>
      </c>
      <c r="E505" s="3">
        <v>44712</v>
      </c>
      <c r="F505" s="2" t="s">
        <v>390</v>
      </c>
      <c r="G505" s="2" t="s">
        <v>149</v>
      </c>
      <c r="H505" s="2" t="s">
        <v>49</v>
      </c>
      <c r="I505" s="4">
        <v>20021</v>
      </c>
    </row>
    <row r="506" spans="1:9" x14ac:dyDescent="0.25">
      <c r="A506" s="2" t="s">
        <v>22</v>
      </c>
      <c r="B506" s="2">
        <v>5200</v>
      </c>
      <c r="C506" s="2">
        <v>5</v>
      </c>
      <c r="D506" s="2" t="s">
        <v>30</v>
      </c>
      <c r="E506" s="3">
        <v>44839</v>
      </c>
      <c r="F506" s="2" t="s">
        <v>45</v>
      </c>
      <c r="G506" s="2" t="s">
        <v>46</v>
      </c>
      <c r="H506" s="2" t="s">
        <v>44</v>
      </c>
      <c r="I506" s="4">
        <v>32614</v>
      </c>
    </row>
    <row r="507" spans="1:9" x14ac:dyDescent="0.25">
      <c r="A507" s="2" t="s">
        <v>24</v>
      </c>
      <c r="B507" s="2">
        <v>2000</v>
      </c>
      <c r="C507" s="2">
        <v>1</v>
      </c>
      <c r="D507" s="2" t="s">
        <v>31</v>
      </c>
      <c r="E507" s="3">
        <v>44838</v>
      </c>
      <c r="F507" s="2" t="s">
        <v>270</v>
      </c>
      <c r="G507" s="2" t="s">
        <v>63</v>
      </c>
      <c r="H507" s="2" t="s">
        <v>44</v>
      </c>
      <c r="I507" s="4">
        <v>32206</v>
      </c>
    </row>
    <row r="508" spans="1:9" x14ac:dyDescent="0.25">
      <c r="A508" s="2" t="s">
        <v>17</v>
      </c>
      <c r="B508" s="2">
        <v>1550</v>
      </c>
      <c r="C508" s="2">
        <v>2</v>
      </c>
      <c r="D508" s="2" t="s">
        <v>29</v>
      </c>
      <c r="E508" s="3">
        <v>44713</v>
      </c>
      <c r="F508" s="2" t="s">
        <v>137</v>
      </c>
      <c r="G508" s="2" t="s">
        <v>273</v>
      </c>
      <c r="H508" s="2" t="s">
        <v>49</v>
      </c>
      <c r="I508" s="4">
        <v>23843</v>
      </c>
    </row>
    <row r="509" spans="1:9" x14ac:dyDescent="0.25">
      <c r="A509" s="2" t="s">
        <v>10</v>
      </c>
      <c r="B509" s="2">
        <v>1450</v>
      </c>
      <c r="C509" s="2">
        <v>1</v>
      </c>
      <c r="D509" s="2" t="s">
        <v>29</v>
      </c>
      <c r="E509" s="3">
        <v>44652</v>
      </c>
      <c r="F509" s="2" t="s">
        <v>339</v>
      </c>
      <c r="G509" s="2" t="s">
        <v>63</v>
      </c>
      <c r="H509" s="2" t="s">
        <v>44</v>
      </c>
      <c r="I509" s="4">
        <v>25183</v>
      </c>
    </row>
    <row r="510" spans="1:9" x14ac:dyDescent="0.25">
      <c r="A510" s="2" t="s">
        <v>19</v>
      </c>
      <c r="B510" s="2">
        <v>700</v>
      </c>
      <c r="C510" s="2">
        <v>4</v>
      </c>
      <c r="D510" s="2" t="s">
        <v>40</v>
      </c>
      <c r="E510" s="3">
        <v>44567</v>
      </c>
      <c r="F510" s="2" t="s">
        <v>239</v>
      </c>
      <c r="G510" s="2" t="s">
        <v>294</v>
      </c>
      <c r="H510" s="2" t="s">
        <v>49</v>
      </c>
      <c r="I510" s="4">
        <v>30135</v>
      </c>
    </row>
    <row r="511" spans="1:9" x14ac:dyDescent="0.25">
      <c r="A511" s="2" t="s">
        <v>27</v>
      </c>
      <c r="B511" s="2">
        <v>1500</v>
      </c>
      <c r="C511" s="2">
        <v>1</v>
      </c>
      <c r="D511" s="2" t="s">
        <v>32</v>
      </c>
      <c r="E511" s="3">
        <v>44654</v>
      </c>
      <c r="F511" s="2" t="s">
        <v>51</v>
      </c>
      <c r="G511" s="2" t="s">
        <v>99</v>
      </c>
      <c r="H511" s="2" t="s">
        <v>44</v>
      </c>
      <c r="I511" s="4">
        <v>18276</v>
      </c>
    </row>
    <row r="512" spans="1:9" x14ac:dyDescent="0.25">
      <c r="A512" s="2" t="s">
        <v>23</v>
      </c>
      <c r="B512" s="2">
        <v>1500</v>
      </c>
      <c r="C512" s="2">
        <v>3</v>
      </c>
      <c r="D512" s="2" t="s">
        <v>34</v>
      </c>
      <c r="E512" s="3">
        <v>44597</v>
      </c>
      <c r="F512" s="2" t="s">
        <v>137</v>
      </c>
      <c r="G512" s="2" t="s">
        <v>447</v>
      </c>
      <c r="H512" s="2" t="s">
        <v>49</v>
      </c>
      <c r="I512" s="4">
        <v>18368</v>
      </c>
    </row>
    <row r="513" spans="1:9" x14ac:dyDescent="0.25">
      <c r="A513" s="2" t="s">
        <v>21</v>
      </c>
      <c r="B513" s="2">
        <v>2400</v>
      </c>
      <c r="C513" s="2">
        <v>3</v>
      </c>
      <c r="D513" s="2" t="s">
        <v>31</v>
      </c>
      <c r="E513" s="3">
        <v>44843</v>
      </c>
      <c r="F513" s="2" t="s">
        <v>62</v>
      </c>
      <c r="G513" s="2" t="s">
        <v>63</v>
      </c>
      <c r="H513" s="2" t="s">
        <v>49</v>
      </c>
      <c r="I513" s="4">
        <v>19305</v>
      </c>
    </row>
    <row r="514" spans="1:9" x14ac:dyDescent="0.25">
      <c r="A514" s="2" t="s">
        <v>10</v>
      </c>
      <c r="B514" s="2">
        <v>1450</v>
      </c>
      <c r="C514" s="2">
        <v>1</v>
      </c>
      <c r="D514" s="2" t="s">
        <v>38</v>
      </c>
      <c r="E514" s="3">
        <v>44625</v>
      </c>
      <c r="F514" s="2" t="s">
        <v>221</v>
      </c>
      <c r="G514" s="2" t="s">
        <v>294</v>
      </c>
      <c r="H514" s="2" t="s">
        <v>44</v>
      </c>
      <c r="I514" s="4">
        <v>28733</v>
      </c>
    </row>
    <row r="515" spans="1:9" x14ac:dyDescent="0.25">
      <c r="A515" s="2" t="s">
        <v>16</v>
      </c>
      <c r="B515" s="2">
        <v>1400</v>
      </c>
      <c r="C515" s="2">
        <v>2</v>
      </c>
      <c r="D515" s="2" t="s">
        <v>40</v>
      </c>
      <c r="E515" s="3">
        <v>44667</v>
      </c>
      <c r="F515" s="2" t="s">
        <v>111</v>
      </c>
      <c r="G515" s="2" t="s">
        <v>63</v>
      </c>
      <c r="H515" s="2" t="s">
        <v>44</v>
      </c>
      <c r="I515" s="4">
        <v>34809</v>
      </c>
    </row>
    <row r="516" spans="1:9" x14ac:dyDescent="0.25">
      <c r="A516" s="2" t="s">
        <v>9</v>
      </c>
      <c r="B516" s="2">
        <v>1500</v>
      </c>
      <c r="C516" s="2">
        <v>5</v>
      </c>
      <c r="D516" s="2" t="s">
        <v>29</v>
      </c>
      <c r="E516" s="3">
        <v>44709</v>
      </c>
      <c r="F516" s="2" t="s">
        <v>522</v>
      </c>
      <c r="G516" s="2" t="s">
        <v>541</v>
      </c>
      <c r="H516" s="2" t="s">
        <v>44</v>
      </c>
      <c r="I516" s="4">
        <v>29115</v>
      </c>
    </row>
    <row r="517" spans="1:9" x14ac:dyDescent="0.25">
      <c r="A517" s="2" t="s">
        <v>20</v>
      </c>
      <c r="B517" s="2">
        <v>2600</v>
      </c>
      <c r="C517" s="2">
        <v>2</v>
      </c>
      <c r="D517" s="2" t="s">
        <v>32</v>
      </c>
      <c r="E517" s="3">
        <v>44707</v>
      </c>
      <c r="F517" s="2" t="s">
        <v>585</v>
      </c>
      <c r="G517" s="2" t="s">
        <v>276</v>
      </c>
      <c r="H517" s="2" t="s">
        <v>44</v>
      </c>
      <c r="I517" s="4">
        <v>19843</v>
      </c>
    </row>
    <row r="518" spans="1:9" x14ac:dyDescent="0.25">
      <c r="A518" s="2" t="s">
        <v>23</v>
      </c>
      <c r="B518" s="2">
        <v>1500</v>
      </c>
      <c r="C518" s="2">
        <v>3</v>
      </c>
      <c r="D518" s="2" t="s">
        <v>31</v>
      </c>
      <c r="E518" s="3">
        <v>44781</v>
      </c>
      <c r="F518" s="2" t="s">
        <v>51</v>
      </c>
      <c r="G518" s="2" t="s">
        <v>596</v>
      </c>
      <c r="H518" s="2" t="s">
        <v>44</v>
      </c>
      <c r="I518" s="4">
        <v>26563</v>
      </c>
    </row>
    <row r="519" spans="1:9" x14ac:dyDescent="0.25">
      <c r="A519" s="2" t="s">
        <v>6</v>
      </c>
      <c r="B519" s="2">
        <v>1200</v>
      </c>
      <c r="C519" s="2">
        <v>2</v>
      </c>
      <c r="D519" s="2" t="s">
        <v>33</v>
      </c>
      <c r="E519" s="3">
        <v>44627</v>
      </c>
      <c r="F519" s="2" t="s">
        <v>279</v>
      </c>
      <c r="G519" s="2" t="s">
        <v>329</v>
      </c>
      <c r="H519" s="2" t="s">
        <v>44</v>
      </c>
      <c r="I519" s="4">
        <v>18364</v>
      </c>
    </row>
    <row r="520" spans="1:9" x14ac:dyDescent="0.25">
      <c r="A520" s="2" t="s">
        <v>20</v>
      </c>
      <c r="B520" s="2">
        <v>2600</v>
      </c>
      <c r="C520" s="2">
        <v>1</v>
      </c>
      <c r="D520" s="2" t="s">
        <v>29</v>
      </c>
      <c r="E520" s="3">
        <v>44721</v>
      </c>
      <c r="F520" s="2" t="s">
        <v>394</v>
      </c>
      <c r="G520" s="2" t="s">
        <v>526</v>
      </c>
      <c r="H520" s="2" t="s">
        <v>49</v>
      </c>
      <c r="I520" s="4">
        <v>28317</v>
      </c>
    </row>
    <row r="521" spans="1:9" x14ac:dyDescent="0.25">
      <c r="A521" s="2" t="s">
        <v>27</v>
      </c>
      <c r="B521" s="2">
        <v>1500</v>
      </c>
      <c r="C521" s="2">
        <v>3</v>
      </c>
      <c r="D521" s="2" t="s">
        <v>31</v>
      </c>
      <c r="E521" s="3">
        <v>44594</v>
      </c>
      <c r="F521" s="2" t="s">
        <v>62</v>
      </c>
      <c r="G521" s="2" t="s">
        <v>63</v>
      </c>
      <c r="H521" s="2" t="s">
        <v>49</v>
      </c>
      <c r="I521" s="4">
        <v>19305</v>
      </c>
    </row>
    <row r="522" spans="1:9" x14ac:dyDescent="0.25">
      <c r="A522" s="2" t="s">
        <v>8</v>
      </c>
      <c r="B522" s="2">
        <v>5500</v>
      </c>
      <c r="C522" s="2">
        <v>2</v>
      </c>
      <c r="D522" s="2" t="s">
        <v>30</v>
      </c>
      <c r="E522" s="3">
        <v>44709</v>
      </c>
      <c r="F522" s="2" t="s">
        <v>78</v>
      </c>
      <c r="G522" s="2" t="s">
        <v>443</v>
      </c>
      <c r="H522" s="2" t="s">
        <v>49</v>
      </c>
      <c r="I522" s="4">
        <v>35369</v>
      </c>
    </row>
    <row r="523" spans="1:9" x14ac:dyDescent="0.25">
      <c r="A523" s="2" t="s">
        <v>23</v>
      </c>
      <c r="B523" s="2">
        <v>1500</v>
      </c>
      <c r="C523" s="2">
        <v>4</v>
      </c>
      <c r="D523" s="2" t="s">
        <v>37</v>
      </c>
      <c r="E523" s="3">
        <v>44800</v>
      </c>
      <c r="F523" s="2" t="s">
        <v>462</v>
      </c>
      <c r="G523" s="2" t="s">
        <v>569</v>
      </c>
      <c r="H523" s="2" t="s">
        <v>49</v>
      </c>
      <c r="I523" s="4">
        <v>36704</v>
      </c>
    </row>
    <row r="524" spans="1:9" x14ac:dyDescent="0.25">
      <c r="A524" s="2" t="s">
        <v>25</v>
      </c>
      <c r="B524" s="2">
        <v>2500</v>
      </c>
      <c r="C524" s="2">
        <v>2</v>
      </c>
      <c r="D524" s="2" t="s">
        <v>29</v>
      </c>
      <c r="E524" s="3">
        <v>44833</v>
      </c>
      <c r="F524" s="2" t="s">
        <v>109</v>
      </c>
      <c r="G524" s="2" t="s">
        <v>345</v>
      </c>
      <c r="H524" s="2" t="s">
        <v>44</v>
      </c>
      <c r="I524" s="4">
        <v>33647</v>
      </c>
    </row>
    <row r="525" spans="1:9" x14ac:dyDescent="0.25">
      <c r="A525" s="2" t="s">
        <v>16</v>
      </c>
      <c r="B525" s="2">
        <v>1400</v>
      </c>
      <c r="C525" s="2">
        <v>2</v>
      </c>
      <c r="D525" s="2" t="s">
        <v>32</v>
      </c>
      <c r="E525" s="3">
        <v>44617</v>
      </c>
      <c r="F525" s="2" t="s">
        <v>585</v>
      </c>
      <c r="G525" s="2" t="s">
        <v>276</v>
      </c>
      <c r="H525" s="2" t="s">
        <v>44</v>
      </c>
      <c r="I525" s="4">
        <v>19843</v>
      </c>
    </row>
    <row r="526" spans="1:9" x14ac:dyDescent="0.25">
      <c r="A526" s="2" t="s">
        <v>20</v>
      </c>
      <c r="B526" s="2">
        <v>2600</v>
      </c>
      <c r="C526" s="2">
        <v>3</v>
      </c>
      <c r="D526" s="2" t="s">
        <v>40</v>
      </c>
      <c r="E526" s="3">
        <v>44739</v>
      </c>
      <c r="F526" s="2" t="s">
        <v>129</v>
      </c>
      <c r="G526" s="2" t="s">
        <v>273</v>
      </c>
      <c r="H526" s="2" t="s">
        <v>49</v>
      </c>
      <c r="I526" s="4">
        <v>25858</v>
      </c>
    </row>
    <row r="527" spans="1:9" x14ac:dyDescent="0.25">
      <c r="A527" s="2" t="s">
        <v>12</v>
      </c>
      <c r="B527" s="2">
        <v>6500</v>
      </c>
      <c r="C527" s="2">
        <v>1</v>
      </c>
      <c r="D527" s="2" t="s">
        <v>33</v>
      </c>
      <c r="E527" s="3">
        <v>44568</v>
      </c>
      <c r="F527" s="2" t="s">
        <v>78</v>
      </c>
      <c r="G527" s="2" t="s">
        <v>83</v>
      </c>
      <c r="H527" s="2" t="s">
        <v>49</v>
      </c>
      <c r="I527" s="4">
        <v>19821</v>
      </c>
    </row>
    <row r="528" spans="1:9" x14ac:dyDescent="0.25">
      <c r="A528" s="2" t="s">
        <v>6</v>
      </c>
      <c r="B528" s="2">
        <v>1200</v>
      </c>
      <c r="C528" s="2">
        <v>5</v>
      </c>
      <c r="D528" s="2" t="s">
        <v>36</v>
      </c>
      <c r="E528" s="3">
        <v>44581</v>
      </c>
      <c r="F528" s="2" t="s">
        <v>595</v>
      </c>
      <c r="G528" s="2" t="s">
        <v>83</v>
      </c>
      <c r="H528" s="2" t="s">
        <v>49</v>
      </c>
      <c r="I528" s="4">
        <v>36243</v>
      </c>
    </row>
    <row r="529" spans="1:9" x14ac:dyDescent="0.25">
      <c r="A529" s="2" t="s">
        <v>6</v>
      </c>
      <c r="B529" s="2">
        <v>1200</v>
      </c>
      <c r="C529" s="2">
        <v>1</v>
      </c>
      <c r="D529" s="2" t="s">
        <v>29</v>
      </c>
      <c r="E529" s="3">
        <v>44912</v>
      </c>
      <c r="F529" s="2" t="s">
        <v>170</v>
      </c>
      <c r="G529" s="2" t="s">
        <v>463</v>
      </c>
      <c r="H529" s="2" t="s">
        <v>44</v>
      </c>
      <c r="I529" s="4">
        <v>30086</v>
      </c>
    </row>
    <row r="530" spans="1:9" x14ac:dyDescent="0.25">
      <c r="A530" s="2" t="s">
        <v>11</v>
      </c>
      <c r="B530" s="2">
        <v>4500</v>
      </c>
      <c r="C530" s="2">
        <v>5</v>
      </c>
      <c r="D530" s="2" t="s">
        <v>31</v>
      </c>
      <c r="E530" s="3">
        <v>44815</v>
      </c>
      <c r="F530" s="2" t="s">
        <v>233</v>
      </c>
      <c r="G530" s="2" t="s">
        <v>253</v>
      </c>
      <c r="H530" s="2" t="s">
        <v>49</v>
      </c>
      <c r="I530" s="4">
        <v>31051</v>
      </c>
    </row>
    <row r="531" spans="1:9" x14ac:dyDescent="0.25">
      <c r="A531" s="2" t="s">
        <v>5</v>
      </c>
      <c r="B531" s="2">
        <v>1750</v>
      </c>
      <c r="C531" s="2">
        <v>5</v>
      </c>
      <c r="D531" s="2" t="s">
        <v>32</v>
      </c>
      <c r="E531" s="3">
        <v>44806</v>
      </c>
      <c r="F531" s="2" t="s">
        <v>190</v>
      </c>
      <c r="G531" s="2" t="s">
        <v>246</v>
      </c>
      <c r="H531" s="2" t="s">
        <v>44</v>
      </c>
      <c r="I531" s="4">
        <v>30077</v>
      </c>
    </row>
    <row r="532" spans="1:9" x14ac:dyDescent="0.25">
      <c r="A532" s="2" t="s">
        <v>9</v>
      </c>
      <c r="B532" s="2">
        <v>1500</v>
      </c>
      <c r="C532" s="2">
        <v>3</v>
      </c>
      <c r="D532" s="2" t="s">
        <v>33</v>
      </c>
      <c r="E532" s="3">
        <v>44880</v>
      </c>
      <c r="F532" s="2" t="s">
        <v>161</v>
      </c>
      <c r="G532" s="2" t="s">
        <v>149</v>
      </c>
      <c r="H532" s="2" t="s">
        <v>49</v>
      </c>
      <c r="I532" s="4">
        <v>33864</v>
      </c>
    </row>
    <row r="533" spans="1:9" x14ac:dyDescent="0.25">
      <c r="A533" s="2" t="s">
        <v>15</v>
      </c>
      <c r="B533" s="2">
        <v>1900</v>
      </c>
      <c r="C533" s="2">
        <v>1</v>
      </c>
      <c r="D533" s="2" t="s">
        <v>36</v>
      </c>
      <c r="E533" s="3">
        <v>44626</v>
      </c>
      <c r="F533" s="2" t="s">
        <v>87</v>
      </c>
      <c r="G533" s="2" t="s">
        <v>172</v>
      </c>
      <c r="H533" s="2" t="s">
        <v>44</v>
      </c>
      <c r="I533" s="4">
        <v>33395</v>
      </c>
    </row>
    <row r="534" spans="1:9" x14ac:dyDescent="0.25">
      <c r="A534" s="2" t="s">
        <v>27</v>
      </c>
      <c r="B534" s="2">
        <v>1500</v>
      </c>
      <c r="C534" s="2">
        <v>2</v>
      </c>
      <c r="D534" s="2" t="s">
        <v>29</v>
      </c>
      <c r="E534" s="3">
        <v>44883</v>
      </c>
      <c r="F534" s="2" t="s">
        <v>98</v>
      </c>
      <c r="G534" s="2" t="s">
        <v>81</v>
      </c>
      <c r="H534" s="2" t="s">
        <v>44</v>
      </c>
      <c r="I534" s="4">
        <v>30937</v>
      </c>
    </row>
    <row r="535" spans="1:9" x14ac:dyDescent="0.25">
      <c r="A535" s="2" t="s">
        <v>12</v>
      </c>
      <c r="B535" s="2">
        <v>6500</v>
      </c>
      <c r="C535" s="2">
        <v>2</v>
      </c>
      <c r="D535" s="2" t="s">
        <v>37</v>
      </c>
      <c r="E535" s="3">
        <v>44625</v>
      </c>
      <c r="F535" s="2" t="s">
        <v>234</v>
      </c>
      <c r="G535" s="2" t="s">
        <v>117</v>
      </c>
      <c r="H535" s="2" t="s">
        <v>44</v>
      </c>
      <c r="I535" s="4">
        <v>31431</v>
      </c>
    </row>
    <row r="536" spans="1:9" x14ac:dyDescent="0.25">
      <c r="A536" s="2" t="s">
        <v>21</v>
      </c>
      <c r="B536" s="2">
        <v>2400</v>
      </c>
      <c r="C536" s="2">
        <v>2</v>
      </c>
      <c r="D536" s="2" t="s">
        <v>29</v>
      </c>
      <c r="E536" s="3">
        <v>44713</v>
      </c>
      <c r="F536" s="2" t="s">
        <v>522</v>
      </c>
      <c r="G536" s="2" t="s">
        <v>541</v>
      </c>
      <c r="H536" s="2" t="s">
        <v>44</v>
      </c>
      <c r="I536" s="4">
        <v>29115</v>
      </c>
    </row>
    <row r="537" spans="1:9" x14ac:dyDescent="0.25">
      <c r="A537" s="2" t="s">
        <v>23</v>
      </c>
      <c r="B537" s="2">
        <v>1500</v>
      </c>
      <c r="C537" s="2">
        <v>1</v>
      </c>
      <c r="D537" s="2" t="s">
        <v>32</v>
      </c>
      <c r="E537" s="3">
        <v>44685</v>
      </c>
      <c r="F537" s="2" t="s">
        <v>76</v>
      </c>
      <c r="G537" s="2" t="s">
        <v>358</v>
      </c>
      <c r="H537" s="2" t="s">
        <v>49</v>
      </c>
      <c r="I537" s="4">
        <v>33495</v>
      </c>
    </row>
    <row r="538" spans="1:9" x14ac:dyDescent="0.25">
      <c r="A538" s="2" t="s">
        <v>28</v>
      </c>
      <c r="B538" s="2">
        <v>1400</v>
      </c>
      <c r="C538" s="2">
        <v>3</v>
      </c>
      <c r="D538" s="2" t="s">
        <v>29</v>
      </c>
      <c r="E538" s="3">
        <v>44736</v>
      </c>
      <c r="F538" s="2" t="s">
        <v>107</v>
      </c>
      <c r="G538" s="2" t="s">
        <v>81</v>
      </c>
      <c r="H538" s="2" t="s">
        <v>49</v>
      </c>
      <c r="I538" s="4">
        <v>29856</v>
      </c>
    </row>
    <row r="539" spans="1:9" x14ac:dyDescent="0.25">
      <c r="A539" s="2" t="s">
        <v>28</v>
      </c>
      <c r="B539" s="2">
        <v>1400</v>
      </c>
      <c r="C539" s="2">
        <v>3</v>
      </c>
      <c r="D539" s="2" t="s">
        <v>29</v>
      </c>
      <c r="E539" s="3">
        <v>44563</v>
      </c>
      <c r="F539" s="2" t="s">
        <v>129</v>
      </c>
      <c r="G539" s="2" t="s">
        <v>130</v>
      </c>
      <c r="H539" s="2" t="s">
        <v>49</v>
      </c>
      <c r="I539" s="4">
        <v>24024</v>
      </c>
    </row>
    <row r="540" spans="1:9" x14ac:dyDescent="0.25">
      <c r="A540" s="2" t="s">
        <v>22</v>
      </c>
      <c r="B540" s="2">
        <v>5200</v>
      </c>
      <c r="C540" s="2">
        <v>2</v>
      </c>
      <c r="D540" s="2" t="s">
        <v>40</v>
      </c>
      <c r="E540" s="3">
        <v>44654</v>
      </c>
      <c r="F540" s="2" t="s">
        <v>109</v>
      </c>
      <c r="G540" s="2" t="s">
        <v>168</v>
      </c>
      <c r="H540" s="2" t="s">
        <v>44</v>
      </c>
      <c r="I540" s="4">
        <v>18540</v>
      </c>
    </row>
    <row r="541" spans="1:9" x14ac:dyDescent="0.25">
      <c r="A541" s="2" t="s">
        <v>14</v>
      </c>
      <c r="B541" s="2">
        <v>2000</v>
      </c>
      <c r="C541" s="2">
        <v>3</v>
      </c>
      <c r="D541" s="2" t="s">
        <v>34</v>
      </c>
      <c r="E541" s="3">
        <v>44893</v>
      </c>
      <c r="F541" s="2" t="s">
        <v>165</v>
      </c>
      <c r="G541" s="2" t="s">
        <v>266</v>
      </c>
      <c r="H541" s="2" t="s">
        <v>49</v>
      </c>
      <c r="I541" s="4">
        <v>21774</v>
      </c>
    </row>
    <row r="542" spans="1:9" x14ac:dyDescent="0.25">
      <c r="A542" s="2" t="s">
        <v>5</v>
      </c>
      <c r="B542" s="2">
        <v>1750</v>
      </c>
      <c r="C542" s="2">
        <v>1</v>
      </c>
      <c r="D542" s="2" t="s">
        <v>29</v>
      </c>
      <c r="E542" s="3">
        <v>44596</v>
      </c>
      <c r="F542" s="2" t="s">
        <v>144</v>
      </c>
      <c r="G542" s="2" t="s">
        <v>145</v>
      </c>
      <c r="H542" s="2" t="s">
        <v>49</v>
      </c>
      <c r="I542" s="4">
        <v>27944</v>
      </c>
    </row>
    <row r="543" spans="1:9" x14ac:dyDescent="0.25">
      <c r="A543" s="2" t="s">
        <v>25</v>
      </c>
      <c r="B543" s="2">
        <v>2500</v>
      </c>
      <c r="C543" s="2">
        <v>5</v>
      </c>
      <c r="D543" s="2" t="s">
        <v>39</v>
      </c>
      <c r="E543" s="3">
        <v>44615</v>
      </c>
      <c r="F543" s="2" t="s">
        <v>187</v>
      </c>
      <c r="G543" s="2" t="s">
        <v>156</v>
      </c>
      <c r="H543" s="2" t="s">
        <v>49</v>
      </c>
      <c r="I543" s="4">
        <v>21926</v>
      </c>
    </row>
    <row r="544" spans="1:9" x14ac:dyDescent="0.25">
      <c r="A544" s="2" t="s">
        <v>22</v>
      </c>
      <c r="B544" s="2">
        <v>5200</v>
      </c>
      <c r="C544" s="2">
        <v>4</v>
      </c>
      <c r="D544" s="2" t="s">
        <v>37</v>
      </c>
      <c r="E544" s="3">
        <v>44664</v>
      </c>
      <c r="F544" s="2" t="s">
        <v>109</v>
      </c>
      <c r="G544" s="2" t="s">
        <v>567</v>
      </c>
      <c r="H544" s="2" t="s">
        <v>44</v>
      </c>
      <c r="I544" s="4">
        <v>30062</v>
      </c>
    </row>
    <row r="545" spans="1:9" x14ac:dyDescent="0.25">
      <c r="A545" s="2" t="s">
        <v>25</v>
      </c>
      <c r="B545" s="2">
        <v>2500</v>
      </c>
      <c r="C545" s="2">
        <v>1</v>
      </c>
      <c r="D545" s="2" t="s">
        <v>29</v>
      </c>
      <c r="E545" s="3">
        <v>44714</v>
      </c>
      <c r="F545" s="2" t="s">
        <v>256</v>
      </c>
      <c r="G545" s="2" t="s">
        <v>292</v>
      </c>
      <c r="H545" s="2" t="s">
        <v>44</v>
      </c>
      <c r="I545" s="4">
        <v>25098</v>
      </c>
    </row>
    <row r="546" spans="1:9" x14ac:dyDescent="0.25">
      <c r="A546" s="2" t="s">
        <v>15</v>
      </c>
      <c r="B546" s="2">
        <v>1900</v>
      </c>
      <c r="C546" s="2">
        <v>4</v>
      </c>
      <c r="D546" s="2" t="s">
        <v>36</v>
      </c>
      <c r="E546" s="3">
        <v>44810</v>
      </c>
      <c r="F546" s="2" t="s">
        <v>239</v>
      </c>
      <c r="G546" s="2" t="s">
        <v>157</v>
      </c>
      <c r="H546" s="2" t="s">
        <v>49</v>
      </c>
      <c r="I546" s="4">
        <v>28094</v>
      </c>
    </row>
    <row r="547" spans="1:9" x14ac:dyDescent="0.25">
      <c r="A547" s="2" t="s">
        <v>19</v>
      </c>
      <c r="B547" s="2">
        <v>700</v>
      </c>
      <c r="C547" s="2">
        <v>4</v>
      </c>
      <c r="D547" s="2" t="s">
        <v>40</v>
      </c>
      <c r="E547" s="3">
        <v>44877</v>
      </c>
      <c r="F547" s="2" t="s">
        <v>328</v>
      </c>
      <c r="G547" s="2" t="s">
        <v>200</v>
      </c>
      <c r="H547" s="2" t="s">
        <v>49</v>
      </c>
      <c r="I547" s="4">
        <v>33025</v>
      </c>
    </row>
    <row r="548" spans="1:9" x14ac:dyDescent="0.25">
      <c r="A548" s="2" t="s">
        <v>7</v>
      </c>
      <c r="B548" s="2">
        <v>750</v>
      </c>
      <c r="C548" s="2">
        <v>4</v>
      </c>
      <c r="D548" s="2" t="s">
        <v>30</v>
      </c>
      <c r="E548" s="3">
        <v>44864</v>
      </c>
      <c r="F548" s="2" t="s">
        <v>556</v>
      </c>
      <c r="G548" s="2" t="s">
        <v>557</v>
      </c>
      <c r="H548" s="2" t="s">
        <v>44</v>
      </c>
      <c r="I548" s="4">
        <v>32595</v>
      </c>
    </row>
    <row r="549" spans="1:9" x14ac:dyDescent="0.25">
      <c r="A549" s="2" t="s">
        <v>26</v>
      </c>
      <c r="B549" s="2">
        <v>1100</v>
      </c>
      <c r="C549" s="2">
        <v>2</v>
      </c>
      <c r="D549" s="2" t="s">
        <v>35</v>
      </c>
      <c r="E549" s="3">
        <v>44866</v>
      </c>
      <c r="F549" s="2" t="s">
        <v>301</v>
      </c>
      <c r="G549" s="2" t="s">
        <v>360</v>
      </c>
      <c r="H549" s="2" t="s">
        <v>49</v>
      </c>
      <c r="I549" s="4">
        <v>34458</v>
      </c>
    </row>
    <row r="550" spans="1:9" x14ac:dyDescent="0.25">
      <c r="A550" s="2" t="s">
        <v>8</v>
      </c>
      <c r="B550" s="2">
        <v>5500</v>
      </c>
      <c r="C550" s="2">
        <v>1</v>
      </c>
      <c r="D550" s="2" t="s">
        <v>38</v>
      </c>
      <c r="E550" s="3">
        <v>44822</v>
      </c>
      <c r="F550" s="2" t="s">
        <v>552</v>
      </c>
      <c r="G550" s="2" t="s">
        <v>553</v>
      </c>
      <c r="H550" s="2" t="s">
        <v>49</v>
      </c>
      <c r="I550" s="4">
        <v>23179</v>
      </c>
    </row>
    <row r="551" spans="1:9" x14ac:dyDescent="0.25">
      <c r="A551" s="2" t="s">
        <v>24</v>
      </c>
      <c r="B551" s="2">
        <v>2000</v>
      </c>
      <c r="C551" s="2">
        <v>1</v>
      </c>
      <c r="D551" s="2" t="s">
        <v>41</v>
      </c>
      <c r="E551" s="3">
        <v>44785</v>
      </c>
      <c r="F551" s="2" t="s">
        <v>190</v>
      </c>
      <c r="G551" s="2" t="s">
        <v>545</v>
      </c>
      <c r="H551" s="2" t="s">
        <v>44</v>
      </c>
      <c r="I551" s="4">
        <v>20285</v>
      </c>
    </row>
    <row r="552" spans="1:9" x14ac:dyDescent="0.25">
      <c r="A552" s="2" t="s">
        <v>18</v>
      </c>
      <c r="B552" s="2">
        <v>3000</v>
      </c>
      <c r="C552" s="2">
        <v>1</v>
      </c>
      <c r="D552" s="2" t="s">
        <v>29</v>
      </c>
      <c r="E552" s="3">
        <v>44827</v>
      </c>
      <c r="F552" s="2" t="s">
        <v>402</v>
      </c>
      <c r="G552" s="2" t="s">
        <v>117</v>
      </c>
      <c r="H552" s="2" t="s">
        <v>49</v>
      </c>
      <c r="I552" s="4">
        <v>29273</v>
      </c>
    </row>
    <row r="553" spans="1:9" x14ac:dyDescent="0.25">
      <c r="A553" s="2" t="s">
        <v>5</v>
      </c>
      <c r="B553" s="2">
        <v>1750</v>
      </c>
      <c r="C553" s="2">
        <v>1</v>
      </c>
      <c r="D553" s="2" t="s">
        <v>38</v>
      </c>
      <c r="E553" s="3">
        <v>44760</v>
      </c>
      <c r="F553" s="2" t="s">
        <v>405</v>
      </c>
      <c r="G553" s="2" t="s">
        <v>406</v>
      </c>
      <c r="H553" s="2" t="s">
        <v>44</v>
      </c>
      <c r="I553" s="4">
        <v>25121</v>
      </c>
    </row>
    <row r="554" spans="1:9" x14ac:dyDescent="0.25">
      <c r="A554" s="2" t="s">
        <v>23</v>
      </c>
      <c r="B554" s="2">
        <v>1500</v>
      </c>
      <c r="C554" s="2">
        <v>5</v>
      </c>
      <c r="D554" s="2" t="s">
        <v>31</v>
      </c>
      <c r="E554" s="3">
        <v>44838</v>
      </c>
      <c r="F554" s="2" t="s">
        <v>270</v>
      </c>
      <c r="G554" s="2" t="s">
        <v>63</v>
      </c>
      <c r="H554" s="2" t="s">
        <v>44</v>
      </c>
      <c r="I554" s="4">
        <v>32206</v>
      </c>
    </row>
    <row r="555" spans="1:9" x14ac:dyDescent="0.25">
      <c r="A555" s="2" t="s">
        <v>23</v>
      </c>
      <c r="B555" s="2">
        <v>1500</v>
      </c>
      <c r="C555" s="2">
        <v>2</v>
      </c>
      <c r="D555" s="2" t="s">
        <v>40</v>
      </c>
      <c r="E555" s="3">
        <v>44786</v>
      </c>
      <c r="F555" s="2" t="s">
        <v>470</v>
      </c>
      <c r="G555" s="2" t="s">
        <v>83</v>
      </c>
      <c r="H555" s="2" t="s">
        <v>49</v>
      </c>
      <c r="I555" s="4">
        <v>26920</v>
      </c>
    </row>
    <row r="556" spans="1:9" x14ac:dyDescent="0.25">
      <c r="A556" s="2" t="s">
        <v>20</v>
      </c>
      <c r="B556" s="2">
        <v>2600</v>
      </c>
      <c r="C556" s="2">
        <v>2</v>
      </c>
      <c r="D556" s="2" t="s">
        <v>32</v>
      </c>
      <c r="E556" s="3">
        <v>44745</v>
      </c>
      <c r="F556" s="2" t="s">
        <v>361</v>
      </c>
      <c r="G556" s="2" t="s">
        <v>362</v>
      </c>
      <c r="H556" s="2" t="s">
        <v>49</v>
      </c>
      <c r="I556" s="4">
        <v>19639</v>
      </c>
    </row>
    <row r="557" spans="1:9" x14ac:dyDescent="0.25">
      <c r="A557" s="2" t="s">
        <v>14</v>
      </c>
      <c r="B557" s="2">
        <v>2000</v>
      </c>
      <c r="C557" s="2">
        <v>2</v>
      </c>
      <c r="D557" s="2" t="s">
        <v>30</v>
      </c>
      <c r="E557" s="3">
        <v>44779</v>
      </c>
      <c r="F557" s="2" t="s">
        <v>277</v>
      </c>
      <c r="G557" s="2" t="s">
        <v>278</v>
      </c>
      <c r="H557" s="2" t="s">
        <v>49</v>
      </c>
      <c r="I557" s="4">
        <v>24915</v>
      </c>
    </row>
    <row r="558" spans="1:9" x14ac:dyDescent="0.25">
      <c r="A558" s="2" t="s">
        <v>10</v>
      </c>
      <c r="B558" s="2">
        <v>1450</v>
      </c>
      <c r="C558" s="2">
        <v>1</v>
      </c>
      <c r="D558" s="2" t="s">
        <v>32</v>
      </c>
      <c r="E558" s="3">
        <v>44825</v>
      </c>
      <c r="F558" s="2" t="s">
        <v>185</v>
      </c>
      <c r="G558" s="2" t="s">
        <v>186</v>
      </c>
      <c r="H558" s="2" t="s">
        <v>44</v>
      </c>
      <c r="I558" s="4">
        <v>21561</v>
      </c>
    </row>
    <row r="559" spans="1:9" x14ac:dyDescent="0.25">
      <c r="A559" s="2" t="s">
        <v>19</v>
      </c>
      <c r="B559" s="2">
        <v>700</v>
      </c>
      <c r="C559" s="2">
        <v>5</v>
      </c>
      <c r="D559" s="2" t="s">
        <v>29</v>
      </c>
      <c r="E559" s="3">
        <v>44647</v>
      </c>
      <c r="F559" s="2" t="s">
        <v>98</v>
      </c>
      <c r="G559" s="2" t="s">
        <v>81</v>
      </c>
      <c r="H559" s="2" t="s">
        <v>44</v>
      </c>
      <c r="I559" s="4">
        <v>30937</v>
      </c>
    </row>
    <row r="560" spans="1:9" x14ac:dyDescent="0.25">
      <c r="A560" s="2" t="s">
        <v>5</v>
      </c>
      <c r="B560" s="2">
        <v>1750</v>
      </c>
      <c r="C560" s="2">
        <v>3</v>
      </c>
      <c r="D560" s="2" t="s">
        <v>37</v>
      </c>
      <c r="E560" s="3">
        <v>44585</v>
      </c>
      <c r="F560" s="2" t="s">
        <v>202</v>
      </c>
      <c r="G560" s="2" t="s">
        <v>203</v>
      </c>
      <c r="H560" s="2" t="s">
        <v>49</v>
      </c>
      <c r="I560" s="4">
        <v>30193</v>
      </c>
    </row>
    <row r="561" spans="1:9" x14ac:dyDescent="0.25">
      <c r="A561" s="2" t="s">
        <v>16</v>
      </c>
      <c r="B561" s="2">
        <v>1400</v>
      </c>
      <c r="C561" s="2">
        <v>3</v>
      </c>
      <c r="D561" s="2" t="s">
        <v>39</v>
      </c>
      <c r="E561" s="3">
        <v>44833</v>
      </c>
      <c r="F561" s="2" t="s">
        <v>587</v>
      </c>
      <c r="G561" s="2" t="s">
        <v>141</v>
      </c>
      <c r="H561" s="2" t="s">
        <v>49</v>
      </c>
      <c r="I561" s="4">
        <v>21878</v>
      </c>
    </row>
    <row r="562" spans="1:9" x14ac:dyDescent="0.25">
      <c r="A562" s="2" t="s">
        <v>21</v>
      </c>
      <c r="B562" s="2">
        <v>2400</v>
      </c>
      <c r="C562" s="2">
        <v>2</v>
      </c>
      <c r="D562" s="2" t="s">
        <v>30</v>
      </c>
      <c r="E562" s="3">
        <v>44922</v>
      </c>
      <c r="F562" s="2" t="s">
        <v>78</v>
      </c>
      <c r="G562" s="2" t="s">
        <v>549</v>
      </c>
      <c r="H562" s="2" t="s">
        <v>49</v>
      </c>
      <c r="I562" s="4">
        <v>29417</v>
      </c>
    </row>
    <row r="563" spans="1:9" x14ac:dyDescent="0.25">
      <c r="A563" s="2" t="s">
        <v>7</v>
      </c>
      <c r="B563" s="2">
        <v>750</v>
      </c>
      <c r="C563" s="2">
        <v>1</v>
      </c>
      <c r="D563" s="2" t="s">
        <v>35</v>
      </c>
      <c r="E563" s="3">
        <v>44905</v>
      </c>
      <c r="F563" s="2" t="s">
        <v>239</v>
      </c>
      <c r="G563" s="2" t="s">
        <v>561</v>
      </c>
      <c r="H563" s="2" t="s">
        <v>49</v>
      </c>
      <c r="I563" s="4">
        <v>36390</v>
      </c>
    </row>
    <row r="564" spans="1:9" x14ac:dyDescent="0.25">
      <c r="A564" s="2" t="s">
        <v>21</v>
      </c>
      <c r="B564" s="2">
        <v>2400</v>
      </c>
      <c r="C564" s="2">
        <v>3</v>
      </c>
      <c r="D564" s="2" t="s">
        <v>31</v>
      </c>
      <c r="E564" s="3">
        <v>44769</v>
      </c>
      <c r="F564" s="2" t="s">
        <v>343</v>
      </c>
      <c r="G564" s="2" t="s">
        <v>519</v>
      </c>
      <c r="H564" s="2" t="s">
        <v>49</v>
      </c>
      <c r="I564" s="4">
        <v>35727</v>
      </c>
    </row>
    <row r="565" spans="1:9" x14ac:dyDescent="0.25">
      <c r="A565" s="2" t="s">
        <v>8</v>
      </c>
      <c r="B565" s="2">
        <v>5500</v>
      </c>
      <c r="C565" s="2">
        <v>4</v>
      </c>
      <c r="D565" s="2" t="s">
        <v>35</v>
      </c>
      <c r="E565" s="3">
        <v>44764</v>
      </c>
      <c r="F565" s="2" t="s">
        <v>522</v>
      </c>
      <c r="G565" s="2" t="s">
        <v>152</v>
      </c>
      <c r="H565" s="2" t="s">
        <v>44</v>
      </c>
      <c r="I565" s="4">
        <v>31136</v>
      </c>
    </row>
    <row r="566" spans="1:9" x14ac:dyDescent="0.25">
      <c r="A566" s="2" t="s">
        <v>16</v>
      </c>
      <c r="B566" s="2">
        <v>1400</v>
      </c>
      <c r="C566" s="2">
        <v>3</v>
      </c>
      <c r="D566" s="2" t="s">
        <v>33</v>
      </c>
      <c r="E566" s="3">
        <v>44612</v>
      </c>
      <c r="F566" s="2" t="s">
        <v>42</v>
      </c>
      <c r="G566" s="2" t="s">
        <v>459</v>
      </c>
      <c r="H566" s="2" t="s">
        <v>44</v>
      </c>
      <c r="I566" s="4">
        <v>30122</v>
      </c>
    </row>
    <row r="567" spans="1:9" x14ac:dyDescent="0.25">
      <c r="A567" s="2" t="s">
        <v>27</v>
      </c>
      <c r="B567" s="2">
        <v>1500</v>
      </c>
      <c r="C567" s="2">
        <v>1</v>
      </c>
      <c r="D567" s="2" t="s">
        <v>30</v>
      </c>
      <c r="E567" s="3">
        <v>44751</v>
      </c>
      <c r="F567" s="2" t="s">
        <v>392</v>
      </c>
      <c r="G567" s="2" t="s">
        <v>472</v>
      </c>
      <c r="H567" s="2" t="s">
        <v>49</v>
      </c>
      <c r="I567" s="4">
        <v>35563</v>
      </c>
    </row>
    <row r="568" spans="1:9" x14ac:dyDescent="0.25">
      <c r="A568" s="2" t="s">
        <v>16</v>
      </c>
      <c r="B568" s="2">
        <v>1400</v>
      </c>
      <c r="C568" s="2">
        <v>2</v>
      </c>
      <c r="D568" s="2" t="s">
        <v>41</v>
      </c>
      <c r="E568" s="3">
        <v>44595</v>
      </c>
      <c r="F568" s="2" t="s">
        <v>225</v>
      </c>
      <c r="G568" s="2" t="s">
        <v>292</v>
      </c>
      <c r="H568" s="2" t="s">
        <v>44</v>
      </c>
      <c r="I568" s="4">
        <v>32316</v>
      </c>
    </row>
    <row r="569" spans="1:9" x14ac:dyDescent="0.25">
      <c r="A569" s="2" t="s">
        <v>28</v>
      </c>
      <c r="B569" s="2">
        <v>1400</v>
      </c>
      <c r="C569" s="2">
        <v>1</v>
      </c>
      <c r="D569" s="2" t="s">
        <v>40</v>
      </c>
      <c r="E569" s="3">
        <v>44872</v>
      </c>
      <c r="F569" s="2" t="s">
        <v>78</v>
      </c>
      <c r="G569" s="2" t="s">
        <v>152</v>
      </c>
      <c r="H569" s="2" t="s">
        <v>49</v>
      </c>
      <c r="I569" s="4">
        <v>29916</v>
      </c>
    </row>
    <row r="570" spans="1:9" x14ac:dyDescent="0.25">
      <c r="A570" s="2" t="s">
        <v>19</v>
      </c>
      <c r="B570" s="2">
        <v>700</v>
      </c>
      <c r="C570" s="2">
        <v>4</v>
      </c>
      <c r="D570" s="2" t="s">
        <v>39</v>
      </c>
      <c r="E570" s="3">
        <v>44870</v>
      </c>
      <c r="F570" s="2" t="s">
        <v>314</v>
      </c>
      <c r="G570" s="2" t="s">
        <v>315</v>
      </c>
      <c r="H570" s="2" t="s">
        <v>44</v>
      </c>
      <c r="I570" s="4">
        <v>31424</v>
      </c>
    </row>
    <row r="571" spans="1:9" x14ac:dyDescent="0.25">
      <c r="A571" s="2" t="s">
        <v>19</v>
      </c>
      <c r="B571" s="2">
        <v>700</v>
      </c>
      <c r="C571" s="2">
        <v>2</v>
      </c>
      <c r="D571" s="2" t="s">
        <v>39</v>
      </c>
      <c r="E571" s="3">
        <v>44808</v>
      </c>
      <c r="F571" s="2" t="s">
        <v>155</v>
      </c>
      <c r="G571" s="2" t="s">
        <v>220</v>
      </c>
      <c r="H571" s="2" t="s">
        <v>44</v>
      </c>
      <c r="I571" s="4">
        <v>23658</v>
      </c>
    </row>
    <row r="572" spans="1:9" x14ac:dyDescent="0.25">
      <c r="A572" s="2" t="s">
        <v>18</v>
      </c>
      <c r="B572" s="2">
        <v>3000</v>
      </c>
      <c r="C572" s="2">
        <v>5</v>
      </c>
      <c r="D572" s="2" t="s">
        <v>35</v>
      </c>
      <c r="E572" s="3">
        <v>44802</v>
      </c>
      <c r="F572" s="2" t="s">
        <v>214</v>
      </c>
      <c r="G572" s="2" t="s">
        <v>215</v>
      </c>
      <c r="H572" s="2" t="s">
        <v>49</v>
      </c>
      <c r="I572" s="4">
        <v>34667</v>
      </c>
    </row>
    <row r="573" spans="1:9" x14ac:dyDescent="0.25">
      <c r="A573" s="2" t="s">
        <v>6</v>
      </c>
      <c r="B573" s="2">
        <v>1200</v>
      </c>
      <c r="C573" s="2">
        <v>4</v>
      </c>
      <c r="D573" s="2" t="s">
        <v>30</v>
      </c>
      <c r="E573" s="3">
        <v>44727</v>
      </c>
      <c r="F573" s="2" t="s">
        <v>107</v>
      </c>
      <c r="G573" s="2" t="s">
        <v>63</v>
      </c>
      <c r="H573" s="2" t="s">
        <v>49</v>
      </c>
      <c r="I573" s="4">
        <v>29503</v>
      </c>
    </row>
    <row r="574" spans="1:9" x14ac:dyDescent="0.25">
      <c r="A574" s="2" t="s">
        <v>25</v>
      </c>
      <c r="B574" s="2">
        <v>2500</v>
      </c>
      <c r="C574" s="2">
        <v>5</v>
      </c>
      <c r="D574" s="2" t="s">
        <v>32</v>
      </c>
      <c r="E574" s="3">
        <v>44595</v>
      </c>
      <c r="F574" s="2" t="s">
        <v>80</v>
      </c>
      <c r="G574" s="2" t="s">
        <v>156</v>
      </c>
      <c r="H574" s="2" t="s">
        <v>44</v>
      </c>
      <c r="I574" s="4">
        <v>36180</v>
      </c>
    </row>
    <row r="575" spans="1:9" x14ac:dyDescent="0.25">
      <c r="A575" s="2" t="s">
        <v>19</v>
      </c>
      <c r="B575" s="2">
        <v>700</v>
      </c>
      <c r="C575" s="2">
        <v>2</v>
      </c>
      <c r="D575" s="2" t="s">
        <v>38</v>
      </c>
      <c r="E575" s="3">
        <v>44909</v>
      </c>
      <c r="F575" s="2" t="s">
        <v>470</v>
      </c>
      <c r="G575" s="2" t="s">
        <v>478</v>
      </c>
      <c r="H575" s="2" t="s">
        <v>49</v>
      </c>
      <c r="I575" s="4">
        <v>21532</v>
      </c>
    </row>
    <row r="576" spans="1:9" x14ac:dyDescent="0.25">
      <c r="A576" s="2" t="s">
        <v>22</v>
      </c>
      <c r="B576" s="2">
        <v>5200</v>
      </c>
      <c r="C576" s="2">
        <v>2</v>
      </c>
      <c r="D576" s="2" t="s">
        <v>34</v>
      </c>
      <c r="E576" s="3">
        <v>44574</v>
      </c>
      <c r="F576" s="2" t="s">
        <v>275</v>
      </c>
      <c r="G576" s="2" t="s">
        <v>276</v>
      </c>
      <c r="H576" s="2" t="s">
        <v>49</v>
      </c>
      <c r="I576" s="4">
        <v>21396</v>
      </c>
    </row>
    <row r="577" spans="1:9" x14ac:dyDescent="0.25">
      <c r="A577" s="2" t="s">
        <v>27</v>
      </c>
      <c r="B577" s="2">
        <v>1500</v>
      </c>
      <c r="C577" s="2">
        <v>1</v>
      </c>
      <c r="D577" s="2" t="s">
        <v>35</v>
      </c>
      <c r="E577" s="3">
        <v>44630</v>
      </c>
      <c r="F577" s="2" t="s">
        <v>402</v>
      </c>
      <c r="G577" s="2" t="s">
        <v>292</v>
      </c>
      <c r="H577" s="2" t="s">
        <v>49</v>
      </c>
      <c r="I577" s="4">
        <v>24715</v>
      </c>
    </row>
    <row r="578" spans="1:9" x14ac:dyDescent="0.25">
      <c r="A578" s="2" t="s">
        <v>18</v>
      </c>
      <c r="B578" s="2">
        <v>3000</v>
      </c>
      <c r="C578" s="2">
        <v>4</v>
      </c>
      <c r="D578" s="2" t="s">
        <v>38</v>
      </c>
      <c r="E578" s="3">
        <v>44603</v>
      </c>
      <c r="F578" s="2" t="s">
        <v>47</v>
      </c>
      <c r="G578" s="2" t="s">
        <v>320</v>
      </c>
      <c r="H578" s="2" t="s">
        <v>49</v>
      </c>
      <c r="I578" s="4">
        <v>31565</v>
      </c>
    </row>
    <row r="579" spans="1:9" x14ac:dyDescent="0.25">
      <c r="A579" s="2" t="s">
        <v>17</v>
      </c>
      <c r="B579" s="2">
        <v>1550</v>
      </c>
      <c r="C579" s="2">
        <v>2</v>
      </c>
      <c r="D579" s="2" t="s">
        <v>41</v>
      </c>
      <c r="E579" s="3">
        <v>44868</v>
      </c>
      <c r="F579" s="2" t="s">
        <v>438</v>
      </c>
      <c r="G579" s="2" t="s">
        <v>554</v>
      </c>
      <c r="H579" s="2" t="s">
        <v>49</v>
      </c>
      <c r="I579" s="4">
        <v>23805</v>
      </c>
    </row>
    <row r="580" spans="1:9" x14ac:dyDescent="0.25">
      <c r="A580" s="2" t="s">
        <v>9</v>
      </c>
      <c r="B580" s="2">
        <v>1500</v>
      </c>
      <c r="C580" s="2">
        <v>3</v>
      </c>
      <c r="D580" s="2" t="s">
        <v>32</v>
      </c>
      <c r="E580" s="3">
        <v>44735</v>
      </c>
      <c r="F580" s="2" t="s">
        <v>548</v>
      </c>
      <c r="G580" s="2" t="s">
        <v>203</v>
      </c>
      <c r="H580" s="2" t="s">
        <v>49</v>
      </c>
      <c r="I580" s="4">
        <v>24586</v>
      </c>
    </row>
    <row r="581" spans="1:9" x14ac:dyDescent="0.25">
      <c r="A581" s="2" t="s">
        <v>25</v>
      </c>
      <c r="B581" s="2">
        <v>2500</v>
      </c>
      <c r="C581" s="2">
        <v>3</v>
      </c>
      <c r="D581" s="2" t="s">
        <v>35</v>
      </c>
      <c r="E581" s="3">
        <v>44708</v>
      </c>
      <c r="F581" s="2" t="s">
        <v>109</v>
      </c>
      <c r="G581" s="2" t="s">
        <v>287</v>
      </c>
      <c r="H581" s="2" t="s">
        <v>44</v>
      </c>
      <c r="I581" s="4">
        <v>25203</v>
      </c>
    </row>
    <row r="582" spans="1:9" x14ac:dyDescent="0.25">
      <c r="A582" s="2" t="s">
        <v>19</v>
      </c>
      <c r="B582" s="2">
        <v>700</v>
      </c>
      <c r="C582" s="2">
        <v>1</v>
      </c>
      <c r="D582" s="2" t="s">
        <v>34</v>
      </c>
      <c r="E582" s="3">
        <v>44634</v>
      </c>
      <c r="F582" s="2" t="s">
        <v>439</v>
      </c>
      <c r="G582" s="2" t="s">
        <v>484</v>
      </c>
      <c r="H582" s="2" t="s">
        <v>44</v>
      </c>
      <c r="I582" s="4">
        <v>22560</v>
      </c>
    </row>
    <row r="583" spans="1:9" x14ac:dyDescent="0.25">
      <c r="A583" s="2" t="s">
        <v>15</v>
      </c>
      <c r="B583" s="2">
        <v>1900</v>
      </c>
      <c r="C583" s="2">
        <v>1</v>
      </c>
      <c r="D583" s="2" t="s">
        <v>30</v>
      </c>
      <c r="E583" s="3">
        <v>44820</v>
      </c>
      <c r="F583" s="2" t="s">
        <v>153</v>
      </c>
      <c r="G583" s="2" t="s">
        <v>319</v>
      </c>
      <c r="H583" s="2" t="s">
        <v>44</v>
      </c>
      <c r="I583" s="4">
        <v>34274</v>
      </c>
    </row>
    <row r="584" spans="1:9" x14ac:dyDescent="0.25">
      <c r="A584" s="2" t="s">
        <v>16</v>
      </c>
      <c r="B584" s="2">
        <v>1400</v>
      </c>
      <c r="C584" s="2">
        <v>1</v>
      </c>
      <c r="D584" s="2" t="s">
        <v>35</v>
      </c>
      <c r="E584" s="3">
        <v>44680</v>
      </c>
      <c r="F584" s="2" t="s">
        <v>401</v>
      </c>
      <c r="G584" s="2" t="s">
        <v>213</v>
      </c>
      <c r="H584" s="2" t="s">
        <v>49</v>
      </c>
      <c r="I584" s="4">
        <v>25507</v>
      </c>
    </row>
    <row r="585" spans="1:9" x14ac:dyDescent="0.25">
      <c r="A585" s="2" t="s">
        <v>13</v>
      </c>
      <c r="B585" s="2">
        <v>2300</v>
      </c>
      <c r="C585" s="2">
        <v>4</v>
      </c>
      <c r="D585" s="2" t="s">
        <v>39</v>
      </c>
      <c r="E585" s="3">
        <v>44680</v>
      </c>
      <c r="F585" s="2" t="s">
        <v>87</v>
      </c>
      <c r="G585" s="2" t="s">
        <v>81</v>
      </c>
      <c r="H585" s="2" t="s">
        <v>44</v>
      </c>
      <c r="I585" s="4">
        <v>31569</v>
      </c>
    </row>
    <row r="586" spans="1:9" x14ac:dyDescent="0.25">
      <c r="A586" s="2" t="s">
        <v>22</v>
      </c>
      <c r="B586" s="2">
        <v>5200</v>
      </c>
      <c r="C586" s="2">
        <v>4</v>
      </c>
      <c r="D586" s="2" t="s">
        <v>41</v>
      </c>
      <c r="E586" s="3">
        <v>44583</v>
      </c>
      <c r="F586" s="2" t="s">
        <v>618</v>
      </c>
      <c r="G586" s="2" t="s">
        <v>611</v>
      </c>
      <c r="H586" s="2" t="s">
        <v>49</v>
      </c>
      <c r="I586" s="4">
        <v>36123</v>
      </c>
    </row>
    <row r="587" spans="1:9" x14ac:dyDescent="0.25">
      <c r="A587" s="2" t="s">
        <v>26</v>
      </c>
      <c r="B587" s="2">
        <v>1100</v>
      </c>
      <c r="C587" s="2">
        <v>5</v>
      </c>
      <c r="D587" s="2" t="s">
        <v>31</v>
      </c>
      <c r="E587" s="3">
        <v>44909</v>
      </c>
      <c r="F587" s="2" t="s">
        <v>405</v>
      </c>
      <c r="G587" s="2" t="s">
        <v>451</v>
      </c>
      <c r="H587" s="2" t="s">
        <v>44</v>
      </c>
      <c r="I587" s="4">
        <v>22469</v>
      </c>
    </row>
    <row r="588" spans="1:9" x14ac:dyDescent="0.25">
      <c r="A588" s="2" t="s">
        <v>21</v>
      </c>
      <c r="B588" s="2">
        <v>2400</v>
      </c>
      <c r="C588" s="2">
        <v>1</v>
      </c>
      <c r="D588" s="2" t="s">
        <v>29</v>
      </c>
      <c r="E588" s="3">
        <v>44732</v>
      </c>
      <c r="F588" s="2" t="s">
        <v>301</v>
      </c>
      <c r="G588" s="2" t="s">
        <v>478</v>
      </c>
      <c r="H588" s="2" t="s">
        <v>49</v>
      </c>
      <c r="I588" s="4">
        <v>19987</v>
      </c>
    </row>
    <row r="589" spans="1:9" x14ac:dyDescent="0.25">
      <c r="A589" s="2" t="s">
        <v>18</v>
      </c>
      <c r="B589" s="2">
        <v>3000</v>
      </c>
      <c r="C589" s="2">
        <v>5</v>
      </c>
      <c r="D589" s="2" t="s">
        <v>41</v>
      </c>
      <c r="E589" s="3">
        <v>44857</v>
      </c>
      <c r="F589" s="2" t="s">
        <v>234</v>
      </c>
      <c r="G589" s="2" t="s">
        <v>229</v>
      </c>
      <c r="H589" s="2" t="s">
        <v>44</v>
      </c>
      <c r="I589" s="4">
        <v>23610</v>
      </c>
    </row>
    <row r="590" spans="1:9" x14ac:dyDescent="0.25">
      <c r="A590" s="2" t="s">
        <v>22</v>
      </c>
      <c r="B590" s="2">
        <v>5200</v>
      </c>
      <c r="C590" s="2">
        <v>5</v>
      </c>
      <c r="D590" s="2" t="s">
        <v>36</v>
      </c>
      <c r="E590" s="3">
        <v>44735</v>
      </c>
      <c r="F590" s="2" t="s">
        <v>259</v>
      </c>
      <c r="G590" s="2" t="s">
        <v>584</v>
      </c>
      <c r="H590" s="2" t="s">
        <v>49</v>
      </c>
      <c r="I590" s="4">
        <v>22500</v>
      </c>
    </row>
    <row r="591" spans="1:9" x14ac:dyDescent="0.25">
      <c r="A591" s="2" t="s">
        <v>17</v>
      </c>
      <c r="B591" s="2">
        <v>1550</v>
      </c>
      <c r="C591" s="2">
        <v>5</v>
      </c>
      <c r="D591" s="2" t="s">
        <v>36</v>
      </c>
      <c r="E591" s="3">
        <v>44790</v>
      </c>
      <c r="F591" s="2" t="s">
        <v>175</v>
      </c>
      <c r="G591" s="2" t="s">
        <v>176</v>
      </c>
      <c r="H591" s="2" t="s">
        <v>49</v>
      </c>
      <c r="I591" s="4">
        <v>28801</v>
      </c>
    </row>
    <row r="592" spans="1:9" x14ac:dyDescent="0.25">
      <c r="A592" s="2" t="s">
        <v>26</v>
      </c>
      <c r="B592" s="2">
        <v>1100</v>
      </c>
      <c r="C592" s="2">
        <v>3</v>
      </c>
      <c r="D592" s="2" t="s">
        <v>33</v>
      </c>
      <c r="E592" s="3">
        <v>44705</v>
      </c>
      <c r="F592" s="2" t="s">
        <v>87</v>
      </c>
      <c r="G592" s="2" t="s">
        <v>160</v>
      </c>
      <c r="H592" s="2" t="s">
        <v>44</v>
      </c>
      <c r="I592" s="4">
        <v>28196</v>
      </c>
    </row>
    <row r="593" spans="1:9" x14ac:dyDescent="0.25">
      <c r="A593" s="2" t="s">
        <v>7</v>
      </c>
      <c r="B593" s="2">
        <v>750</v>
      </c>
      <c r="C593" s="2">
        <v>1</v>
      </c>
      <c r="D593" s="2" t="s">
        <v>33</v>
      </c>
      <c r="E593" s="3">
        <v>44618</v>
      </c>
      <c r="F593" s="2" t="s">
        <v>365</v>
      </c>
      <c r="G593" s="2" t="s">
        <v>366</v>
      </c>
      <c r="H593" s="2" t="s">
        <v>49</v>
      </c>
      <c r="I593" s="4">
        <v>29401</v>
      </c>
    </row>
    <row r="594" spans="1:9" x14ac:dyDescent="0.25">
      <c r="A594" s="2" t="s">
        <v>5</v>
      </c>
      <c r="B594" s="2">
        <v>1750</v>
      </c>
      <c r="C594" s="2">
        <v>3</v>
      </c>
      <c r="D594" s="2" t="s">
        <v>36</v>
      </c>
      <c r="E594" s="3">
        <v>44865</v>
      </c>
      <c r="F594" s="2" t="s">
        <v>408</v>
      </c>
      <c r="G594" s="2" t="s">
        <v>55</v>
      </c>
      <c r="H594" s="2" t="s">
        <v>49</v>
      </c>
      <c r="I594" s="4">
        <v>22393</v>
      </c>
    </row>
    <row r="595" spans="1:9" x14ac:dyDescent="0.25">
      <c r="A595" s="2" t="s">
        <v>21</v>
      </c>
      <c r="B595" s="2">
        <v>2400</v>
      </c>
      <c r="C595" s="2">
        <v>1</v>
      </c>
      <c r="D595" s="2" t="s">
        <v>33</v>
      </c>
      <c r="E595" s="3">
        <v>44751</v>
      </c>
      <c r="F595" s="2" t="s">
        <v>109</v>
      </c>
      <c r="G595" s="2" t="s">
        <v>182</v>
      </c>
      <c r="H595" s="2" t="s">
        <v>44</v>
      </c>
      <c r="I595" s="4">
        <v>30803</v>
      </c>
    </row>
    <row r="596" spans="1:9" x14ac:dyDescent="0.25">
      <c r="A596" s="2" t="s">
        <v>17</v>
      </c>
      <c r="B596" s="2">
        <v>1550</v>
      </c>
      <c r="C596" s="2">
        <v>4</v>
      </c>
      <c r="D596" s="2" t="s">
        <v>35</v>
      </c>
      <c r="E596" s="3">
        <v>44828</v>
      </c>
      <c r="F596" s="2" t="s">
        <v>365</v>
      </c>
      <c r="G596" s="2" t="s">
        <v>81</v>
      </c>
      <c r="H596" s="2" t="s">
        <v>49</v>
      </c>
      <c r="I596" s="4">
        <v>33078</v>
      </c>
    </row>
    <row r="597" spans="1:9" x14ac:dyDescent="0.25">
      <c r="A597" s="2" t="s">
        <v>24</v>
      </c>
      <c r="B597" s="2">
        <v>2000</v>
      </c>
      <c r="C597" s="2">
        <v>1</v>
      </c>
      <c r="D597" s="2" t="s">
        <v>31</v>
      </c>
      <c r="E597" s="3">
        <v>44830</v>
      </c>
      <c r="F597" s="2" t="s">
        <v>155</v>
      </c>
      <c r="G597" s="2" t="s">
        <v>55</v>
      </c>
      <c r="H597" s="2" t="s">
        <v>44</v>
      </c>
      <c r="I597" s="4">
        <v>31729</v>
      </c>
    </row>
    <row r="598" spans="1:9" x14ac:dyDescent="0.25">
      <c r="A598" s="2" t="s">
        <v>6</v>
      </c>
      <c r="B598" s="2">
        <v>1200</v>
      </c>
      <c r="C598" s="2">
        <v>1</v>
      </c>
      <c r="D598" s="2" t="s">
        <v>29</v>
      </c>
      <c r="E598" s="3">
        <v>44904</v>
      </c>
      <c r="F598" s="2" t="s">
        <v>124</v>
      </c>
      <c r="G598" s="2" t="s">
        <v>574</v>
      </c>
      <c r="H598" s="2" t="s">
        <v>44</v>
      </c>
      <c r="I598" s="4">
        <v>28058</v>
      </c>
    </row>
    <row r="599" spans="1:9" x14ac:dyDescent="0.25">
      <c r="A599" s="2" t="s">
        <v>20</v>
      </c>
      <c r="B599" s="2">
        <v>2600</v>
      </c>
      <c r="C599" s="2">
        <v>1</v>
      </c>
      <c r="D599" s="2" t="s">
        <v>38</v>
      </c>
      <c r="E599" s="3">
        <v>44818</v>
      </c>
      <c r="F599" s="2" t="s">
        <v>177</v>
      </c>
      <c r="G599" s="2" t="s">
        <v>178</v>
      </c>
      <c r="H599" s="2" t="s">
        <v>49</v>
      </c>
      <c r="I599" s="4">
        <v>33080</v>
      </c>
    </row>
    <row r="600" spans="1:9" x14ac:dyDescent="0.25">
      <c r="A600" s="2" t="s">
        <v>7</v>
      </c>
      <c r="B600" s="2">
        <v>750</v>
      </c>
      <c r="C600" s="2">
        <v>5</v>
      </c>
      <c r="D600" s="2" t="s">
        <v>36</v>
      </c>
      <c r="E600" s="3">
        <v>44787</v>
      </c>
      <c r="F600" s="2" t="s">
        <v>233</v>
      </c>
      <c r="G600" s="2" t="s">
        <v>63</v>
      </c>
      <c r="H600" s="2" t="s">
        <v>49</v>
      </c>
      <c r="I600" s="4">
        <v>31797</v>
      </c>
    </row>
    <row r="601" spans="1:9" x14ac:dyDescent="0.25">
      <c r="A601" s="2" t="s">
        <v>18</v>
      </c>
      <c r="B601" s="2">
        <v>3000</v>
      </c>
      <c r="C601" s="2">
        <v>4</v>
      </c>
      <c r="D601" s="2" t="s">
        <v>31</v>
      </c>
      <c r="E601" s="3">
        <v>44589</v>
      </c>
      <c r="F601" s="2" t="s">
        <v>279</v>
      </c>
      <c r="G601" s="2" t="s">
        <v>231</v>
      </c>
      <c r="H601" s="2" t="s">
        <v>44</v>
      </c>
      <c r="I601" s="4">
        <v>27511</v>
      </c>
    </row>
    <row r="602" spans="1:9" x14ac:dyDescent="0.25">
      <c r="A602" s="2" t="s">
        <v>28</v>
      </c>
      <c r="B602" s="2">
        <v>1400</v>
      </c>
      <c r="C602" s="2">
        <v>5</v>
      </c>
      <c r="D602" s="2" t="s">
        <v>30</v>
      </c>
      <c r="E602" s="3">
        <v>44671</v>
      </c>
      <c r="F602" s="2" t="s">
        <v>120</v>
      </c>
      <c r="G602" s="2" t="s">
        <v>549</v>
      </c>
      <c r="H602" s="2" t="s">
        <v>44</v>
      </c>
      <c r="I602" s="4">
        <v>21751</v>
      </c>
    </row>
    <row r="603" spans="1:9" x14ac:dyDescent="0.25">
      <c r="A603" s="2" t="s">
        <v>15</v>
      </c>
      <c r="B603" s="2">
        <v>1900</v>
      </c>
      <c r="C603" s="2">
        <v>5</v>
      </c>
      <c r="D603" s="2" t="s">
        <v>40</v>
      </c>
      <c r="E603" s="3">
        <v>44691</v>
      </c>
      <c r="F603" s="2" t="s">
        <v>70</v>
      </c>
      <c r="G603" s="2" t="s">
        <v>499</v>
      </c>
      <c r="H603" s="2" t="s">
        <v>44</v>
      </c>
      <c r="I603" s="4">
        <v>25006</v>
      </c>
    </row>
    <row r="604" spans="1:9" x14ac:dyDescent="0.25">
      <c r="A604" s="2" t="s">
        <v>28</v>
      </c>
      <c r="B604" s="2">
        <v>1400</v>
      </c>
      <c r="C604" s="2">
        <v>4</v>
      </c>
      <c r="D604" s="2" t="s">
        <v>38</v>
      </c>
      <c r="E604" s="3">
        <v>44657</v>
      </c>
      <c r="F604" s="2" t="s">
        <v>235</v>
      </c>
      <c r="G604" s="2" t="s">
        <v>57</v>
      </c>
      <c r="H604" s="2" t="s">
        <v>44</v>
      </c>
      <c r="I604" s="4">
        <v>26823</v>
      </c>
    </row>
    <row r="605" spans="1:9" x14ac:dyDescent="0.25">
      <c r="A605" s="2" t="s">
        <v>26</v>
      </c>
      <c r="B605" s="2">
        <v>1100</v>
      </c>
      <c r="C605" s="2">
        <v>5</v>
      </c>
      <c r="D605" s="2" t="s">
        <v>40</v>
      </c>
      <c r="E605" s="3">
        <v>44837</v>
      </c>
      <c r="F605" s="2" t="s">
        <v>293</v>
      </c>
      <c r="G605" s="2" t="s">
        <v>63</v>
      </c>
      <c r="H605" s="2" t="s">
        <v>49</v>
      </c>
      <c r="I605" s="4">
        <v>36322</v>
      </c>
    </row>
    <row r="606" spans="1:9" x14ac:dyDescent="0.25">
      <c r="A606" s="2" t="s">
        <v>14</v>
      </c>
      <c r="B606" s="2">
        <v>2000</v>
      </c>
      <c r="C606" s="2">
        <v>5</v>
      </c>
      <c r="D606" s="2" t="s">
        <v>34</v>
      </c>
      <c r="E606" s="3">
        <v>44757</v>
      </c>
      <c r="F606" s="2" t="s">
        <v>439</v>
      </c>
      <c r="G606" s="2" t="s">
        <v>89</v>
      </c>
      <c r="H606" s="2" t="s">
        <v>44</v>
      </c>
      <c r="I606" s="4">
        <v>20248</v>
      </c>
    </row>
    <row r="607" spans="1:9" x14ac:dyDescent="0.25">
      <c r="A607" s="2" t="s">
        <v>21</v>
      </c>
      <c r="B607" s="2">
        <v>2400</v>
      </c>
      <c r="C607" s="2">
        <v>5</v>
      </c>
      <c r="D607" s="2" t="s">
        <v>39</v>
      </c>
      <c r="E607" s="3">
        <v>44689</v>
      </c>
      <c r="F607" s="2" t="s">
        <v>318</v>
      </c>
      <c r="G607" s="2" t="s">
        <v>395</v>
      </c>
      <c r="H607" s="2" t="s">
        <v>44</v>
      </c>
      <c r="I607" s="4">
        <v>32659</v>
      </c>
    </row>
    <row r="608" spans="1:9" x14ac:dyDescent="0.25">
      <c r="A608" s="2" t="s">
        <v>28</v>
      </c>
      <c r="B608" s="2">
        <v>1400</v>
      </c>
      <c r="C608" s="2">
        <v>1</v>
      </c>
      <c r="D608" s="2" t="s">
        <v>29</v>
      </c>
      <c r="E608" s="3">
        <v>44751</v>
      </c>
      <c r="F608" s="2" t="s">
        <v>196</v>
      </c>
      <c r="G608" s="2" t="s">
        <v>197</v>
      </c>
      <c r="H608" s="2" t="s">
        <v>44</v>
      </c>
      <c r="I608" s="4">
        <v>29458</v>
      </c>
    </row>
    <row r="609" spans="1:9" x14ac:dyDescent="0.25">
      <c r="A609" s="2" t="s">
        <v>22</v>
      </c>
      <c r="B609" s="2">
        <v>5200</v>
      </c>
      <c r="C609" s="2">
        <v>4</v>
      </c>
      <c r="D609" s="2" t="s">
        <v>30</v>
      </c>
      <c r="E609" s="3">
        <v>44601</v>
      </c>
      <c r="F609" s="2" t="s">
        <v>42</v>
      </c>
      <c r="G609" s="2" t="s">
        <v>67</v>
      </c>
      <c r="H609" s="2" t="s">
        <v>44</v>
      </c>
      <c r="I609" s="4">
        <v>21857</v>
      </c>
    </row>
    <row r="610" spans="1:9" x14ac:dyDescent="0.25">
      <c r="A610" s="2" t="s">
        <v>11</v>
      </c>
      <c r="B610" s="2">
        <v>4500</v>
      </c>
      <c r="C610" s="2">
        <v>1</v>
      </c>
      <c r="D610" s="2" t="s">
        <v>33</v>
      </c>
      <c r="E610" s="3">
        <v>44740</v>
      </c>
      <c r="F610" s="2" t="s">
        <v>116</v>
      </c>
      <c r="G610" s="2" t="s">
        <v>117</v>
      </c>
      <c r="H610" s="2" t="s">
        <v>44</v>
      </c>
      <c r="I610" s="4">
        <v>27681</v>
      </c>
    </row>
    <row r="611" spans="1:9" x14ac:dyDescent="0.25">
      <c r="A611" s="2" t="s">
        <v>13</v>
      </c>
      <c r="B611" s="2">
        <v>2300</v>
      </c>
      <c r="C611" s="2">
        <v>2</v>
      </c>
      <c r="D611" s="2" t="s">
        <v>41</v>
      </c>
      <c r="E611" s="3">
        <v>44761</v>
      </c>
      <c r="F611" s="2" t="s">
        <v>385</v>
      </c>
      <c r="G611" s="2" t="s">
        <v>386</v>
      </c>
      <c r="H611" s="2" t="s">
        <v>44</v>
      </c>
      <c r="I611" s="4">
        <v>32940</v>
      </c>
    </row>
    <row r="612" spans="1:9" x14ac:dyDescent="0.25">
      <c r="A612" s="2" t="s">
        <v>23</v>
      </c>
      <c r="B612" s="2">
        <v>1500</v>
      </c>
      <c r="C612" s="2">
        <v>4</v>
      </c>
      <c r="D612" s="2" t="s">
        <v>40</v>
      </c>
      <c r="E612" s="3">
        <v>44869</v>
      </c>
      <c r="F612" s="2" t="s">
        <v>107</v>
      </c>
      <c r="G612" s="2" t="s">
        <v>108</v>
      </c>
      <c r="H612" s="2" t="s">
        <v>49</v>
      </c>
      <c r="I612" s="4">
        <v>32775</v>
      </c>
    </row>
    <row r="613" spans="1:9" x14ac:dyDescent="0.25">
      <c r="A613" s="2" t="s">
        <v>17</v>
      </c>
      <c r="B613" s="2">
        <v>1550</v>
      </c>
      <c r="C613" s="2">
        <v>4</v>
      </c>
      <c r="D613" s="2" t="s">
        <v>39</v>
      </c>
      <c r="E613" s="3">
        <v>44590</v>
      </c>
      <c r="F613" s="2" t="s">
        <v>137</v>
      </c>
      <c r="G613" s="2" t="s">
        <v>360</v>
      </c>
      <c r="H613" s="2" t="s">
        <v>49</v>
      </c>
      <c r="I613" s="4">
        <v>34218</v>
      </c>
    </row>
    <row r="614" spans="1:9" x14ac:dyDescent="0.25">
      <c r="A614" s="2" t="s">
        <v>24</v>
      </c>
      <c r="B614" s="2">
        <v>2000</v>
      </c>
      <c r="C614" s="2">
        <v>3</v>
      </c>
      <c r="D614" s="2" t="s">
        <v>40</v>
      </c>
      <c r="E614" s="3">
        <v>44828</v>
      </c>
      <c r="F614" s="2" t="s">
        <v>551</v>
      </c>
      <c r="G614" s="2" t="s">
        <v>526</v>
      </c>
      <c r="H614" s="2" t="s">
        <v>44</v>
      </c>
      <c r="I614" s="4">
        <v>34549</v>
      </c>
    </row>
    <row r="615" spans="1:9" x14ac:dyDescent="0.25">
      <c r="A615" s="2" t="s">
        <v>6</v>
      </c>
      <c r="B615" s="2">
        <v>1200</v>
      </c>
      <c r="C615" s="2">
        <v>2</v>
      </c>
      <c r="D615" s="2" t="s">
        <v>31</v>
      </c>
      <c r="E615" s="3">
        <v>44626</v>
      </c>
      <c r="F615" s="2" t="s">
        <v>173</v>
      </c>
      <c r="G615" s="2" t="s">
        <v>99</v>
      </c>
      <c r="H615" s="2" t="s">
        <v>44</v>
      </c>
      <c r="I615" s="4">
        <v>19280</v>
      </c>
    </row>
    <row r="616" spans="1:9" x14ac:dyDescent="0.25">
      <c r="A616" s="2" t="s">
        <v>14</v>
      </c>
      <c r="B616" s="2">
        <v>2000</v>
      </c>
      <c r="C616" s="2">
        <v>5</v>
      </c>
      <c r="D616" s="2" t="s">
        <v>30</v>
      </c>
      <c r="E616" s="3">
        <v>44836</v>
      </c>
      <c r="F616" s="2" t="s">
        <v>87</v>
      </c>
      <c r="G616" s="2" t="s">
        <v>171</v>
      </c>
      <c r="H616" s="2" t="s">
        <v>44</v>
      </c>
      <c r="I616" s="4">
        <v>28244</v>
      </c>
    </row>
    <row r="617" spans="1:9" x14ac:dyDescent="0.25">
      <c r="A617" s="2" t="s">
        <v>19</v>
      </c>
      <c r="B617" s="2">
        <v>700</v>
      </c>
      <c r="C617" s="2">
        <v>1</v>
      </c>
      <c r="D617" s="2" t="s">
        <v>32</v>
      </c>
      <c r="E617" s="3">
        <v>44829</v>
      </c>
      <c r="F617" s="2" t="s">
        <v>256</v>
      </c>
      <c r="G617" s="2" t="s">
        <v>262</v>
      </c>
      <c r="H617" s="2" t="s">
        <v>44</v>
      </c>
      <c r="I617" s="4">
        <v>18583</v>
      </c>
    </row>
    <row r="618" spans="1:9" x14ac:dyDescent="0.25">
      <c r="A618" s="2" t="s">
        <v>22</v>
      </c>
      <c r="B618" s="2">
        <v>5200</v>
      </c>
      <c r="C618" s="2">
        <v>3</v>
      </c>
      <c r="D618" s="2" t="s">
        <v>31</v>
      </c>
      <c r="E618" s="3">
        <v>44630</v>
      </c>
      <c r="F618" s="2" t="s">
        <v>239</v>
      </c>
      <c r="G618" s="2" t="s">
        <v>501</v>
      </c>
      <c r="H618" s="2" t="s">
        <v>49</v>
      </c>
      <c r="I618" s="4">
        <v>20916</v>
      </c>
    </row>
    <row r="619" spans="1:9" x14ac:dyDescent="0.25">
      <c r="A619" s="2" t="s">
        <v>22</v>
      </c>
      <c r="B619" s="2">
        <v>5200</v>
      </c>
      <c r="C619" s="2">
        <v>4</v>
      </c>
      <c r="D619" s="2" t="s">
        <v>40</v>
      </c>
      <c r="E619" s="3">
        <v>44830</v>
      </c>
      <c r="F619" s="2" t="s">
        <v>78</v>
      </c>
      <c r="G619" s="2" t="s">
        <v>294</v>
      </c>
      <c r="H619" s="2" t="s">
        <v>49</v>
      </c>
      <c r="I619" s="4">
        <v>30553</v>
      </c>
    </row>
    <row r="620" spans="1:9" x14ac:dyDescent="0.25">
      <c r="A620" s="2" t="s">
        <v>25</v>
      </c>
      <c r="B620" s="2">
        <v>2500</v>
      </c>
      <c r="C620" s="2">
        <v>3</v>
      </c>
      <c r="D620" s="2" t="s">
        <v>31</v>
      </c>
      <c r="E620" s="3">
        <v>44898</v>
      </c>
      <c r="F620" s="2" t="s">
        <v>399</v>
      </c>
      <c r="G620" s="2" t="s">
        <v>128</v>
      </c>
      <c r="H620" s="2" t="s">
        <v>44</v>
      </c>
      <c r="I620" s="4">
        <v>34836</v>
      </c>
    </row>
    <row r="621" spans="1:9" x14ac:dyDescent="0.25">
      <c r="A621" s="2" t="s">
        <v>12</v>
      </c>
      <c r="B621" s="2">
        <v>6500</v>
      </c>
      <c r="C621" s="2">
        <v>5</v>
      </c>
      <c r="D621" s="2" t="s">
        <v>31</v>
      </c>
      <c r="E621" s="3">
        <v>44674</v>
      </c>
      <c r="F621" s="2" t="s">
        <v>78</v>
      </c>
      <c r="G621" s="2" t="s">
        <v>504</v>
      </c>
      <c r="H621" s="2" t="s">
        <v>49</v>
      </c>
      <c r="I621" s="4">
        <v>29762</v>
      </c>
    </row>
    <row r="622" spans="1:9" x14ac:dyDescent="0.25">
      <c r="A622" s="2" t="s">
        <v>15</v>
      </c>
      <c r="B622" s="2">
        <v>1900</v>
      </c>
      <c r="C622" s="2">
        <v>3</v>
      </c>
      <c r="D622" s="2" t="s">
        <v>33</v>
      </c>
      <c r="E622" s="3">
        <v>44710</v>
      </c>
      <c r="F622" s="2" t="s">
        <v>87</v>
      </c>
      <c r="G622" s="2" t="s">
        <v>501</v>
      </c>
      <c r="H622" s="2" t="s">
        <v>44</v>
      </c>
      <c r="I622" s="4">
        <v>30843</v>
      </c>
    </row>
    <row r="623" spans="1:9" x14ac:dyDescent="0.25">
      <c r="A623" s="2" t="s">
        <v>20</v>
      </c>
      <c r="B623" s="2">
        <v>2600</v>
      </c>
      <c r="C623" s="2">
        <v>3</v>
      </c>
      <c r="D623" s="2" t="s">
        <v>29</v>
      </c>
      <c r="E623" s="3">
        <v>44736</v>
      </c>
      <c r="F623" s="2" t="s">
        <v>426</v>
      </c>
      <c r="G623" s="2" t="s">
        <v>75</v>
      </c>
      <c r="H623" s="2" t="s">
        <v>49</v>
      </c>
      <c r="I623" s="4">
        <v>33756</v>
      </c>
    </row>
    <row r="624" spans="1:9" x14ac:dyDescent="0.25">
      <c r="A624" s="2" t="s">
        <v>16</v>
      </c>
      <c r="B624" s="2">
        <v>1400</v>
      </c>
      <c r="C624" s="2">
        <v>2</v>
      </c>
      <c r="D624" s="2" t="s">
        <v>30</v>
      </c>
      <c r="E624" s="3">
        <v>44633</v>
      </c>
      <c r="F624" s="2" t="s">
        <v>78</v>
      </c>
      <c r="G624" s="2" t="s">
        <v>443</v>
      </c>
      <c r="H624" s="2" t="s">
        <v>49</v>
      </c>
      <c r="I624" s="4">
        <v>35369</v>
      </c>
    </row>
    <row r="625" spans="1:9" x14ac:dyDescent="0.25">
      <c r="A625" s="2" t="s">
        <v>10</v>
      </c>
      <c r="B625" s="2">
        <v>1450</v>
      </c>
      <c r="C625" s="2">
        <v>1</v>
      </c>
      <c r="D625" s="2" t="s">
        <v>40</v>
      </c>
      <c r="E625" s="3">
        <v>44703</v>
      </c>
      <c r="F625" s="2" t="s">
        <v>258</v>
      </c>
      <c r="G625" s="2" t="s">
        <v>75</v>
      </c>
      <c r="H625" s="2" t="s">
        <v>49</v>
      </c>
      <c r="I625" s="4">
        <v>35971</v>
      </c>
    </row>
    <row r="626" spans="1:9" x14ac:dyDescent="0.25">
      <c r="A626" s="2" t="s">
        <v>10</v>
      </c>
      <c r="B626" s="2">
        <v>1450</v>
      </c>
      <c r="C626" s="2">
        <v>2</v>
      </c>
      <c r="D626" s="2" t="s">
        <v>29</v>
      </c>
      <c r="E626" s="3">
        <v>44873</v>
      </c>
      <c r="F626" s="2" t="s">
        <v>144</v>
      </c>
      <c r="G626" s="2" t="s">
        <v>145</v>
      </c>
      <c r="H626" s="2" t="s">
        <v>49</v>
      </c>
      <c r="I626" s="4">
        <v>27944</v>
      </c>
    </row>
    <row r="627" spans="1:9" x14ac:dyDescent="0.25">
      <c r="A627" s="2" t="s">
        <v>8</v>
      </c>
      <c r="B627" s="2">
        <v>5500</v>
      </c>
      <c r="C627" s="2">
        <v>3</v>
      </c>
      <c r="D627" s="2" t="s">
        <v>31</v>
      </c>
      <c r="E627" s="3">
        <v>44571</v>
      </c>
      <c r="F627" s="2" t="s">
        <v>544</v>
      </c>
      <c r="G627" s="2" t="s">
        <v>171</v>
      </c>
      <c r="H627" s="2" t="s">
        <v>44</v>
      </c>
      <c r="I627" s="4">
        <v>18869</v>
      </c>
    </row>
    <row r="628" spans="1:9" x14ac:dyDescent="0.25">
      <c r="A628" s="2" t="s">
        <v>12</v>
      </c>
      <c r="B628" s="2">
        <v>6500</v>
      </c>
      <c r="C628" s="2">
        <v>5</v>
      </c>
      <c r="D628" s="2" t="s">
        <v>30</v>
      </c>
      <c r="E628" s="3">
        <v>44575</v>
      </c>
      <c r="F628" s="2" t="s">
        <v>68</v>
      </c>
      <c r="G628" s="2" t="s">
        <v>69</v>
      </c>
      <c r="H628" s="2" t="s">
        <v>49</v>
      </c>
      <c r="I628" s="4">
        <v>25248</v>
      </c>
    </row>
    <row r="629" spans="1:9" x14ac:dyDescent="0.25">
      <c r="A629" s="2" t="s">
        <v>19</v>
      </c>
      <c r="B629" s="2">
        <v>700</v>
      </c>
      <c r="C629" s="2">
        <v>2</v>
      </c>
      <c r="D629" s="2" t="s">
        <v>37</v>
      </c>
      <c r="E629" s="3">
        <v>44655</v>
      </c>
      <c r="F629" s="2" t="s">
        <v>233</v>
      </c>
      <c r="G629" s="2" t="s">
        <v>483</v>
      </c>
      <c r="H629" s="2" t="s">
        <v>49</v>
      </c>
      <c r="I629" s="4">
        <v>23101</v>
      </c>
    </row>
    <row r="630" spans="1:9" x14ac:dyDescent="0.25">
      <c r="A630" s="2" t="s">
        <v>9</v>
      </c>
      <c r="B630" s="2">
        <v>1500</v>
      </c>
      <c r="C630" s="2">
        <v>4</v>
      </c>
      <c r="D630" s="2" t="s">
        <v>36</v>
      </c>
      <c r="E630" s="3">
        <v>44813</v>
      </c>
      <c r="F630" s="2" t="s">
        <v>78</v>
      </c>
      <c r="G630" s="2" t="s">
        <v>413</v>
      </c>
      <c r="H630" s="2" t="s">
        <v>49</v>
      </c>
      <c r="I630" s="4">
        <v>22075</v>
      </c>
    </row>
    <row r="631" spans="1:9" x14ac:dyDescent="0.25">
      <c r="A631" s="2" t="s">
        <v>17</v>
      </c>
      <c r="B631" s="2">
        <v>1550</v>
      </c>
      <c r="C631" s="2">
        <v>4</v>
      </c>
      <c r="D631" s="2" t="s">
        <v>33</v>
      </c>
      <c r="E631" s="3">
        <v>44831</v>
      </c>
      <c r="F631" s="2" t="s">
        <v>116</v>
      </c>
      <c r="G631" s="2" t="s">
        <v>117</v>
      </c>
      <c r="H631" s="2" t="s">
        <v>44</v>
      </c>
      <c r="I631" s="4">
        <v>27681</v>
      </c>
    </row>
    <row r="632" spans="1:9" x14ac:dyDescent="0.25">
      <c r="A632" s="2" t="s">
        <v>24</v>
      </c>
      <c r="B632" s="2">
        <v>2000</v>
      </c>
      <c r="C632" s="2">
        <v>2</v>
      </c>
      <c r="D632" s="2" t="s">
        <v>41</v>
      </c>
      <c r="E632" s="3">
        <v>44677</v>
      </c>
      <c r="F632" s="2" t="s">
        <v>98</v>
      </c>
      <c r="G632" s="2" t="s">
        <v>539</v>
      </c>
      <c r="H632" s="2" t="s">
        <v>44</v>
      </c>
      <c r="I632" s="4">
        <v>22497</v>
      </c>
    </row>
    <row r="633" spans="1:9" x14ac:dyDescent="0.25">
      <c r="A633" s="2" t="s">
        <v>8</v>
      </c>
      <c r="B633" s="2">
        <v>5500</v>
      </c>
      <c r="C633" s="2">
        <v>3</v>
      </c>
      <c r="D633" s="2" t="s">
        <v>33</v>
      </c>
      <c r="E633" s="3">
        <v>44858</v>
      </c>
      <c r="F633" s="2" t="s">
        <v>225</v>
      </c>
      <c r="G633" s="2" t="s">
        <v>81</v>
      </c>
      <c r="H633" s="2" t="s">
        <v>44</v>
      </c>
      <c r="I633" s="4">
        <v>26346</v>
      </c>
    </row>
    <row r="634" spans="1:9" x14ac:dyDescent="0.25">
      <c r="A634" s="2" t="s">
        <v>13</v>
      </c>
      <c r="B634" s="2">
        <v>2300</v>
      </c>
      <c r="C634" s="2">
        <v>5</v>
      </c>
      <c r="D634" s="2" t="s">
        <v>35</v>
      </c>
      <c r="E634" s="3">
        <v>44782</v>
      </c>
      <c r="F634" s="2" t="s">
        <v>331</v>
      </c>
      <c r="G634" s="2" t="s">
        <v>308</v>
      </c>
      <c r="H634" s="2" t="s">
        <v>44</v>
      </c>
      <c r="I634" s="4">
        <v>19664</v>
      </c>
    </row>
    <row r="635" spans="1:9" x14ac:dyDescent="0.25">
      <c r="A635" s="2" t="s">
        <v>14</v>
      </c>
      <c r="B635" s="2">
        <v>2000</v>
      </c>
      <c r="C635" s="2">
        <v>3</v>
      </c>
      <c r="D635" s="2" t="s">
        <v>38</v>
      </c>
      <c r="E635" s="3">
        <v>44839</v>
      </c>
      <c r="F635" s="2" t="s">
        <v>216</v>
      </c>
      <c r="G635" s="2" t="s">
        <v>442</v>
      </c>
      <c r="H635" s="2" t="s">
        <v>44</v>
      </c>
      <c r="I635" s="4">
        <v>27664</v>
      </c>
    </row>
    <row r="636" spans="1:9" x14ac:dyDescent="0.25">
      <c r="A636" s="2" t="s">
        <v>14</v>
      </c>
      <c r="B636" s="2">
        <v>2000</v>
      </c>
      <c r="C636" s="2">
        <v>2</v>
      </c>
      <c r="D636" s="2" t="s">
        <v>34</v>
      </c>
      <c r="E636" s="3">
        <v>44874</v>
      </c>
      <c r="F636" s="2" t="s">
        <v>401</v>
      </c>
      <c r="G636" s="2" t="s">
        <v>152</v>
      </c>
      <c r="H636" s="2" t="s">
        <v>49</v>
      </c>
      <c r="I636" s="4">
        <v>26474</v>
      </c>
    </row>
    <row r="637" spans="1:9" x14ac:dyDescent="0.25">
      <c r="A637" s="2" t="s">
        <v>10</v>
      </c>
      <c r="B637" s="2">
        <v>1450</v>
      </c>
      <c r="C637" s="2">
        <v>5</v>
      </c>
      <c r="D637" s="2" t="s">
        <v>31</v>
      </c>
      <c r="E637" s="3">
        <v>44772</v>
      </c>
      <c r="F637" s="2" t="s">
        <v>439</v>
      </c>
      <c r="G637" s="2" t="s">
        <v>77</v>
      </c>
      <c r="H637" s="2" t="s">
        <v>44</v>
      </c>
      <c r="I637" s="4">
        <v>34385</v>
      </c>
    </row>
    <row r="638" spans="1:9" x14ac:dyDescent="0.25">
      <c r="A638" s="2" t="s">
        <v>10</v>
      </c>
      <c r="B638" s="2">
        <v>1450</v>
      </c>
      <c r="C638" s="2">
        <v>5</v>
      </c>
      <c r="D638" s="2" t="s">
        <v>30</v>
      </c>
      <c r="E638" s="3">
        <v>44632</v>
      </c>
      <c r="F638" s="2" t="s">
        <v>134</v>
      </c>
      <c r="G638" s="2" t="s">
        <v>135</v>
      </c>
      <c r="H638" s="2" t="s">
        <v>49</v>
      </c>
      <c r="I638" s="4">
        <v>26564</v>
      </c>
    </row>
    <row r="639" spans="1:9" x14ac:dyDescent="0.25">
      <c r="A639" s="2" t="s">
        <v>10</v>
      </c>
      <c r="B639" s="2">
        <v>1450</v>
      </c>
      <c r="C639" s="2">
        <v>4</v>
      </c>
      <c r="D639" s="2" t="s">
        <v>41</v>
      </c>
      <c r="E639" s="3">
        <v>44796</v>
      </c>
      <c r="F639" s="2" t="s">
        <v>259</v>
      </c>
      <c r="G639" s="2" t="s">
        <v>471</v>
      </c>
      <c r="H639" s="2" t="s">
        <v>49</v>
      </c>
      <c r="I639" s="4">
        <v>31294</v>
      </c>
    </row>
    <row r="640" spans="1:9" x14ac:dyDescent="0.25">
      <c r="A640" s="2" t="s">
        <v>16</v>
      </c>
      <c r="B640" s="2">
        <v>1400</v>
      </c>
      <c r="C640" s="2">
        <v>5</v>
      </c>
      <c r="D640" s="2" t="s">
        <v>32</v>
      </c>
      <c r="E640" s="3">
        <v>44816</v>
      </c>
      <c r="F640" s="2" t="s">
        <v>190</v>
      </c>
      <c r="G640" s="2" t="s">
        <v>83</v>
      </c>
      <c r="H640" s="2" t="s">
        <v>44</v>
      </c>
      <c r="I640" s="4">
        <v>32913</v>
      </c>
    </row>
    <row r="641" spans="1:9" x14ac:dyDescent="0.25">
      <c r="A641" s="2" t="s">
        <v>9</v>
      </c>
      <c r="B641" s="2">
        <v>1500</v>
      </c>
      <c r="C641" s="2">
        <v>5</v>
      </c>
      <c r="D641" s="2" t="s">
        <v>29</v>
      </c>
      <c r="E641" s="3">
        <v>44723</v>
      </c>
      <c r="F641" s="2" t="s">
        <v>118</v>
      </c>
      <c r="G641" s="2" t="s">
        <v>391</v>
      </c>
      <c r="H641" s="2" t="s">
        <v>49</v>
      </c>
      <c r="I641" s="4">
        <v>35366</v>
      </c>
    </row>
    <row r="642" spans="1:9" x14ac:dyDescent="0.25">
      <c r="A642" s="2" t="s">
        <v>6</v>
      </c>
      <c r="B642" s="2">
        <v>1200</v>
      </c>
      <c r="C642" s="2">
        <v>4</v>
      </c>
      <c r="D642" s="2" t="s">
        <v>35</v>
      </c>
      <c r="E642" s="3">
        <v>44642</v>
      </c>
      <c r="F642" s="2" t="s">
        <v>347</v>
      </c>
      <c r="G642" s="2" t="s">
        <v>386</v>
      </c>
      <c r="H642" s="2" t="s">
        <v>49</v>
      </c>
      <c r="I642" s="4">
        <v>21120</v>
      </c>
    </row>
    <row r="643" spans="1:9" x14ac:dyDescent="0.25">
      <c r="A643" s="2" t="s">
        <v>18</v>
      </c>
      <c r="B643" s="2">
        <v>3000</v>
      </c>
      <c r="C643" s="2">
        <v>5</v>
      </c>
      <c r="D643" s="2" t="s">
        <v>36</v>
      </c>
      <c r="E643" s="3">
        <v>44837</v>
      </c>
      <c r="F643" s="2" t="s">
        <v>239</v>
      </c>
      <c r="G643" s="2" t="s">
        <v>157</v>
      </c>
      <c r="H643" s="2" t="s">
        <v>49</v>
      </c>
      <c r="I643" s="4">
        <v>28094</v>
      </c>
    </row>
    <row r="644" spans="1:9" x14ac:dyDescent="0.25">
      <c r="A644" s="2" t="s">
        <v>17</v>
      </c>
      <c r="B644" s="2">
        <v>1550</v>
      </c>
      <c r="C644" s="2">
        <v>4</v>
      </c>
      <c r="D644" s="2" t="s">
        <v>37</v>
      </c>
      <c r="E644" s="3">
        <v>44922</v>
      </c>
      <c r="F644" s="2" t="s">
        <v>368</v>
      </c>
      <c r="G644" s="2" t="s">
        <v>617</v>
      </c>
      <c r="H644" s="2" t="s">
        <v>44</v>
      </c>
      <c r="I644" s="4">
        <v>30831</v>
      </c>
    </row>
    <row r="645" spans="1:9" x14ac:dyDescent="0.25">
      <c r="A645" s="2" t="s">
        <v>23</v>
      </c>
      <c r="B645" s="2">
        <v>1500</v>
      </c>
      <c r="C645" s="2">
        <v>5</v>
      </c>
      <c r="D645" s="2" t="s">
        <v>41</v>
      </c>
      <c r="E645" s="3">
        <v>44831</v>
      </c>
      <c r="F645" s="2" t="s">
        <v>70</v>
      </c>
      <c r="G645" s="2" t="s">
        <v>213</v>
      </c>
      <c r="H645" s="2" t="s">
        <v>44</v>
      </c>
      <c r="I645" s="4">
        <v>28084</v>
      </c>
    </row>
    <row r="646" spans="1:9" x14ac:dyDescent="0.25">
      <c r="A646" s="2" t="s">
        <v>25</v>
      </c>
      <c r="B646" s="2">
        <v>2500</v>
      </c>
      <c r="C646" s="2">
        <v>1</v>
      </c>
      <c r="D646" s="2" t="s">
        <v>41</v>
      </c>
      <c r="E646" s="3">
        <v>44568</v>
      </c>
      <c r="F646" s="2" t="s">
        <v>70</v>
      </c>
      <c r="G646" s="2" t="s">
        <v>213</v>
      </c>
      <c r="H646" s="2" t="s">
        <v>44</v>
      </c>
      <c r="I646" s="4">
        <v>28084</v>
      </c>
    </row>
    <row r="647" spans="1:9" x14ac:dyDescent="0.25">
      <c r="A647" s="2" t="s">
        <v>25</v>
      </c>
      <c r="B647" s="2">
        <v>2500</v>
      </c>
      <c r="C647" s="2">
        <v>1</v>
      </c>
      <c r="D647" s="2" t="s">
        <v>37</v>
      </c>
      <c r="E647" s="3">
        <v>44725</v>
      </c>
      <c r="F647" s="2" t="s">
        <v>52</v>
      </c>
      <c r="G647" s="2" t="s">
        <v>63</v>
      </c>
      <c r="H647" s="2" t="s">
        <v>44</v>
      </c>
      <c r="I647" s="4">
        <v>20411</v>
      </c>
    </row>
    <row r="648" spans="1:9" x14ac:dyDescent="0.25">
      <c r="A648" s="2" t="s">
        <v>28</v>
      </c>
      <c r="B648" s="2">
        <v>1400</v>
      </c>
      <c r="C648" s="2">
        <v>3</v>
      </c>
      <c r="D648" s="2" t="s">
        <v>31</v>
      </c>
      <c r="E648" s="3">
        <v>44822</v>
      </c>
      <c r="F648" s="2" t="s">
        <v>379</v>
      </c>
      <c r="G648" s="2" t="s">
        <v>376</v>
      </c>
      <c r="H648" s="2" t="s">
        <v>44</v>
      </c>
      <c r="I648" s="4">
        <v>31380</v>
      </c>
    </row>
    <row r="649" spans="1:9" x14ac:dyDescent="0.25">
      <c r="A649" s="2" t="s">
        <v>14</v>
      </c>
      <c r="B649" s="2">
        <v>2000</v>
      </c>
      <c r="C649" s="2">
        <v>4</v>
      </c>
      <c r="D649" s="2" t="s">
        <v>31</v>
      </c>
      <c r="E649" s="3">
        <v>44622</v>
      </c>
      <c r="F649" s="2" t="s">
        <v>343</v>
      </c>
      <c r="G649" s="2" t="s">
        <v>519</v>
      </c>
      <c r="H649" s="2" t="s">
        <v>49</v>
      </c>
      <c r="I649" s="4">
        <v>35727</v>
      </c>
    </row>
    <row r="650" spans="1:9" x14ac:dyDescent="0.25">
      <c r="A650" s="2" t="s">
        <v>11</v>
      </c>
      <c r="B650" s="2">
        <v>4500</v>
      </c>
      <c r="C650" s="2">
        <v>1</v>
      </c>
      <c r="D650" s="2" t="s">
        <v>36</v>
      </c>
      <c r="E650" s="3">
        <v>44850</v>
      </c>
      <c r="F650" s="2" t="s">
        <v>388</v>
      </c>
      <c r="G650" s="2" t="s">
        <v>287</v>
      </c>
      <c r="H650" s="2" t="s">
        <v>44</v>
      </c>
      <c r="I650" s="4">
        <v>25429</v>
      </c>
    </row>
    <row r="651" spans="1:9" x14ac:dyDescent="0.25">
      <c r="A651" s="2" t="s">
        <v>15</v>
      </c>
      <c r="B651" s="2">
        <v>1900</v>
      </c>
      <c r="C651" s="2">
        <v>2</v>
      </c>
      <c r="D651" s="2" t="s">
        <v>39</v>
      </c>
      <c r="E651" s="3">
        <v>44912</v>
      </c>
      <c r="F651" s="2" t="s">
        <v>124</v>
      </c>
      <c r="G651" s="2" t="s">
        <v>125</v>
      </c>
      <c r="H651" s="2" t="s">
        <v>44</v>
      </c>
      <c r="I651" s="4">
        <v>28872</v>
      </c>
    </row>
    <row r="652" spans="1:9" x14ac:dyDescent="0.25">
      <c r="A652" s="2" t="s">
        <v>28</v>
      </c>
      <c r="B652" s="2">
        <v>1400</v>
      </c>
      <c r="C652" s="2">
        <v>3</v>
      </c>
      <c r="D652" s="2" t="s">
        <v>33</v>
      </c>
      <c r="E652" s="3">
        <v>44714</v>
      </c>
      <c r="F652" s="2" t="s">
        <v>74</v>
      </c>
      <c r="G652" s="2" t="s">
        <v>313</v>
      </c>
      <c r="H652" s="2" t="s">
        <v>44</v>
      </c>
      <c r="I652" s="4">
        <v>20805</v>
      </c>
    </row>
    <row r="653" spans="1:9" x14ac:dyDescent="0.25">
      <c r="A653" s="2" t="s">
        <v>7</v>
      </c>
      <c r="B653" s="2">
        <v>750</v>
      </c>
      <c r="C653" s="2">
        <v>1</v>
      </c>
      <c r="D653" s="2" t="s">
        <v>30</v>
      </c>
      <c r="E653" s="3">
        <v>44656</v>
      </c>
      <c r="F653" s="2" t="s">
        <v>111</v>
      </c>
      <c r="G653" s="2" t="s">
        <v>51</v>
      </c>
      <c r="H653" s="2" t="s">
        <v>44</v>
      </c>
      <c r="I653" s="4">
        <v>22664</v>
      </c>
    </row>
    <row r="654" spans="1:9" x14ac:dyDescent="0.25">
      <c r="A654" s="2" t="s">
        <v>16</v>
      </c>
      <c r="B654" s="2">
        <v>1400</v>
      </c>
      <c r="C654" s="2">
        <v>2</v>
      </c>
      <c r="D654" s="2" t="s">
        <v>36</v>
      </c>
      <c r="E654" s="3">
        <v>44630</v>
      </c>
      <c r="F654" s="2" t="s">
        <v>318</v>
      </c>
      <c r="G654" s="2" t="s">
        <v>273</v>
      </c>
      <c r="H654" s="2" t="s">
        <v>44</v>
      </c>
      <c r="I654" s="4">
        <v>31188</v>
      </c>
    </row>
    <row r="655" spans="1:9" x14ac:dyDescent="0.25">
      <c r="A655" s="2" t="s">
        <v>15</v>
      </c>
      <c r="B655" s="2">
        <v>1900</v>
      </c>
      <c r="C655" s="2">
        <v>1</v>
      </c>
      <c r="D655" s="2" t="s">
        <v>38</v>
      </c>
      <c r="E655" s="3">
        <v>44620</v>
      </c>
      <c r="F655" s="2" t="s">
        <v>328</v>
      </c>
      <c r="G655" s="2" t="s">
        <v>416</v>
      </c>
      <c r="H655" s="2" t="s">
        <v>49</v>
      </c>
      <c r="I655" s="4">
        <v>31366</v>
      </c>
    </row>
    <row r="656" spans="1:9" x14ac:dyDescent="0.25">
      <c r="A656" s="2" t="s">
        <v>7</v>
      </c>
      <c r="B656" s="2">
        <v>750</v>
      </c>
      <c r="C656" s="2">
        <v>5</v>
      </c>
      <c r="D656" s="2" t="s">
        <v>41</v>
      </c>
      <c r="E656" s="3">
        <v>44724</v>
      </c>
      <c r="F656" s="2" t="s">
        <v>256</v>
      </c>
      <c r="G656" s="2" t="s">
        <v>257</v>
      </c>
      <c r="H656" s="2" t="s">
        <v>44</v>
      </c>
      <c r="I656" s="4">
        <v>24408</v>
      </c>
    </row>
    <row r="657" spans="1:9" x14ac:dyDescent="0.25">
      <c r="A657" s="2" t="s">
        <v>28</v>
      </c>
      <c r="B657" s="2">
        <v>1400</v>
      </c>
      <c r="C657" s="2">
        <v>1</v>
      </c>
      <c r="D657" s="2" t="s">
        <v>31</v>
      </c>
      <c r="E657" s="3">
        <v>44829</v>
      </c>
      <c r="F657" s="2" t="s">
        <v>260</v>
      </c>
      <c r="G657" s="2" t="s">
        <v>203</v>
      </c>
      <c r="H657" s="2" t="s">
        <v>49</v>
      </c>
      <c r="I657" s="4">
        <v>29734</v>
      </c>
    </row>
    <row r="658" spans="1:9" x14ac:dyDescent="0.25">
      <c r="A658" s="2" t="s">
        <v>21</v>
      </c>
      <c r="B658" s="2">
        <v>2400</v>
      </c>
      <c r="C658" s="2">
        <v>4</v>
      </c>
      <c r="D658" s="2" t="s">
        <v>38</v>
      </c>
      <c r="E658" s="3">
        <v>44777</v>
      </c>
      <c r="F658" s="2" t="s">
        <v>312</v>
      </c>
      <c r="G658" s="2" t="s">
        <v>411</v>
      </c>
      <c r="H658" s="2" t="s">
        <v>49</v>
      </c>
      <c r="I658" s="4">
        <v>26225</v>
      </c>
    </row>
    <row r="659" spans="1:9" x14ac:dyDescent="0.25">
      <c r="A659" s="2" t="s">
        <v>22</v>
      </c>
      <c r="B659" s="2">
        <v>5200</v>
      </c>
      <c r="C659" s="2">
        <v>2</v>
      </c>
      <c r="D659" s="2" t="s">
        <v>33</v>
      </c>
      <c r="E659" s="3">
        <v>44800</v>
      </c>
      <c r="F659" s="2" t="s">
        <v>190</v>
      </c>
      <c r="G659" s="2" t="s">
        <v>63</v>
      </c>
      <c r="H659" s="2" t="s">
        <v>44</v>
      </c>
      <c r="I659" s="4">
        <v>33780</v>
      </c>
    </row>
    <row r="660" spans="1:9" x14ac:dyDescent="0.25">
      <c r="A660" s="2" t="s">
        <v>23</v>
      </c>
      <c r="B660" s="2">
        <v>1500</v>
      </c>
      <c r="C660" s="2">
        <v>2</v>
      </c>
      <c r="D660" s="2" t="s">
        <v>29</v>
      </c>
      <c r="E660" s="3">
        <v>44885</v>
      </c>
      <c r="F660" s="2" t="s">
        <v>107</v>
      </c>
      <c r="G660" s="2" t="s">
        <v>384</v>
      </c>
      <c r="H660" s="2" t="s">
        <v>49</v>
      </c>
      <c r="I660" s="4">
        <v>27776</v>
      </c>
    </row>
    <row r="661" spans="1:9" x14ac:dyDescent="0.25">
      <c r="A661" s="2" t="s">
        <v>18</v>
      </c>
      <c r="B661" s="2">
        <v>3000</v>
      </c>
      <c r="C661" s="2">
        <v>4</v>
      </c>
      <c r="D661" s="2" t="s">
        <v>36</v>
      </c>
      <c r="E661" s="3">
        <v>44623</v>
      </c>
      <c r="F661" s="2" t="s">
        <v>163</v>
      </c>
      <c r="G661" s="2" t="s">
        <v>164</v>
      </c>
      <c r="H661" s="2" t="s">
        <v>49</v>
      </c>
      <c r="I661" s="4">
        <v>36652</v>
      </c>
    </row>
    <row r="662" spans="1:9" x14ac:dyDescent="0.25">
      <c r="A662" s="2" t="s">
        <v>15</v>
      </c>
      <c r="B662" s="2">
        <v>1900</v>
      </c>
      <c r="C662" s="2">
        <v>4</v>
      </c>
      <c r="D662" s="2" t="s">
        <v>41</v>
      </c>
      <c r="E662" s="3">
        <v>44851</v>
      </c>
      <c r="F662" s="2" t="s">
        <v>70</v>
      </c>
      <c r="G662" s="2" t="s">
        <v>213</v>
      </c>
      <c r="H662" s="2" t="s">
        <v>44</v>
      </c>
      <c r="I662" s="4">
        <v>28084</v>
      </c>
    </row>
    <row r="663" spans="1:9" x14ac:dyDescent="0.25">
      <c r="A663" s="2" t="s">
        <v>25</v>
      </c>
      <c r="B663" s="2">
        <v>2500</v>
      </c>
      <c r="C663" s="2">
        <v>4</v>
      </c>
      <c r="D663" s="2" t="s">
        <v>37</v>
      </c>
      <c r="E663" s="3">
        <v>44776</v>
      </c>
      <c r="F663" s="2" t="s">
        <v>120</v>
      </c>
      <c r="G663" s="2" t="s">
        <v>83</v>
      </c>
      <c r="H663" s="2" t="s">
        <v>44</v>
      </c>
      <c r="I663" s="4">
        <v>29779</v>
      </c>
    </row>
    <row r="664" spans="1:9" x14ac:dyDescent="0.25">
      <c r="A664" s="2" t="s">
        <v>18</v>
      </c>
      <c r="B664" s="2">
        <v>3000</v>
      </c>
      <c r="C664" s="2">
        <v>5</v>
      </c>
      <c r="D664" s="2" t="s">
        <v>29</v>
      </c>
      <c r="E664" s="3">
        <v>44725</v>
      </c>
      <c r="F664" s="2" t="s">
        <v>52</v>
      </c>
      <c r="G664" s="2" t="s">
        <v>53</v>
      </c>
      <c r="H664" s="2" t="s">
        <v>44</v>
      </c>
      <c r="I664" s="4">
        <v>33858</v>
      </c>
    </row>
    <row r="665" spans="1:9" x14ac:dyDescent="0.25">
      <c r="A665" s="2" t="s">
        <v>8</v>
      </c>
      <c r="B665" s="2">
        <v>5500</v>
      </c>
      <c r="C665" s="2">
        <v>1</v>
      </c>
      <c r="D665" s="2" t="s">
        <v>34</v>
      </c>
      <c r="E665" s="3">
        <v>44715</v>
      </c>
      <c r="F665" s="2" t="s">
        <v>42</v>
      </c>
      <c r="G665" s="2" t="s">
        <v>100</v>
      </c>
      <c r="H665" s="2" t="s">
        <v>44</v>
      </c>
      <c r="I665" s="4">
        <v>36495</v>
      </c>
    </row>
    <row r="666" spans="1:9" x14ac:dyDescent="0.25">
      <c r="A666" s="2" t="s">
        <v>16</v>
      </c>
      <c r="B666" s="2">
        <v>1400</v>
      </c>
      <c r="C666" s="2">
        <v>5</v>
      </c>
      <c r="D666" s="2" t="s">
        <v>39</v>
      </c>
      <c r="E666" s="3">
        <v>44635</v>
      </c>
      <c r="F666" s="2" t="s">
        <v>185</v>
      </c>
      <c r="G666" s="2" t="s">
        <v>311</v>
      </c>
      <c r="H666" s="2" t="s">
        <v>44</v>
      </c>
      <c r="I666" s="4">
        <v>26928</v>
      </c>
    </row>
    <row r="667" spans="1:9" x14ac:dyDescent="0.25">
      <c r="A667" s="2" t="s">
        <v>12</v>
      </c>
      <c r="B667" s="2">
        <v>6500</v>
      </c>
      <c r="C667" s="2">
        <v>4</v>
      </c>
      <c r="D667" s="2" t="s">
        <v>32</v>
      </c>
      <c r="E667" s="3">
        <v>44688</v>
      </c>
      <c r="F667" s="2" t="s">
        <v>377</v>
      </c>
      <c r="G667" s="2" t="s">
        <v>89</v>
      </c>
      <c r="H667" s="2" t="s">
        <v>49</v>
      </c>
      <c r="I667" s="4">
        <v>30121</v>
      </c>
    </row>
    <row r="668" spans="1:9" x14ac:dyDescent="0.25">
      <c r="A668" s="2" t="s">
        <v>20</v>
      </c>
      <c r="B668" s="2">
        <v>2600</v>
      </c>
      <c r="C668" s="2">
        <v>3</v>
      </c>
      <c r="D668" s="2" t="s">
        <v>37</v>
      </c>
      <c r="E668" s="3">
        <v>44808</v>
      </c>
      <c r="F668" s="2" t="s">
        <v>155</v>
      </c>
      <c r="G668" s="2" t="s">
        <v>229</v>
      </c>
      <c r="H668" s="2" t="s">
        <v>44</v>
      </c>
      <c r="I668" s="4">
        <v>30486</v>
      </c>
    </row>
    <row r="669" spans="1:9" x14ac:dyDescent="0.25">
      <c r="A669" s="2" t="s">
        <v>24</v>
      </c>
      <c r="B669" s="2">
        <v>2000</v>
      </c>
      <c r="C669" s="2">
        <v>5</v>
      </c>
      <c r="D669" s="2" t="s">
        <v>36</v>
      </c>
      <c r="E669" s="3">
        <v>44745</v>
      </c>
      <c r="F669" s="2" t="s">
        <v>302</v>
      </c>
      <c r="G669" s="2" t="s">
        <v>83</v>
      </c>
      <c r="H669" s="2" t="s">
        <v>49</v>
      </c>
      <c r="I669" s="4">
        <v>28996</v>
      </c>
    </row>
    <row r="670" spans="1:9" x14ac:dyDescent="0.25">
      <c r="A670" s="2" t="s">
        <v>18</v>
      </c>
      <c r="B670" s="2">
        <v>3000</v>
      </c>
      <c r="C670" s="2">
        <v>2</v>
      </c>
      <c r="D670" s="2" t="s">
        <v>36</v>
      </c>
      <c r="E670" s="3">
        <v>44771</v>
      </c>
      <c r="F670" s="2" t="s">
        <v>257</v>
      </c>
      <c r="G670" s="2" t="s">
        <v>273</v>
      </c>
      <c r="H670" s="2" t="s">
        <v>44</v>
      </c>
      <c r="I670" s="4">
        <v>24203</v>
      </c>
    </row>
    <row r="671" spans="1:9" x14ac:dyDescent="0.25">
      <c r="A671" s="2" t="s">
        <v>7</v>
      </c>
      <c r="B671" s="2">
        <v>750</v>
      </c>
      <c r="C671" s="2">
        <v>1</v>
      </c>
      <c r="D671" s="2" t="s">
        <v>38</v>
      </c>
      <c r="E671" s="3">
        <v>44630</v>
      </c>
      <c r="F671" s="2" t="s">
        <v>90</v>
      </c>
      <c r="G671" s="2" t="s">
        <v>91</v>
      </c>
      <c r="H671" s="2" t="s">
        <v>49</v>
      </c>
      <c r="I671" s="4">
        <v>33405</v>
      </c>
    </row>
    <row r="672" spans="1:9" x14ac:dyDescent="0.25">
      <c r="A672" s="2" t="s">
        <v>25</v>
      </c>
      <c r="B672" s="2">
        <v>2500</v>
      </c>
      <c r="C672" s="2">
        <v>3</v>
      </c>
      <c r="D672" s="2" t="s">
        <v>32</v>
      </c>
      <c r="E672" s="3">
        <v>44808</v>
      </c>
      <c r="F672" s="2" t="s">
        <v>192</v>
      </c>
      <c r="G672" s="2" t="s">
        <v>245</v>
      </c>
      <c r="H672" s="2" t="s">
        <v>49</v>
      </c>
      <c r="I672" s="4">
        <v>29464</v>
      </c>
    </row>
    <row r="673" spans="1:9" x14ac:dyDescent="0.25">
      <c r="A673" s="2" t="s">
        <v>16</v>
      </c>
      <c r="B673" s="2">
        <v>1400</v>
      </c>
      <c r="C673" s="2">
        <v>2</v>
      </c>
      <c r="D673" s="2" t="s">
        <v>31</v>
      </c>
      <c r="E673" s="3">
        <v>44610</v>
      </c>
      <c r="F673" s="2" t="s">
        <v>109</v>
      </c>
      <c r="G673" s="2" t="s">
        <v>190</v>
      </c>
      <c r="H673" s="2" t="s">
        <v>44</v>
      </c>
      <c r="I673" s="4">
        <v>35339</v>
      </c>
    </row>
    <row r="674" spans="1:9" x14ac:dyDescent="0.25">
      <c r="A674" s="2" t="s">
        <v>26</v>
      </c>
      <c r="B674" s="2">
        <v>1100</v>
      </c>
      <c r="C674" s="2">
        <v>2</v>
      </c>
      <c r="D674" s="2" t="s">
        <v>39</v>
      </c>
      <c r="E674" s="3">
        <v>44791</v>
      </c>
      <c r="F674" s="2" t="s">
        <v>87</v>
      </c>
      <c r="G674" s="2" t="s">
        <v>81</v>
      </c>
      <c r="H674" s="2" t="s">
        <v>44</v>
      </c>
      <c r="I674" s="4">
        <v>31569</v>
      </c>
    </row>
    <row r="675" spans="1:9" x14ac:dyDescent="0.25">
      <c r="A675" s="2" t="s">
        <v>12</v>
      </c>
      <c r="B675" s="2">
        <v>6500</v>
      </c>
      <c r="C675" s="2">
        <v>5</v>
      </c>
      <c r="D675" s="2" t="s">
        <v>32</v>
      </c>
      <c r="E675" s="3">
        <v>44872</v>
      </c>
      <c r="F675" s="2" t="s">
        <v>51</v>
      </c>
      <c r="G675" s="2" t="s">
        <v>99</v>
      </c>
      <c r="H675" s="2" t="s">
        <v>44</v>
      </c>
      <c r="I675" s="4">
        <v>18276</v>
      </c>
    </row>
    <row r="676" spans="1:9" x14ac:dyDescent="0.25">
      <c r="A676" s="2" t="s">
        <v>26</v>
      </c>
      <c r="B676" s="2">
        <v>1100</v>
      </c>
      <c r="C676" s="2">
        <v>1</v>
      </c>
      <c r="D676" s="2" t="s">
        <v>40</v>
      </c>
      <c r="E676" s="3">
        <v>44704</v>
      </c>
      <c r="F676" s="2" t="s">
        <v>150</v>
      </c>
      <c r="G676" s="2" t="s">
        <v>151</v>
      </c>
      <c r="H676" s="2" t="s">
        <v>44</v>
      </c>
      <c r="I676" s="4">
        <v>36228</v>
      </c>
    </row>
    <row r="677" spans="1:9" x14ac:dyDescent="0.25">
      <c r="A677" s="2" t="s">
        <v>27</v>
      </c>
      <c r="B677" s="2">
        <v>1500</v>
      </c>
      <c r="C677" s="2">
        <v>3</v>
      </c>
      <c r="D677" s="2" t="s">
        <v>37</v>
      </c>
      <c r="E677" s="3">
        <v>44828</v>
      </c>
      <c r="F677" s="2" t="s">
        <v>335</v>
      </c>
      <c r="G677" s="2" t="s">
        <v>83</v>
      </c>
      <c r="H677" s="2" t="s">
        <v>49</v>
      </c>
      <c r="I677" s="4">
        <v>29726</v>
      </c>
    </row>
    <row r="678" spans="1:9" x14ac:dyDescent="0.25">
      <c r="A678" s="2" t="s">
        <v>14</v>
      </c>
      <c r="B678" s="2">
        <v>2000</v>
      </c>
      <c r="C678" s="2">
        <v>3</v>
      </c>
      <c r="D678" s="2" t="s">
        <v>38</v>
      </c>
      <c r="E678" s="3">
        <v>44627</v>
      </c>
      <c r="F678" s="2" t="s">
        <v>552</v>
      </c>
      <c r="G678" s="2" t="s">
        <v>553</v>
      </c>
      <c r="H678" s="2" t="s">
        <v>49</v>
      </c>
      <c r="I678" s="4">
        <v>23179</v>
      </c>
    </row>
    <row r="679" spans="1:9" x14ac:dyDescent="0.25">
      <c r="A679" s="2" t="s">
        <v>21</v>
      </c>
      <c r="B679" s="2">
        <v>2400</v>
      </c>
      <c r="C679" s="2">
        <v>4</v>
      </c>
      <c r="D679" s="2" t="s">
        <v>32</v>
      </c>
      <c r="E679" s="3">
        <v>44605</v>
      </c>
      <c r="F679" s="2" t="s">
        <v>109</v>
      </c>
      <c r="G679" s="2" t="s">
        <v>243</v>
      </c>
      <c r="H679" s="2" t="s">
        <v>44</v>
      </c>
      <c r="I679" s="4">
        <v>19583</v>
      </c>
    </row>
    <row r="680" spans="1:9" x14ac:dyDescent="0.25">
      <c r="A680" s="2" t="s">
        <v>24</v>
      </c>
      <c r="B680" s="2">
        <v>2000</v>
      </c>
      <c r="C680" s="2">
        <v>1</v>
      </c>
      <c r="D680" s="2" t="s">
        <v>33</v>
      </c>
      <c r="E680" s="3">
        <v>44671</v>
      </c>
      <c r="F680" s="2" t="s">
        <v>66</v>
      </c>
      <c r="G680" s="2" t="s">
        <v>67</v>
      </c>
      <c r="H680" s="2" t="s">
        <v>44</v>
      </c>
      <c r="I680" s="4">
        <v>36762</v>
      </c>
    </row>
    <row r="681" spans="1:9" x14ac:dyDescent="0.25">
      <c r="A681" s="2" t="s">
        <v>7</v>
      </c>
      <c r="B681" s="2">
        <v>750</v>
      </c>
      <c r="C681" s="2">
        <v>1</v>
      </c>
      <c r="D681" s="2" t="s">
        <v>29</v>
      </c>
      <c r="E681" s="3">
        <v>44636</v>
      </c>
      <c r="F681" s="2" t="s">
        <v>439</v>
      </c>
      <c r="G681" s="2" t="s">
        <v>602</v>
      </c>
      <c r="H681" s="2" t="s">
        <v>44</v>
      </c>
      <c r="I681" s="4">
        <v>29842</v>
      </c>
    </row>
    <row r="682" spans="1:9" x14ac:dyDescent="0.25">
      <c r="A682" s="2" t="s">
        <v>14</v>
      </c>
      <c r="B682" s="2">
        <v>2000</v>
      </c>
      <c r="C682" s="2">
        <v>3</v>
      </c>
      <c r="D682" s="2" t="s">
        <v>40</v>
      </c>
      <c r="E682" s="3">
        <v>44712</v>
      </c>
      <c r="F682" s="2" t="s">
        <v>78</v>
      </c>
      <c r="G682" s="2" t="s">
        <v>152</v>
      </c>
      <c r="H682" s="2" t="s">
        <v>49</v>
      </c>
      <c r="I682" s="4">
        <v>29916</v>
      </c>
    </row>
    <row r="683" spans="1:9" x14ac:dyDescent="0.25">
      <c r="A683" s="2" t="s">
        <v>18</v>
      </c>
      <c r="B683" s="2">
        <v>3000</v>
      </c>
      <c r="C683" s="2">
        <v>4</v>
      </c>
      <c r="D683" s="2" t="s">
        <v>38</v>
      </c>
      <c r="E683" s="3">
        <v>44862</v>
      </c>
      <c r="F683" s="2" t="s">
        <v>361</v>
      </c>
      <c r="G683" s="2" t="s">
        <v>203</v>
      </c>
      <c r="H683" s="2" t="s">
        <v>49</v>
      </c>
      <c r="I683" s="4">
        <v>36075</v>
      </c>
    </row>
    <row r="684" spans="1:9" x14ac:dyDescent="0.25">
      <c r="A684" s="2" t="s">
        <v>11</v>
      </c>
      <c r="B684" s="2">
        <v>4500</v>
      </c>
      <c r="C684" s="2">
        <v>3</v>
      </c>
      <c r="D684" s="2" t="s">
        <v>31</v>
      </c>
      <c r="E684" s="3">
        <v>44563</v>
      </c>
      <c r="F684" s="2" t="s">
        <v>47</v>
      </c>
      <c r="G684" s="2" t="s">
        <v>48</v>
      </c>
      <c r="H684" s="2" t="s">
        <v>49</v>
      </c>
      <c r="I684" s="4">
        <v>35585</v>
      </c>
    </row>
    <row r="685" spans="1:9" x14ac:dyDescent="0.25">
      <c r="A685" s="2" t="s">
        <v>25</v>
      </c>
      <c r="B685" s="2">
        <v>2500</v>
      </c>
      <c r="C685" s="2">
        <v>5</v>
      </c>
      <c r="D685" s="2" t="s">
        <v>40</v>
      </c>
      <c r="E685" s="3">
        <v>44597</v>
      </c>
      <c r="F685" s="2" t="s">
        <v>173</v>
      </c>
      <c r="G685" s="2" t="s">
        <v>480</v>
      </c>
      <c r="H685" s="2" t="s">
        <v>44</v>
      </c>
      <c r="I685" s="4">
        <v>28612</v>
      </c>
    </row>
    <row r="686" spans="1:9" x14ac:dyDescent="0.25">
      <c r="A686" s="2" t="s">
        <v>27</v>
      </c>
      <c r="B686" s="2">
        <v>1500</v>
      </c>
      <c r="C686" s="2">
        <v>2</v>
      </c>
      <c r="D686" s="2" t="s">
        <v>36</v>
      </c>
      <c r="E686" s="3">
        <v>44909</v>
      </c>
      <c r="F686" s="2" t="s">
        <v>328</v>
      </c>
      <c r="G686" s="2" t="s">
        <v>430</v>
      </c>
      <c r="H686" s="2" t="s">
        <v>49</v>
      </c>
      <c r="I686" s="4">
        <v>34792</v>
      </c>
    </row>
    <row r="687" spans="1:9" x14ac:dyDescent="0.25">
      <c r="A687" s="2" t="s">
        <v>10</v>
      </c>
      <c r="B687" s="2">
        <v>1450</v>
      </c>
      <c r="C687" s="2">
        <v>4</v>
      </c>
      <c r="D687" s="2" t="s">
        <v>39</v>
      </c>
      <c r="E687" s="3">
        <v>44821</v>
      </c>
      <c r="F687" s="2" t="s">
        <v>131</v>
      </c>
      <c r="G687" s="2" t="s">
        <v>132</v>
      </c>
      <c r="H687" s="2" t="s">
        <v>44</v>
      </c>
      <c r="I687" s="4">
        <v>36884</v>
      </c>
    </row>
    <row r="688" spans="1:9" x14ac:dyDescent="0.25">
      <c r="A688" s="2" t="s">
        <v>23</v>
      </c>
      <c r="B688" s="2">
        <v>1500</v>
      </c>
      <c r="C688" s="2">
        <v>4</v>
      </c>
      <c r="D688" s="2" t="s">
        <v>31</v>
      </c>
      <c r="E688" s="3">
        <v>44762</v>
      </c>
      <c r="F688" s="2" t="s">
        <v>127</v>
      </c>
      <c r="G688" s="2" t="s">
        <v>574</v>
      </c>
      <c r="H688" s="2" t="s">
        <v>44</v>
      </c>
      <c r="I688" s="4">
        <v>20646</v>
      </c>
    </row>
    <row r="689" spans="1:9" x14ac:dyDescent="0.25">
      <c r="A689" s="2" t="s">
        <v>27</v>
      </c>
      <c r="B689" s="2">
        <v>1500</v>
      </c>
      <c r="C689" s="2">
        <v>5</v>
      </c>
      <c r="D689" s="2" t="s">
        <v>38</v>
      </c>
      <c r="E689" s="3">
        <v>44766</v>
      </c>
      <c r="F689" s="2" t="s">
        <v>107</v>
      </c>
      <c r="G689" s="2" t="s">
        <v>67</v>
      </c>
      <c r="H689" s="2" t="s">
        <v>49</v>
      </c>
      <c r="I689" s="4">
        <v>31355</v>
      </c>
    </row>
    <row r="690" spans="1:9" x14ac:dyDescent="0.25">
      <c r="A690" s="2" t="s">
        <v>21</v>
      </c>
      <c r="B690" s="2">
        <v>2400</v>
      </c>
      <c r="C690" s="2">
        <v>2</v>
      </c>
      <c r="D690" s="2" t="s">
        <v>32</v>
      </c>
      <c r="E690" s="3">
        <v>44566</v>
      </c>
      <c r="F690" s="2" t="s">
        <v>51</v>
      </c>
      <c r="G690" s="2" t="s">
        <v>99</v>
      </c>
      <c r="H690" s="2" t="s">
        <v>44</v>
      </c>
      <c r="I690" s="4">
        <v>18276</v>
      </c>
    </row>
    <row r="691" spans="1:9" x14ac:dyDescent="0.25">
      <c r="A691" s="2" t="s">
        <v>6</v>
      </c>
      <c r="B691" s="2">
        <v>1200</v>
      </c>
      <c r="C691" s="2">
        <v>2</v>
      </c>
      <c r="D691" s="2" t="s">
        <v>29</v>
      </c>
      <c r="E691" s="3">
        <v>44562</v>
      </c>
      <c r="F691" s="2" t="s">
        <v>98</v>
      </c>
      <c r="G691" s="2" t="s">
        <v>81</v>
      </c>
      <c r="H691" s="2" t="s">
        <v>44</v>
      </c>
      <c r="I691" s="4">
        <v>30937</v>
      </c>
    </row>
    <row r="692" spans="1:9" x14ac:dyDescent="0.25">
      <c r="A692" s="2" t="s">
        <v>20</v>
      </c>
      <c r="B692" s="2">
        <v>2600</v>
      </c>
      <c r="C692" s="2">
        <v>4</v>
      </c>
      <c r="D692" s="2" t="s">
        <v>37</v>
      </c>
      <c r="E692" s="3">
        <v>44624</v>
      </c>
      <c r="F692" s="2" t="s">
        <v>64</v>
      </c>
      <c r="G692" s="2" t="s">
        <v>622</v>
      </c>
      <c r="H692" s="2" t="s">
        <v>44</v>
      </c>
      <c r="I692" s="4">
        <v>20019</v>
      </c>
    </row>
    <row r="693" spans="1:9" x14ac:dyDescent="0.25">
      <c r="A693" s="2" t="s">
        <v>18</v>
      </c>
      <c r="B693" s="2">
        <v>3000</v>
      </c>
      <c r="C693" s="2">
        <v>5</v>
      </c>
      <c r="D693" s="2" t="s">
        <v>33</v>
      </c>
      <c r="E693" s="3">
        <v>44744</v>
      </c>
      <c r="F693" s="2" t="s">
        <v>98</v>
      </c>
      <c r="G693" s="2" t="s">
        <v>613</v>
      </c>
      <c r="H693" s="2" t="s">
        <v>44</v>
      </c>
      <c r="I693" s="4">
        <v>30574</v>
      </c>
    </row>
    <row r="694" spans="1:9" x14ac:dyDescent="0.25">
      <c r="A694" s="2" t="s">
        <v>10</v>
      </c>
      <c r="B694" s="2">
        <v>1450</v>
      </c>
      <c r="C694" s="2">
        <v>4</v>
      </c>
      <c r="D694" s="2" t="s">
        <v>35</v>
      </c>
      <c r="E694" s="3">
        <v>44767</v>
      </c>
      <c r="F694" s="2" t="s">
        <v>74</v>
      </c>
      <c r="G694" s="2" t="s">
        <v>621</v>
      </c>
      <c r="H694" s="2" t="s">
        <v>44</v>
      </c>
      <c r="I694" s="4">
        <v>34072</v>
      </c>
    </row>
    <row r="695" spans="1:9" x14ac:dyDescent="0.25">
      <c r="A695" s="2" t="s">
        <v>16</v>
      </c>
      <c r="B695" s="2">
        <v>1400</v>
      </c>
      <c r="C695" s="2">
        <v>4</v>
      </c>
      <c r="D695" s="2" t="s">
        <v>29</v>
      </c>
      <c r="E695" s="3">
        <v>44642</v>
      </c>
      <c r="F695" s="2" t="s">
        <v>173</v>
      </c>
      <c r="G695" s="2" t="s">
        <v>181</v>
      </c>
      <c r="H695" s="2" t="s">
        <v>44</v>
      </c>
      <c r="I695" s="4">
        <v>32179</v>
      </c>
    </row>
    <row r="696" spans="1:9" x14ac:dyDescent="0.25">
      <c r="A696" s="2" t="s">
        <v>5</v>
      </c>
      <c r="B696" s="2">
        <v>1750</v>
      </c>
      <c r="C696" s="2">
        <v>4</v>
      </c>
      <c r="D696" s="2" t="s">
        <v>37</v>
      </c>
      <c r="E696" s="3">
        <v>44779</v>
      </c>
      <c r="F696" s="2" t="s">
        <v>551</v>
      </c>
      <c r="G696" s="2" t="s">
        <v>198</v>
      </c>
      <c r="H696" s="2" t="s">
        <v>44</v>
      </c>
      <c r="I696" s="4">
        <v>25456</v>
      </c>
    </row>
    <row r="697" spans="1:9" x14ac:dyDescent="0.25">
      <c r="A697" s="2" t="s">
        <v>18</v>
      </c>
      <c r="B697" s="2">
        <v>3000</v>
      </c>
      <c r="C697" s="2">
        <v>1</v>
      </c>
      <c r="D697" s="2" t="s">
        <v>36</v>
      </c>
      <c r="E697" s="3">
        <v>44783</v>
      </c>
      <c r="F697" s="2" t="s">
        <v>486</v>
      </c>
      <c r="G697" s="2" t="s">
        <v>308</v>
      </c>
      <c r="H697" s="2" t="s">
        <v>44</v>
      </c>
      <c r="I697" s="4">
        <v>35988</v>
      </c>
    </row>
    <row r="698" spans="1:9" x14ac:dyDescent="0.25">
      <c r="A698" s="2" t="s">
        <v>20</v>
      </c>
      <c r="B698" s="2">
        <v>2600</v>
      </c>
      <c r="C698" s="2">
        <v>3</v>
      </c>
      <c r="D698" s="2" t="s">
        <v>39</v>
      </c>
      <c r="E698" s="3">
        <v>44782</v>
      </c>
      <c r="F698" s="2" t="s">
        <v>609</v>
      </c>
      <c r="G698" s="2" t="s">
        <v>594</v>
      </c>
      <c r="H698" s="2" t="s">
        <v>49</v>
      </c>
      <c r="I698" s="4">
        <v>29519</v>
      </c>
    </row>
    <row r="699" spans="1:9" x14ac:dyDescent="0.25">
      <c r="A699" s="2" t="s">
        <v>7</v>
      </c>
      <c r="B699" s="2">
        <v>750</v>
      </c>
      <c r="C699" s="2">
        <v>2</v>
      </c>
      <c r="D699" s="2" t="s">
        <v>38</v>
      </c>
      <c r="E699" s="3">
        <v>44745</v>
      </c>
      <c r="F699" s="2" t="s">
        <v>109</v>
      </c>
      <c r="G699" s="2" t="s">
        <v>71</v>
      </c>
      <c r="H699" s="2" t="s">
        <v>44</v>
      </c>
      <c r="I699" s="4">
        <v>30710</v>
      </c>
    </row>
    <row r="700" spans="1:9" x14ac:dyDescent="0.25">
      <c r="A700" s="2" t="s">
        <v>10</v>
      </c>
      <c r="B700" s="2">
        <v>1450</v>
      </c>
      <c r="C700" s="2">
        <v>1</v>
      </c>
      <c r="D700" s="2" t="s">
        <v>34</v>
      </c>
      <c r="E700" s="3">
        <v>44580</v>
      </c>
      <c r="F700" s="2" t="s">
        <v>476</v>
      </c>
      <c r="G700" s="2" t="s">
        <v>71</v>
      </c>
      <c r="H700" s="2" t="s">
        <v>44</v>
      </c>
      <c r="I700" s="4">
        <v>19508</v>
      </c>
    </row>
    <row r="701" spans="1:9" x14ac:dyDescent="0.25">
      <c r="A701" s="2" t="s">
        <v>23</v>
      </c>
      <c r="B701" s="2">
        <v>1500</v>
      </c>
      <c r="C701" s="2">
        <v>4</v>
      </c>
      <c r="D701" s="2" t="s">
        <v>29</v>
      </c>
      <c r="E701" s="3">
        <v>44911</v>
      </c>
      <c r="F701" s="2" t="s">
        <v>118</v>
      </c>
      <c r="G701" s="2" t="s">
        <v>391</v>
      </c>
      <c r="H701" s="2" t="s">
        <v>49</v>
      </c>
      <c r="I701" s="4">
        <v>35366</v>
      </c>
    </row>
    <row r="702" spans="1:9" x14ac:dyDescent="0.25">
      <c r="A702" s="2" t="s">
        <v>24</v>
      </c>
      <c r="B702" s="2">
        <v>2000</v>
      </c>
      <c r="C702" s="2">
        <v>5</v>
      </c>
      <c r="D702" s="2" t="s">
        <v>32</v>
      </c>
      <c r="E702" s="3">
        <v>44751</v>
      </c>
      <c r="F702" s="2" t="s">
        <v>70</v>
      </c>
      <c r="G702" s="2" t="s">
        <v>319</v>
      </c>
      <c r="H702" s="2" t="s">
        <v>44</v>
      </c>
      <c r="I702" s="4">
        <v>32945</v>
      </c>
    </row>
    <row r="703" spans="1:9" x14ac:dyDescent="0.25">
      <c r="A703" s="2" t="s">
        <v>16</v>
      </c>
      <c r="B703" s="2">
        <v>1400</v>
      </c>
      <c r="C703" s="2">
        <v>4</v>
      </c>
      <c r="D703" s="2" t="s">
        <v>30</v>
      </c>
      <c r="E703" s="3">
        <v>44574</v>
      </c>
      <c r="F703" s="2" t="s">
        <v>398</v>
      </c>
      <c r="G703" s="2" t="s">
        <v>83</v>
      </c>
      <c r="H703" s="2" t="s">
        <v>44</v>
      </c>
      <c r="I703" s="4">
        <v>27758</v>
      </c>
    </row>
    <row r="704" spans="1:9" x14ac:dyDescent="0.25">
      <c r="A704" s="2" t="s">
        <v>16</v>
      </c>
      <c r="B704" s="2">
        <v>1400</v>
      </c>
      <c r="C704" s="2">
        <v>2</v>
      </c>
      <c r="D704" s="2" t="s">
        <v>36</v>
      </c>
      <c r="E704" s="3">
        <v>44726</v>
      </c>
      <c r="F704" s="2" t="s">
        <v>486</v>
      </c>
      <c r="G704" s="2" t="s">
        <v>308</v>
      </c>
      <c r="H704" s="2" t="s">
        <v>44</v>
      </c>
      <c r="I704" s="4">
        <v>35988</v>
      </c>
    </row>
    <row r="705" spans="1:9" x14ac:dyDescent="0.25">
      <c r="A705" s="2" t="s">
        <v>5</v>
      </c>
      <c r="B705" s="2">
        <v>1750</v>
      </c>
      <c r="C705" s="2">
        <v>2</v>
      </c>
      <c r="D705" s="2" t="s">
        <v>39</v>
      </c>
      <c r="E705" s="3">
        <v>44660</v>
      </c>
      <c r="F705" s="2" t="s">
        <v>267</v>
      </c>
      <c r="G705" s="2" t="s">
        <v>230</v>
      </c>
      <c r="H705" s="2" t="s">
        <v>44</v>
      </c>
      <c r="I705" s="4">
        <v>35610</v>
      </c>
    </row>
    <row r="706" spans="1:9" x14ac:dyDescent="0.25">
      <c r="A706" s="2" t="s">
        <v>21</v>
      </c>
      <c r="B706" s="2">
        <v>2400</v>
      </c>
      <c r="C706" s="2">
        <v>5</v>
      </c>
      <c r="D706" s="2" t="s">
        <v>37</v>
      </c>
      <c r="E706" s="3">
        <v>44820</v>
      </c>
      <c r="F706" s="2" t="s">
        <v>570</v>
      </c>
      <c r="G706" s="2" t="s">
        <v>262</v>
      </c>
      <c r="H706" s="2" t="s">
        <v>49</v>
      </c>
      <c r="I706" s="4">
        <v>23974</v>
      </c>
    </row>
    <row r="707" spans="1:9" x14ac:dyDescent="0.25">
      <c r="A707" s="2" t="s">
        <v>26</v>
      </c>
      <c r="B707" s="2">
        <v>1100</v>
      </c>
      <c r="C707" s="2">
        <v>1</v>
      </c>
      <c r="D707" s="2" t="s">
        <v>30</v>
      </c>
      <c r="E707" s="3">
        <v>44920</v>
      </c>
      <c r="F707" s="2" t="s">
        <v>109</v>
      </c>
      <c r="G707" s="2" t="s">
        <v>63</v>
      </c>
      <c r="H707" s="2" t="s">
        <v>44</v>
      </c>
      <c r="I707" s="4">
        <v>20396</v>
      </c>
    </row>
    <row r="708" spans="1:9" x14ac:dyDescent="0.25">
      <c r="A708" s="2" t="s">
        <v>15</v>
      </c>
      <c r="B708" s="2">
        <v>1900</v>
      </c>
      <c r="C708" s="2">
        <v>5</v>
      </c>
      <c r="D708" s="2" t="s">
        <v>34</v>
      </c>
      <c r="E708" s="3">
        <v>44855</v>
      </c>
      <c r="F708" s="2" t="s">
        <v>155</v>
      </c>
      <c r="G708" s="2" t="s">
        <v>141</v>
      </c>
      <c r="H708" s="2" t="s">
        <v>44</v>
      </c>
      <c r="I708" s="4">
        <v>32109</v>
      </c>
    </row>
    <row r="709" spans="1:9" x14ac:dyDescent="0.25">
      <c r="A709" s="2" t="s">
        <v>20</v>
      </c>
      <c r="B709" s="2">
        <v>2600</v>
      </c>
      <c r="C709" s="2">
        <v>2</v>
      </c>
      <c r="D709" s="2" t="s">
        <v>33</v>
      </c>
      <c r="E709" s="3">
        <v>44612</v>
      </c>
      <c r="F709" s="2" t="s">
        <v>219</v>
      </c>
      <c r="G709" s="2" t="s">
        <v>220</v>
      </c>
      <c r="H709" s="2" t="s">
        <v>49</v>
      </c>
      <c r="I709" s="4">
        <v>22589</v>
      </c>
    </row>
    <row r="710" spans="1:9" x14ac:dyDescent="0.25">
      <c r="A710" s="2" t="s">
        <v>17</v>
      </c>
      <c r="B710" s="2">
        <v>1550</v>
      </c>
      <c r="C710" s="2">
        <v>2</v>
      </c>
      <c r="D710" s="2" t="s">
        <v>34</v>
      </c>
      <c r="E710" s="3">
        <v>44590</v>
      </c>
      <c r="F710" s="2" t="s">
        <v>167</v>
      </c>
      <c r="G710" s="2" t="s">
        <v>317</v>
      </c>
      <c r="H710" s="2" t="s">
        <v>44</v>
      </c>
      <c r="I710" s="4">
        <v>29698</v>
      </c>
    </row>
    <row r="711" spans="1:9" x14ac:dyDescent="0.25">
      <c r="A711" s="2" t="s">
        <v>23</v>
      </c>
      <c r="B711" s="2">
        <v>1500</v>
      </c>
      <c r="C711" s="2">
        <v>5</v>
      </c>
      <c r="D711" s="2" t="s">
        <v>40</v>
      </c>
      <c r="E711" s="3">
        <v>44864</v>
      </c>
      <c r="F711" s="2" t="s">
        <v>267</v>
      </c>
      <c r="G711" s="2" t="s">
        <v>55</v>
      </c>
      <c r="H711" s="2" t="s">
        <v>44</v>
      </c>
      <c r="I711" s="4">
        <v>29760</v>
      </c>
    </row>
    <row r="712" spans="1:9" x14ac:dyDescent="0.25">
      <c r="A712" s="2" t="s">
        <v>21</v>
      </c>
      <c r="B712" s="2">
        <v>2400</v>
      </c>
      <c r="C712" s="2">
        <v>5</v>
      </c>
      <c r="D712" s="2" t="s">
        <v>40</v>
      </c>
      <c r="E712" s="3">
        <v>44923</v>
      </c>
      <c r="F712" s="2" t="s">
        <v>392</v>
      </c>
      <c r="G712" s="2" t="s">
        <v>393</v>
      </c>
      <c r="H712" s="2" t="s">
        <v>49</v>
      </c>
      <c r="I712" s="4">
        <v>31041</v>
      </c>
    </row>
    <row r="713" spans="1:9" x14ac:dyDescent="0.25">
      <c r="A713" s="2" t="s">
        <v>5</v>
      </c>
      <c r="B713" s="2">
        <v>1750</v>
      </c>
      <c r="C713" s="2">
        <v>4</v>
      </c>
      <c r="D713" s="2" t="s">
        <v>29</v>
      </c>
      <c r="E713" s="3">
        <v>44808</v>
      </c>
      <c r="F713" s="2" t="s">
        <v>179</v>
      </c>
      <c r="G713" s="2" t="s">
        <v>383</v>
      </c>
      <c r="H713" s="2" t="s">
        <v>44</v>
      </c>
      <c r="I713" s="4">
        <v>20035</v>
      </c>
    </row>
    <row r="714" spans="1:9" x14ac:dyDescent="0.25">
      <c r="A714" s="2" t="s">
        <v>10</v>
      </c>
      <c r="B714" s="2">
        <v>1450</v>
      </c>
      <c r="C714" s="2">
        <v>2</v>
      </c>
      <c r="D714" s="2" t="s">
        <v>32</v>
      </c>
      <c r="E714" s="3">
        <v>44755</v>
      </c>
      <c r="F714" s="2" t="s">
        <v>341</v>
      </c>
      <c r="G714" s="2" t="s">
        <v>342</v>
      </c>
      <c r="H714" s="2" t="s">
        <v>49</v>
      </c>
      <c r="I714" s="4">
        <v>25751</v>
      </c>
    </row>
    <row r="715" spans="1:9" x14ac:dyDescent="0.25">
      <c r="A715" s="2" t="s">
        <v>23</v>
      </c>
      <c r="B715" s="2">
        <v>1500</v>
      </c>
      <c r="C715" s="2">
        <v>3</v>
      </c>
      <c r="D715" s="2" t="s">
        <v>41</v>
      </c>
      <c r="E715" s="3">
        <v>44653</v>
      </c>
      <c r="F715" s="2" t="s">
        <v>190</v>
      </c>
      <c r="G715" s="2" t="s">
        <v>545</v>
      </c>
      <c r="H715" s="2" t="s">
        <v>44</v>
      </c>
      <c r="I715" s="4">
        <v>20285</v>
      </c>
    </row>
    <row r="716" spans="1:9" x14ac:dyDescent="0.25">
      <c r="A716" s="2" t="s">
        <v>25</v>
      </c>
      <c r="B716" s="2">
        <v>2500</v>
      </c>
      <c r="C716" s="2">
        <v>2</v>
      </c>
      <c r="D716" s="2" t="s">
        <v>31</v>
      </c>
      <c r="E716" s="3">
        <v>44590</v>
      </c>
      <c r="F716" s="2" t="s">
        <v>62</v>
      </c>
      <c r="G716" s="2" t="s">
        <v>63</v>
      </c>
      <c r="H716" s="2" t="s">
        <v>49</v>
      </c>
      <c r="I716" s="4">
        <v>19305</v>
      </c>
    </row>
    <row r="717" spans="1:9" x14ac:dyDescent="0.25">
      <c r="A717" s="2" t="s">
        <v>17</v>
      </c>
      <c r="B717" s="2">
        <v>1550</v>
      </c>
      <c r="C717" s="2">
        <v>4</v>
      </c>
      <c r="D717" s="2" t="s">
        <v>37</v>
      </c>
      <c r="E717" s="3">
        <v>44593</v>
      </c>
      <c r="F717" s="2" t="s">
        <v>298</v>
      </c>
      <c r="G717" s="2" t="s">
        <v>273</v>
      </c>
      <c r="H717" s="2" t="s">
        <v>44</v>
      </c>
      <c r="I717" s="4">
        <v>20294</v>
      </c>
    </row>
    <row r="718" spans="1:9" x14ac:dyDescent="0.25">
      <c r="A718" s="2" t="s">
        <v>19</v>
      </c>
      <c r="B718" s="2">
        <v>700</v>
      </c>
      <c r="C718" s="2">
        <v>5</v>
      </c>
      <c r="D718" s="2" t="s">
        <v>33</v>
      </c>
      <c r="E718" s="3">
        <v>44922</v>
      </c>
      <c r="F718" s="2" t="s">
        <v>256</v>
      </c>
      <c r="G718" s="2" t="s">
        <v>441</v>
      </c>
      <c r="H718" s="2" t="s">
        <v>44</v>
      </c>
      <c r="I718" s="4">
        <v>21187</v>
      </c>
    </row>
    <row r="719" spans="1:9" x14ac:dyDescent="0.25">
      <c r="A719" s="2" t="s">
        <v>21</v>
      </c>
      <c r="B719" s="2">
        <v>2400</v>
      </c>
      <c r="C719" s="2">
        <v>4</v>
      </c>
      <c r="D719" s="2" t="s">
        <v>29</v>
      </c>
      <c r="E719" s="3">
        <v>44595</v>
      </c>
      <c r="F719" s="2" t="s">
        <v>426</v>
      </c>
      <c r="G719" s="2" t="s">
        <v>75</v>
      </c>
      <c r="H719" s="2" t="s">
        <v>49</v>
      </c>
      <c r="I719" s="4">
        <v>33756</v>
      </c>
    </row>
    <row r="720" spans="1:9" x14ac:dyDescent="0.25">
      <c r="A720" s="2" t="s">
        <v>19</v>
      </c>
      <c r="B720" s="2">
        <v>700</v>
      </c>
      <c r="C720" s="2">
        <v>2</v>
      </c>
      <c r="D720" s="2" t="s">
        <v>29</v>
      </c>
      <c r="E720" s="3">
        <v>44888</v>
      </c>
      <c r="F720" s="2" t="s">
        <v>155</v>
      </c>
      <c r="G720" s="2" t="s">
        <v>230</v>
      </c>
      <c r="H720" s="2" t="s">
        <v>44</v>
      </c>
      <c r="I720" s="4">
        <v>22868</v>
      </c>
    </row>
    <row r="721" spans="1:9" x14ac:dyDescent="0.25">
      <c r="A721" s="2" t="s">
        <v>5</v>
      </c>
      <c r="B721" s="2">
        <v>1750</v>
      </c>
      <c r="C721" s="2">
        <v>1</v>
      </c>
      <c r="D721" s="2" t="s">
        <v>40</v>
      </c>
      <c r="E721" s="3">
        <v>44797</v>
      </c>
      <c r="F721" s="2" t="s">
        <v>78</v>
      </c>
      <c r="G721" s="2" t="s">
        <v>294</v>
      </c>
      <c r="H721" s="2" t="s">
        <v>49</v>
      </c>
      <c r="I721" s="4">
        <v>30553</v>
      </c>
    </row>
    <row r="722" spans="1:9" x14ac:dyDescent="0.25">
      <c r="A722" s="2" t="s">
        <v>9</v>
      </c>
      <c r="B722" s="2">
        <v>1500</v>
      </c>
      <c r="C722" s="2">
        <v>3</v>
      </c>
      <c r="D722" s="2" t="s">
        <v>39</v>
      </c>
      <c r="E722" s="3">
        <v>44632</v>
      </c>
      <c r="F722" s="2" t="s">
        <v>137</v>
      </c>
      <c r="G722" s="2" t="s">
        <v>360</v>
      </c>
      <c r="H722" s="2" t="s">
        <v>49</v>
      </c>
      <c r="I722" s="4">
        <v>34218</v>
      </c>
    </row>
    <row r="723" spans="1:9" x14ac:dyDescent="0.25">
      <c r="A723" s="2" t="s">
        <v>16</v>
      </c>
      <c r="B723" s="2">
        <v>1400</v>
      </c>
      <c r="C723" s="2">
        <v>4</v>
      </c>
      <c r="D723" s="2" t="s">
        <v>40</v>
      </c>
      <c r="E723" s="3">
        <v>44761</v>
      </c>
      <c r="F723" s="2" t="s">
        <v>328</v>
      </c>
      <c r="G723" s="2" t="s">
        <v>200</v>
      </c>
      <c r="H723" s="2" t="s">
        <v>49</v>
      </c>
      <c r="I723" s="4">
        <v>33025</v>
      </c>
    </row>
    <row r="724" spans="1:9" x14ac:dyDescent="0.25">
      <c r="A724" s="2" t="s">
        <v>24</v>
      </c>
      <c r="B724" s="2">
        <v>2000</v>
      </c>
      <c r="C724" s="2">
        <v>3</v>
      </c>
      <c r="D724" s="2" t="s">
        <v>40</v>
      </c>
      <c r="E724" s="3">
        <v>44704</v>
      </c>
      <c r="F724" s="2" t="s">
        <v>461</v>
      </c>
      <c r="G724" s="2" t="s">
        <v>83</v>
      </c>
      <c r="H724" s="2" t="s">
        <v>49</v>
      </c>
      <c r="I724" s="4">
        <v>35735</v>
      </c>
    </row>
    <row r="725" spans="1:9" x14ac:dyDescent="0.25">
      <c r="A725" s="2" t="s">
        <v>25</v>
      </c>
      <c r="B725" s="2">
        <v>2500</v>
      </c>
      <c r="C725" s="2">
        <v>5</v>
      </c>
      <c r="D725" s="2" t="s">
        <v>32</v>
      </c>
      <c r="E725" s="3">
        <v>44618</v>
      </c>
      <c r="F725" s="2" t="s">
        <v>254</v>
      </c>
      <c r="G725" s="2" t="s">
        <v>255</v>
      </c>
      <c r="H725" s="2" t="s">
        <v>49</v>
      </c>
      <c r="I725" s="4">
        <v>33057</v>
      </c>
    </row>
    <row r="726" spans="1:9" x14ac:dyDescent="0.25">
      <c r="A726" s="2" t="s">
        <v>14</v>
      </c>
      <c r="B726" s="2">
        <v>2000</v>
      </c>
      <c r="C726" s="2">
        <v>4</v>
      </c>
      <c r="D726" s="2" t="s">
        <v>29</v>
      </c>
      <c r="E726" s="3">
        <v>44902</v>
      </c>
      <c r="F726" s="2" t="s">
        <v>52</v>
      </c>
      <c r="G726" s="2" t="s">
        <v>232</v>
      </c>
      <c r="H726" s="2" t="s">
        <v>44</v>
      </c>
      <c r="I726" s="4">
        <v>34971</v>
      </c>
    </row>
    <row r="727" spans="1:9" x14ac:dyDescent="0.25">
      <c r="A727" s="2" t="s">
        <v>25</v>
      </c>
      <c r="B727" s="2">
        <v>2500</v>
      </c>
      <c r="C727" s="2">
        <v>5</v>
      </c>
      <c r="D727" s="2" t="s">
        <v>29</v>
      </c>
      <c r="E727" s="3">
        <v>44874</v>
      </c>
      <c r="F727" s="2" t="s">
        <v>426</v>
      </c>
      <c r="G727" s="2" t="s">
        <v>75</v>
      </c>
      <c r="H727" s="2" t="s">
        <v>49</v>
      </c>
      <c r="I727" s="4">
        <v>33756</v>
      </c>
    </row>
    <row r="728" spans="1:9" x14ac:dyDescent="0.25">
      <c r="A728" s="2" t="s">
        <v>16</v>
      </c>
      <c r="B728" s="2">
        <v>1400</v>
      </c>
      <c r="C728" s="2">
        <v>4</v>
      </c>
      <c r="D728" s="2" t="s">
        <v>37</v>
      </c>
      <c r="E728" s="3">
        <v>44813</v>
      </c>
      <c r="F728" s="2" t="s">
        <v>87</v>
      </c>
      <c r="G728" s="2" t="s">
        <v>205</v>
      </c>
      <c r="H728" s="2" t="s">
        <v>44</v>
      </c>
      <c r="I728" s="4">
        <v>33504</v>
      </c>
    </row>
    <row r="729" spans="1:9" x14ac:dyDescent="0.25">
      <c r="A729" s="2" t="s">
        <v>26</v>
      </c>
      <c r="B729" s="2">
        <v>1100</v>
      </c>
      <c r="C729" s="2">
        <v>2</v>
      </c>
      <c r="D729" s="2" t="s">
        <v>35</v>
      </c>
      <c r="E729" s="3">
        <v>44599</v>
      </c>
      <c r="F729" s="2" t="s">
        <v>120</v>
      </c>
      <c r="G729" s="2" t="s">
        <v>440</v>
      </c>
      <c r="H729" s="2" t="s">
        <v>44</v>
      </c>
      <c r="I729" s="4">
        <v>25875</v>
      </c>
    </row>
    <row r="730" spans="1:9" x14ac:dyDescent="0.25">
      <c r="A730" s="2" t="s">
        <v>22</v>
      </c>
      <c r="B730" s="2">
        <v>5200</v>
      </c>
      <c r="C730" s="2">
        <v>3</v>
      </c>
      <c r="D730" s="2" t="s">
        <v>35</v>
      </c>
      <c r="E730" s="3">
        <v>44596</v>
      </c>
      <c r="F730" s="2" t="s">
        <v>127</v>
      </c>
      <c r="G730" s="2" t="s">
        <v>189</v>
      </c>
      <c r="H730" s="2" t="s">
        <v>44</v>
      </c>
      <c r="I730" s="4">
        <v>20410</v>
      </c>
    </row>
    <row r="731" spans="1:9" x14ac:dyDescent="0.25">
      <c r="A731" s="2" t="s">
        <v>6</v>
      </c>
      <c r="B731" s="2">
        <v>1200</v>
      </c>
      <c r="C731" s="2">
        <v>5</v>
      </c>
      <c r="D731" s="2" t="s">
        <v>38</v>
      </c>
      <c r="E731" s="3">
        <v>44676</v>
      </c>
      <c r="F731" s="2" t="s">
        <v>51</v>
      </c>
      <c r="G731" s="2" t="s">
        <v>412</v>
      </c>
      <c r="H731" s="2" t="s">
        <v>44</v>
      </c>
      <c r="I731" s="4">
        <v>32482</v>
      </c>
    </row>
    <row r="732" spans="1:9" x14ac:dyDescent="0.25">
      <c r="A732" s="2" t="s">
        <v>5</v>
      </c>
      <c r="B732" s="2">
        <v>1750</v>
      </c>
      <c r="C732" s="2">
        <v>3</v>
      </c>
      <c r="D732" s="2" t="s">
        <v>29</v>
      </c>
      <c r="E732" s="3">
        <v>44646</v>
      </c>
      <c r="F732" s="2" t="s">
        <v>129</v>
      </c>
      <c r="G732" s="2" t="s">
        <v>130</v>
      </c>
      <c r="H732" s="2" t="s">
        <v>49</v>
      </c>
      <c r="I732" s="4">
        <v>24024</v>
      </c>
    </row>
    <row r="733" spans="1:9" x14ac:dyDescent="0.25">
      <c r="A733" s="2" t="s">
        <v>15</v>
      </c>
      <c r="B733" s="2">
        <v>1900</v>
      </c>
      <c r="C733" s="2">
        <v>2</v>
      </c>
      <c r="D733" s="2" t="s">
        <v>37</v>
      </c>
      <c r="E733" s="3">
        <v>44613</v>
      </c>
      <c r="F733" s="2" t="s">
        <v>109</v>
      </c>
      <c r="G733" s="2" t="s">
        <v>567</v>
      </c>
      <c r="H733" s="2" t="s">
        <v>44</v>
      </c>
      <c r="I733" s="4">
        <v>30062</v>
      </c>
    </row>
    <row r="734" spans="1:9" x14ac:dyDescent="0.25">
      <c r="A734" s="2" t="s">
        <v>20</v>
      </c>
      <c r="B734" s="2">
        <v>2600</v>
      </c>
      <c r="C734" s="2">
        <v>1</v>
      </c>
      <c r="D734" s="2" t="s">
        <v>36</v>
      </c>
      <c r="E734" s="3">
        <v>44830</v>
      </c>
      <c r="F734" s="2" t="s">
        <v>173</v>
      </c>
      <c r="G734" s="2" t="s">
        <v>359</v>
      </c>
      <c r="H734" s="2" t="s">
        <v>44</v>
      </c>
      <c r="I734" s="4">
        <v>33395</v>
      </c>
    </row>
    <row r="735" spans="1:9" x14ac:dyDescent="0.25">
      <c r="A735" s="2" t="s">
        <v>28</v>
      </c>
      <c r="B735" s="2">
        <v>1400</v>
      </c>
      <c r="C735" s="2">
        <v>4</v>
      </c>
      <c r="D735" s="2" t="s">
        <v>34</v>
      </c>
      <c r="E735" s="3">
        <v>44919</v>
      </c>
      <c r="F735" s="2" t="s">
        <v>439</v>
      </c>
      <c r="G735" s="2" t="s">
        <v>89</v>
      </c>
      <c r="H735" s="2" t="s">
        <v>44</v>
      </c>
      <c r="I735" s="4">
        <v>20248</v>
      </c>
    </row>
    <row r="736" spans="1:9" x14ac:dyDescent="0.25">
      <c r="A736" s="2" t="s">
        <v>21</v>
      </c>
      <c r="B736" s="2">
        <v>2400</v>
      </c>
      <c r="C736" s="2">
        <v>4</v>
      </c>
      <c r="D736" s="2" t="s">
        <v>33</v>
      </c>
      <c r="E736" s="3">
        <v>44757</v>
      </c>
      <c r="F736" s="2" t="s">
        <v>52</v>
      </c>
      <c r="G736" s="2" t="s">
        <v>75</v>
      </c>
      <c r="H736" s="2" t="s">
        <v>44</v>
      </c>
      <c r="I736" s="4">
        <v>29332</v>
      </c>
    </row>
    <row r="737" spans="1:9" x14ac:dyDescent="0.25">
      <c r="A737" s="2" t="s">
        <v>7</v>
      </c>
      <c r="B737" s="2">
        <v>750</v>
      </c>
      <c r="C737" s="2">
        <v>1</v>
      </c>
      <c r="D737" s="2" t="s">
        <v>38</v>
      </c>
      <c r="E737" s="3">
        <v>44711</v>
      </c>
      <c r="F737" s="2" t="s">
        <v>568</v>
      </c>
      <c r="G737" s="2" t="s">
        <v>529</v>
      </c>
      <c r="H737" s="2" t="s">
        <v>44</v>
      </c>
      <c r="I737" s="4">
        <v>22705</v>
      </c>
    </row>
    <row r="738" spans="1:9" x14ac:dyDescent="0.25">
      <c r="A738" s="2" t="s">
        <v>25</v>
      </c>
      <c r="B738" s="2">
        <v>2500</v>
      </c>
      <c r="C738" s="2">
        <v>1</v>
      </c>
      <c r="D738" s="2" t="s">
        <v>30</v>
      </c>
      <c r="E738" s="3">
        <v>44818</v>
      </c>
      <c r="F738" s="2" t="s">
        <v>137</v>
      </c>
      <c r="G738" s="2" t="s">
        <v>236</v>
      </c>
      <c r="H738" s="2" t="s">
        <v>49</v>
      </c>
      <c r="I738" s="4">
        <v>26258</v>
      </c>
    </row>
    <row r="739" spans="1:9" x14ac:dyDescent="0.25">
      <c r="A739" s="2" t="s">
        <v>25</v>
      </c>
      <c r="B739" s="2">
        <v>2500</v>
      </c>
      <c r="C739" s="2">
        <v>1</v>
      </c>
      <c r="D739" s="2" t="s">
        <v>31</v>
      </c>
      <c r="E739" s="3">
        <v>44582</v>
      </c>
      <c r="F739" s="2" t="s">
        <v>109</v>
      </c>
      <c r="G739" s="2" t="s">
        <v>190</v>
      </c>
      <c r="H739" s="2" t="s">
        <v>44</v>
      </c>
      <c r="I739" s="4">
        <v>35339</v>
      </c>
    </row>
    <row r="740" spans="1:9" x14ac:dyDescent="0.25">
      <c r="A740" s="2" t="s">
        <v>21</v>
      </c>
      <c r="B740" s="2">
        <v>2400</v>
      </c>
      <c r="C740" s="2">
        <v>4</v>
      </c>
      <c r="D740" s="2" t="s">
        <v>34</v>
      </c>
      <c r="E740" s="3">
        <v>44687</v>
      </c>
      <c r="F740" s="2" t="s">
        <v>42</v>
      </c>
      <c r="G740" s="2" t="s">
        <v>100</v>
      </c>
      <c r="H740" s="2" t="s">
        <v>44</v>
      </c>
      <c r="I740" s="4">
        <v>36495</v>
      </c>
    </row>
    <row r="741" spans="1:9" x14ac:dyDescent="0.25">
      <c r="A741" s="2" t="s">
        <v>14</v>
      </c>
      <c r="B741" s="2">
        <v>2000</v>
      </c>
      <c r="C741" s="2">
        <v>4</v>
      </c>
      <c r="D741" s="2" t="s">
        <v>30</v>
      </c>
      <c r="E741" s="3">
        <v>44728</v>
      </c>
      <c r="F741" s="2" t="s">
        <v>556</v>
      </c>
      <c r="G741" s="2" t="s">
        <v>557</v>
      </c>
      <c r="H741" s="2" t="s">
        <v>44</v>
      </c>
      <c r="I741" s="4">
        <v>32595</v>
      </c>
    </row>
    <row r="742" spans="1:9" x14ac:dyDescent="0.25">
      <c r="A742" s="2" t="s">
        <v>5</v>
      </c>
      <c r="B742" s="2">
        <v>1750</v>
      </c>
      <c r="C742" s="2">
        <v>4</v>
      </c>
      <c r="D742" s="2" t="s">
        <v>30</v>
      </c>
      <c r="E742" s="3">
        <v>44741</v>
      </c>
      <c r="F742" s="2" t="s">
        <v>120</v>
      </c>
      <c r="G742" s="2" t="s">
        <v>549</v>
      </c>
      <c r="H742" s="2" t="s">
        <v>44</v>
      </c>
      <c r="I742" s="4">
        <v>21751</v>
      </c>
    </row>
    <row r="743" spans="1:9" x14ac:dyDescent="0.25">
      <c r="A743" s="2" t="s">
        <v>6</v>
      </c>
      <c r="B743" s="2">
        <v>1200</v>
      </c>
      <c r="C743" s="2">
        <v>5</v>
      </c>
      <c r="D743" s="2" t="s">
        <v>34</v>
      </c>
      <c r="E743" s="3">
        <v>44897</v>
      </c>
      <c r="F743" s="2" t="s">
        <v>542</v>
      </c>
      <c r="G743" s="2" t="s">
        <v>117</v>
      </c>
      <c r="H743" s="2" t="s">
        <v>44</v>
      </c>
      <c r="I743" s="4">
        <v>27387</v>
      </c>
    </row>
    <row r="744" spans="1:9" x14ac:dyDescent="0.25">
      <c r="A744" s="2" t="s">
        <v>23</v>
      </c>
      <c r="B744" s="2">
        <v>1500</v>
      </c>
      <c r="C744" s="2">
        <v>2</v>
      </c>
      <c r="D744" s="2" t="s">
        <v>35</v>
      </c>
      <c r="E744" s="3">
        <v>44915</v>
      </c>
      <c r="F744" s="2" t="s">
        <v>131</v>
      </c>
      <c r="G744" s="2" t="s">
        <v>500</v>
      </c>
      <c r="H744" s="2" t="s">
        <v>44</v>
      </c>
      <c r="I744" s="4">
        <v>25504</v>
      </c>
    </row>
    <row r="745" spans="1:9" x14ac:dyDescent="0.25">
      <c r="A745" s="2" t="s">
        <v>16</v>
      </c>
      <c r="B745" s="2">
        <v>1400</v>
      </c>
      <c r="C745" s="2">
        <v>2</v>
      </c>
      <c r="D745" s="2" t="s">
        <v>36</v>
      </c>
      <c r="E745" s="3">
        <v>44768</v>
      </c>
      <c r="F745" s="2" t="s">
        <v>595</v>
      </c>
      <c r="G745" s="2" t="s">
        <v>83</v>
      </c>
      <c r="H745" s="2" t="s">
        <v>49</v>
      </c>
      <c r="I745" s="4">
        <v>36243</v>
      </c>
    </row>
    <row r="746" spans="1:9" x14ac:dyDescent="0.25">
      <c r="A746" s="2" t="s">
        <v>7</v>
      </c>
      <c r="B746" s="2">
        <v>750</v>
      </c>
      <c r="C746" s="2">
        <v>2</v>
      </c>
      <c r="D746" s="2" t="s">
        <v>30</v>
      </c>
      <c r="E746" s="3">
        <v>44625</v>
      </c>
      <c r="F746" s="2" t="s">
        <v>343</v>
      </c>
      <c r="G746" s="2" t="s">
        <v>193</v>
      </c>
      <c r="H746" s="2" t="s">
        <v>49</v>
      </c>
      <c r="I746" s="4">
        <v>19478</v>
      </c>
    </row>
    <row r="747" spans="1:9" x14ac:dyDescent="0.25">
      <c r="A747" s="2" t="s">
        <v>15</v>
      </c>
      <c r="B747" s="2">
        <v>1900</v>
      </c>
      <c r="C747" s="2">
        <v>1</v>
      </c>
      <c r="D747" s="2" t="s">
        <v>36</v>
      </c>
      <c r="E747" s="3">
        <v>44837</v>
      </c>
      <c r="F747" s="2" t="s">
        <v>439</v>
      </c>
      <c r="G747" s="2" t="s">
        <v>448</v>
      </c>
      <c r="H747" s="2" t="s">
        <v>44</v>
      </c>
      <c r="I747" s="4">
        <v>19690</v>
      </c>
    </row>
    <row r="748" spans="1:9" x14ac:dyDescent="0.25">
      <c r="A748" s="2" t="s">
        <v>27</v>
      </c>
      <c r="B748" s="2">
        <v>1500</v>
      </c>
      <c r="C748" s="2">
        <v>4</v>
      </c>
      <c r="D748" s="2" t="s">
        <v>39</v>
      </c>
      <c r="E748" s="3">
        <v>44783</v>
      </c>
      <c r="F748" s="2" t="s">
        <v>239</v>
      </c>
      <c r="G748" s="2" t="s">
        <v>63</v>
      </c>
      <c r="H748" s="2" t="s">
        <v>49</v>
      </c>
      <c r="I748" s="4">
        <v>18506</v>
      </c>
    </row>
    <row r="749" spans="1:9" x14ac:dyDescent="0.25">
      <c r="A749" s="2" t="s">
        <v>13</v>
      </c>
      <c r="B749" s="2">
        <v>2300</v>
      </c>
      <c r="C749" s="2">
        <v>1</v>
      </c>
      <c r="D749" s="2" t="s">
        <v>29</v>
      </c>
      <c r="E749" s="3">
        <v>44578</v>
      </c>
      <c r="F749" s="2" t="s">
        <v>211</v>
      </c>
      <c r="G749" s="2" t="s">
        <v>212</v>
      </c>
      <c r="H749" s="2" t="s">
        <v>49</v>
      </c>
      <c r="I749" s="4">
        <v>25413</v>
      </c>
    </row>
    <row r="750" spans="1:9" x14ac:dyDescent="0.25">
      <c r="A750" s="2" t="s">
        <v>12</v>
      </c>
      <c r="B750" s="2">
        <v>6500</v>
      </c>
      <c r="C750" s="2">
        <v>1</v>
      </c>
      <c r="D750" s="2" t="s">
        <v>35</v>
      </c>
      <c r="E750" s="3">
        <v>44802</v>
      </c>
      <c r="F750" s="2" t="s">
        <v>328</v>
      </c>
      <c r="G750" s="2" t="s">
        <v>149</v>
      </c>
      <c r="H750" s="2" t="s">
        <v>49</v>
      </c>
      <c r="I750" s="4">
        <v>36743</v>
      </c>
    </row>
    <row r="751" spans="1:9" x14ac:dyDescent="0.25">
      <c r="A751" s="2" t="s">
        <v>17</v>
      </c>
      <c r="B751" s="2">
        <v>1550</v>
      </c>
      <c r="C751" s="2">
        <v>4</v>
      </c>
      <c r="D751" s="2" t="s">
        <v>41</v>
      </c>
      <c r="E751" s="3">
        <v>44568</v>
      </c>
      <c r="F751" s="2" t="s">
        <v>259</v>
      </c>
      <c r="G751" s="2" t="s">
        <v>432</v>
      </c>
      <c r="H751" s="2" t="s">
        <v>49</v>
      </c>
      <c r="I751" s="4">
        <v>34546</v>
      </c>
    </row>
    <row r="752" spans="1:9" x14ac:dyDescent="0.25">
      <c r="A752" s="2" t="s">
        <v>11</v>
      </c>
      <c r="B752" s="2">
        <v>4500</v>
      </c>
      <c r="C752" s="2">
        <v>1</v>
      </c>
      <c r="D752" s="2" t="s">
        <v>29</v>
      </c>
      <c r="E752" s="3">
        <v>44588</v>
      </c>
      <c r="F752" s="2" t="s">
        <v>74</v>
      </c>
      <c r="G752" s="2" t="s">
        <v>63</v>
      </c>
      <c r="H752" s="2" t="s">
        <v>44</v>
      </c>
      <c r="I752" s="4">
        <v>26891</v>
      </c>
    </row>
    <row r="753" spans="1:9" x14ac:dyDescent="0.25">
      <c r="A753" s="2" t="s">
        <v>13</v>
      </c>
      <c r="B753" s="2">
        <v>2300</v>
      </c>
      <c r="C753" s="2">
        <v>4</v>
      </c>
      <c r="D753" s="2" t="s">
        <v>38</v>
      </c>
      <c r="E753" s="3">
        <v>44687</v>
      </c>
      <c r="F753" s="2" t="s">
        <v>187</v>
      </c>
      <c r="G753" s="2" t="s">
        <v>495</v>
      </c>
      <c r="H753" s="2" t="s">
        <v>49</v>
      </c>
      <c r="I753" s="4">
        <v>32094</v>
      </c>
    </row>
    <row r="754" spans="1:9" x14ac:dyDescent="0.25">
      <c r="A754" s="2" t="s">
        <v>8</v>
      </c>
      <c r="B754" s="2">
        <v>5500</v>
      </c>
      <c r="C754" s="2">
        <v>1</v>
      </c>
      <c r="D754" s="2" t="s">
        <v>34</v>
      </c>
      <c r="E754" s="3">
        <v>44728</v>
      </c>
      <c r="F754" s="2" t="s">
        <v>74</v>
      </c>
      <c r="G754" s="2" t="s">
        <v>213</v>
      </c>
      <c r="H754" s="2" t="s">
        <v>44</v>
      </c>
      <c r="I754" s="4">
        <v>31453</v>
      </c>
    </row>
    <row r="755" spans="1:9" x14ac:dyDescent="0.25">
      <c r="A755" s="2" t="s">
        <v>9</v>
      </c>
      <c r="B755" s="2">
        <v>1500</v>
      </c>
      <c r="C755" s="2">
        <v>5</v>
      </c>
      <c r="D755" s="2" t="s">
        <v>32</v>
      </c>
      <c r="E755" s="3">
        <v>44851</v>
      </c>
      <c r="F755" s="2" t="s">
        <v>109</v>
      </c>
      <c r="G755" s="2" t="s">
        <v>152</v>
      </c>
      <c r="H755" s="2" t="s">
        <v>44</v>
      </c>
      <c r="I755" s="4">
        <v>31883</v>
      </c>
    </row>
    <row r="756" spans="1:9" x14ac:dyDescent="0.25">
      <c r="A756" s="2" t="s">
        <v>6</v>
      </c>
      <c r="B756" s="2">
        <v>1200</v>
      </c>
      <c r="C756" s="2">
        <v>3</v>
      </c>
      <c r="D756" s="2" t="s">
        <v>34</v>
      </c>
      <c r="E756" s="3">
        <v>44680</v>
      </c>
      <c r="F756" s="2" t="s">
        <v>452</v>
      </c>
      <c r="G756" s="2" t="s">
        <v>453</v>
      </c>
      <c r="H756" s="2" t="s">
        <v>44</v>
      </c>
      <c r="I756" s="4">
        <v>29510</v>
      </c>
    </row>
    <row r="757" spans="1:9" x14ac:dyDescent="0.25">
      <c r="A757" s="2" t="s">
        <v>18</v>
      </c>
      <c r="B757" s="2">
        <v>3000</v>
      </c>
      <c r="C757" s="2">
        <v>5</v>
      </c>
      <c r="D757" s="2" t="s">
        <v>33</v>
      </c>
      <c r="E757" s="3">
        <v>44727</v>
      </c>
      <c r="F757" s="2" t="s">
        <v>265</v>
      </c>
      <c r="G757" s="2" t="s">
        <v>266</v>
      </c>
      <c r="H757" s="2" t="s">
        <v>49</v>
      </c>
      <c r="I757" s="4">
        <v>31076</v>
      </c>
    </row>
    <row r="758" spans="1:9" x14ac:dyDescent="0.25">
      <c r="A758" s="2" t="s">
        <v>13</v>
      </c>
      <c r="B758" s="2">
        <v>2300</v>
      </c>
      <c r="C758" s="2">
        <v>5</v>
      </c>
      <c r="D758" s="2" t="s">
        <v>36</v>
      </c>
      <c r="E758" s="3">
        <v>44805</v>
      </c>
      <c r="F758" s="2" t="s">
        <v>505</v>
      </c>
      <c r="G758" s="2" t="s">
        <v>274</v>
      </c>
      <c r="H758" s="2" t="s">
        <v>44</v>
      </c>
      <c r="I758" s="4">
        <v>24346</v>
      </c>
    </row>
    <row r="759" spans="1:9" x14ac:dyDescent="0.25">
      <c r="A759" s="2" t="s">
        <v>9</v>
      </c>
      <c r="B759" s="2">
        <v>1500</v>
      </c>
      <c r="C759" s="2">
        <v>3</v>
      </c>
      <c r="D759" s="2" t="s">
        <v>36</v>
      </c>
      <c r="E759" s="3">
        <v>44926</v>
      </c>
      <c r="F759" s="2" t="s">
        <v>408</v>
      </c>
      <c r="G759" s="2" t="s">
        <v>55</v>
      </c>
      <c r="H759" s="2" t="s">
        <v>49</v>
      </c>
      <c r="I759" s="4">
        <v>22393</v>
      </c>
    </row>
    <row r="760" spans="1:9" x14ac:dyDescent="0.25">
      <c r="A760" s="2" t="s">
        <v>24</v>
      </c>
      <c r="B760" s="2">
        <v>2000</v>
      </c>
      <c r="C760" s="2">
        <v>5</v>
      </c>
      <c r="D760" s="2" t="s">
        <v>35</v>
      </c>
      <c r="E760" s="3">
        <v>44616</v>
      </c>
      <c r="F760" s="2" t="s">
        <v>208</v>
      </c>
      <c r="G760" s="2" t="s">
        <v>132</v>
      </c>
      <c r="H760" s="2" t="s">
        <v>44</v>
      </c>
      <c r="I760" s="4">
        <v>33587</v>
      </c>
    </row>
    <row r="761" spans="1:9" x14ac:dyDescent="0.25">
      <c r="A761" s="2" t="s">
        <v>28</v>
      </c>
      <c r="B761" s="2">
        <v>1400</v>
      </c>
      <c r="C761" s="2">
        <v>3</v>
      </c>
      <c r="D761" s="2" t="s">
        <v>41</v>
      </c>
      <c r="E761" s="3">
        <v>44724</v>
      </c>
      <c r="F761" s="2" t="s">
        <v>234</v>
      </c>
      <c r="G761" s="2" t="s">
        <v>229</v>
      </c>
      <c r="H761" s="2" t="s">
        <v>44</v>
      </c>
      <c r="I761" s="4">
        <v>23610</v>
      </c>
    </row>
    <row r="762" spans="1:9" x14ac:dyDescent="0.25">
      <c r="A762" s="2" t="s">
        <v>5</v>
      </c>
      <c r="B762" s="2">
        <v>1750</v>
      </c>
      <c r="C762" s="2">
        <v>3</v>
      </c>
      <c r="D762" s="2" t="s">
        <v>41</v>
      </c>
      <c r="E762" s="3">
        <v>44707</v>
      </c>
      <c r="F762" s="2" t="s">
        <v>98</v>
      </c>
      <c r="G762" s="2" t="s">
        <v>539</v>
      </c>
      <c r="H762" s="2" t="s">
        <v>44</v>
      </c>
      <c r="I762" s="4">
        <v>22497</v>
      </c>
    </row>
    <row r="763" spans="1:9" x14ac:dyDescent="0.25">
      <c r="A763" s="2" t="s">
        <v>14</v>
      </c>
      <c r="B763" s="2">
        <v>2000</v>
      </c>
      <c r="C763" s="2">
        <v>1</v>
      </c>
      <c r="D763" s="2" t="s">
        <v>34</v>
      </c>
      <c r="E763" s="3">
        <v>44867</v>
      </c>
      <c r="F763" s="2" t="s">
        <v>84</v>
      </c>
      <c r="G763" s="2" t="s">
        <v>586</v>
      </c>
      <c r="H763" s="2" t="s">
        <v>44</v>
      </c>
      <c r="I763" s="4">
        <v>21624</v>
      </c>
    </row>
    <row r="764" spans="1:9" x14ac:dyDescent="0.25">
      <c r="A764" s="2" t="s">
        <v>13</v>
      </c>
      <c r="B764" s="2">
        <v>2300</v>
      </c>
      <c r="C764" s="2">
        <v>1</v>
      </c>
      <c r="D764" s="2" t="s">
        <v>38</v>
      </c>
      <c r="E764" s="3">
        <v>44823</v>
      </c>
      <c r="F764" s="2" t="s">
        <v>167</v>
      </c>
      <c r="G764" s="2" t="s">
        <v>168</v>
      </c>
      <c r="H764" s="2" t="s">
        <v>44</v>
      </c>
      <c r="I764" s="4">
        <v>32536</v>
      </c>
    </row>
    <row r="765" spans="1:9" x14ac:dyDescent="0.25">
      <c r="A765" s="2" t="s">
        <v>19</v>
      </c>
      <c r="B765" s="2">
        <v>700</v>
      </c>
      <c r="C765" s="2">
        <v>2</v>
      </c>
      <c r="D765" s="2" t="s">
        <v>29</v>
      </c>
      <c r="E765" s="3">
        <v>44747</v>
      </c>
      <c r="F765" s="2" t="s">
        <v>120</v>
      </c>
      <c r="G765" s="2" t="s">
        <v>71</v>
      </c>
      <c r="H765" s="2" t="s">
        <v>44</v>
      </c>
      <c r="I765" s="4">
        <v>32835</v>
      </c>
    </row>
    <row r="766" spans="1:9" x14ac:dyDescent="0.25">
      <c r="A766" s="2" t="s">
        <v>18</v>
      </c>
      <c r="B766" s="2">
        <v>3000</v>
      </c>
      <c r="C766" s="2">
        <v>2</v>
      </c>
      <c r="D766" s="2" t="s">
        <v>29</v>
      </c>
      <c r="E766" s="3">
        <v>44800</v>
      </c>
      <c r="F766" s="2" t="s">
        <v>433</v>
      </c>
      <c r="G766" s="2" t="s">
        <v>81</v>
      </c>
      <c r="H766" s="2" t="s">
        <v>44</v>
      </c>
      <c r="I766" s="4">
        <v>33868</v>
      </c>
    </row>
    <row r="767" spans="1:9" x14ac:dyDescent="0.25">
      <c r="A767" s="2" t="s">
        <v>14</v>
      </c>
      <c r="B767" s="2">
        <v>2000</v>
      </c>
      <c r="C767" s="2">
        <v>5</v>
      </c>
      <c r="D767" s="2" t="s">
        <v>40</v>
      </c>
      <c r="E767" s="3">
        <v>44705</v>
      </c>
      <c r="F767" s="2" t="s">
        <v>615</v>
      </c>
      <c r="G767" s="2" t="s">
        <v>294</v>
      </c>
      <c r="H767" s="2" t="s">
        <v>49</v>
      </c>
      <c r="I767" s="4">
        <v>35663</v>
      </c>
    </row>
    <row r="768" spans="1:9" x14ac:dyDescent="0.25">
      <c r="A768" s="2" t="s">
        <v>13</v>
      </c>
      <c r="B768" s="2">
        <v>2300</v>
      </c>
      <c r="C768" s="2">
        <v>2</v>
      </c>
      <c r="D768" s="2" t="s">
        <v>36</v>
      </c>
      <c r="E768" s="3">
        <v>44612</v>
      </c>
      <c r="F768" s="2" t="s">
        <v>109</v>
      </c>
      <c r="G768" s="2" t="s">
        <v>113</v>
      </c>
      <c r="H768" s="2" t="s">
        <v>44</v>
      </c>
      <c r="I768" s="4">
        <v>23095</v>
      </c>
    </row>
    <row r="769" spans="1:9" x14ac:dyDescent="0.25">
      <c r="A769" s="2" t="s">
        <v>6</v>
      </c>
      <c r="B769" s="2">
        <v>1200</v>
      </c>
      <c r="C769" s="2">
        <v>4</v>
      </c>
      <c r="D769" s="2" t="s">
        <v>41</v>
      </c>
      <c r="E769" s="3">
        <v>44664</v>
      </c>
      <c r="F769" s="2" t="s">
        <v>153</v>
      </c>
      <c r="G769" s="2" t="s">
        <v>198</v>
      </c>
      <c r="H769" s="2" t="s">
        <v>44</v>
      </c>
      <c r="I769" s="4">
        <v>31155</v>
      </c>
    </row>
    <row r="770" spans="1:9" x14ac:dyDescent="0.25">
      <c r="A770" s="2" t="s">
        <v>25</v>
      </c>
      <c r="B770" s="2">
        <v>2500</v>
      </c>
      <c r="C770" s="2">
        <v>5</v>
      </c>
      <c r="D770" s="2" t="s">
        <v>29</v>
      </c>
      <c r="E770" s="3">
        <v>44818</v>
      </c>
      <c r="F770" s="2" t="s">
        <v>107</v>
      </c>
      <c r="G770" s="2" t="s">
        <v>81</v>
      </c>
      <c r="H770" s="2" t="s">
        <v>49</v>
      </c>
      <c r="I770" s="4">
        <v>29856</v>
      </c>
    </row>
    <row r="771" spans="1:9" x14ac:dyDescent="0.25">
      <c r="A771" s="2" t="s">
        <v>18</v>
      </c>
      <c r="B771" s="2">
        <v>3000</v>
      </c>
      <c r="C771" s="2">
        <v>5</v>
      </c>
      <c r="D771" s="2" t="s">
        <v>41</v>
      </c>
      <c r="E771" s="3">
        <v>44579</v>
      </c>
      <c r="F771" s="2" t="s">
        <v>624</v>
      </c>
      <c r="G771" s="2" t="s">
        <v>83</v>
      </c>
      <c r="H771" s="2" t="s">
        <v>44</v>
      </c>
      <c r="I771" s="4">
        <v>30045</v>
      </c>
    </row>
    <row r="772" spans="1:9" x14ac:dyDescent="0.25">
      <c r="A772" s="2" t="s">
        <v>25</v>
      </c>
      <c r="B772" s="2">
        <v>2500</v>
      </c>
      <c r="C772" s="2">
        <v>4</v>
      </c>
      <c r="D772" s="2" t="s">
        <v>32</v>
      </c>
      <c r="E772" s="3">
        <v>44725</v>
      </c>
      <c r="F772" s="2" t="s">
        <v>70</v>
      </c>
      <c r="G772" s="2" t="s">
        <v>319</v>
      </c>
      <c r="H772" s="2" t="s">
        <v>44</v>
      </c>
      <c r="I772" s="4">
        <v>32945</v>
      </c>
    </row>
    <row r="773" spans="1:9" x14ac:dyDescent="0.25">
      <c r="A773" s="2" t="s">
        <v>27</v>
      </c>
      <c r="B773" s="2">
        <v>1500</v>
      </c>
      <c r="C773" s="2">
        <v>2</v>
      </c>
      <c r="D773" s="2" t="s">
        <v>31</v>
      </c>
      <c r="E773" s="3">
        <v>44826</v>
      </c>
      <c r="F773" s="2" t="s">
        <v>101</v>
      </c>
      <c r="G773" s="2" t="s">
        <v>83</v>
      </c>
      <c r="H773" s="2" t="s">
        <v>49</v>
      </c>
      <c r="I773" s="4">
        <v>20172</v>
      </c>
    </row>
    <row r="774" spans="1:9" x14ac:dyDescent="0.25">
      <c r="A774" s="2" t="s">
        <v>16</v>
      </c>
      <c r="B774" s="2">
        <v>1400</v>
      </c>
      <c r="C774" s="2">
        <v>5</v>
      </c>
      <c r="D774" s="2" t="s">
        <v>30</v>
      </c>
      <c r="E774" s="3">
        <v>44761</v>
      </c>
      <c r="F774" s="2" t="s">
        <v>556</v>
      </c>
      <c r="G774" s="2" t="s">
        <v>557</v>
      </c>
      <c r="H774" s="2" t="s">
        <v>44</v>
      </c>
      <c r="I774" s="4">
        <v>32595</v>
      </c>
    </row>
    <row r="775" spans="1:9" x14ac:dyDescent="0.25">
      <c r="A775" s="2" t="s">
        <v>13</v>
      </c>
      <c r="B775" s="2">
        <v>2300</v>
      </c>
      <c r="C775" s="2">
        <v>4</v>
      </c>
      <c r="D775" s="2" t="s">
        <v>38</v>
      </c>
      <c r="E775" s="3">
        <v>44722</v>
      </c>
      <c r="F775" s="2" t="s">
        <v>140</v>
      </c>
      <c r="G775" s="2" t="s">
        <v>244</v>
      </c>
      <c r="H775" s="2" t="s">
        <v>49</v>
      </c>
      <c r="I775" s="4">
        <v>18491</v>
      </c>
    </row>
    <row r="776" spans="1:9" x14ac:dyDescent="0.25">
      <c r="A776" s="2" t="s">
        <v>10</v>
      </c>
      <c r="B776" s="2">
        <v>1450</v>
      </c>
      <c r="C776" s="2">
        <v>5</v>
      </c>
      <c r="D776" s="2" t="s">
        <v>37</v>
      </c>
      <c r="E776" s="3">
        <v>44903</v>
      </c>
      <c r="F776" s="2" t="s">
        <v>398</v>
      </c>
      <c r="G776" s="2" t="s">
        <v>232</v>
      </c>
      <c r="H776" s="2" t="s">
        <v>44</v>
      </c>
      <c r="I776" s="4">
        <v>22605</v>
      </c>
    </row>
    <row r="777" spans="1:9" x14ac:dyDescent="0.25">
      <c r="A777" s="2" t="s">
        <v>28</v>
      </c>
      <c r="B777" s="2">
        <v>1400</v>
      </c>
      <c r="C777" s="2">
        <v>2</v>
      </c>
      <c r="D777" s="2" t="s">
        <v>35</v>
      </c>
      <c r="E777" s="3">
        <v>44659</v>
      </c>
      <c r="F777" s="2" t="s">
        <v>364</v>
      </c>
      <c r="G777" s="2" t="s">
        <v>625</v>
      </c>
      <c r="H777" s="2" t="s">
        <v>44</v>
      </c>
      <c r="I777" s="4">
        <v>24444</v>
      </c>
    </row>
    <row r="778" spans="1:9" x14ac:dyDescent="0.25">
      <c r="A778" s="2" t="s">
        <v>14</v>
      </c>
      <c r="B778" s="2">
        <v>2000</v>
      </c>
      <c r="C778" s="2">
        <v>4</v>
      </c>
      <c r="D778" s="2" t="s">
        <v>35</v>
      </c>
      <c r="E778" s="3">
        <v>44897</v>
      </c>
      <c r="F778" s="2" t="s">
        <v>368</v>
      </c>
      <c r="G778" s="2" t="s">
        <v>369</v>
      </c>
      <c r="H778" s="2" t="s">
        <v>44</v>
      </c>
      <c r="I778" s="4">
        <v>30367</v>
      </c>
    </row>
    <row r="779" spans="1:9" x14ac:dyDescent="0.25">
      <c r="A779" s="2" t="s">
        <v>10</v>
      </c>
      <c r="B779" s="2">
        <v>1450</v>
      </c>
      <c r="C779" s="2">
        <v>4</v>
      </c>
      <c r="D779" s="2" t="s">
        <v>36</v>
      </c>
      <c r="E779" s="3">
        <v>44701</v>
      </c>
      <c r="F779" s="2" t="s">
        <v>318</v>
      </c>
      <c r="G779" s="2" t="s">
        <v>273</v>
      </c>
      <c r="H779" s="2" t="s">
        <v>44</v>
      </c>
      <c r="I779" s="4">
        <v>31188</v>
      </c>
    </row>
    <row r="780" spans="1:9" x14ac:dyDescent="0.25">
      <c r="A780" s="2" t="s">
        <v>13</v>
      </c>
      <c r="B780" s="2">
        <v>2300</v>
      </c>
      <c r="C780" s="2">
        <v>3</v>
      </c>
      <c r="D780" s="2" t="s">
        <v>30</v>
      </c>
      <c r="E780" s="3">
        <v>44754</v>
      </c>
      <c r="F780" s="2" t="s">
        <v>98</v>
      </c>
      <c r="G780" s="2" t="s">
        <v>530</v>
      </c>
      <c r="H780" s="2" t="s">
        <v>44</v>
      </c>
      <c r="I780" s="4">
        <v>27687</v>
      </c>
    </row>
    <row r="781" spans="1:9" x14ac:dyDescent="0.25">
      <c r="A781" s="2" t="s">
        <v>19</v>
      </c>
      <c r="B781" s="2">
        <v>700</v>
      </c>
      <c r="C781" s="2">
        <v>5</v>
      </c>
      <c r="D781" s="2" t="s">
        <v>35</v>
      </c>
      <c r="E781" s="3">
        <v>44724</v>
      </c>
      <c r="F781" s="2" t="s">
        <v>377</v>
      </c>
      <c r="G781" s="2" t="s">
        <v>378</v>
      </c>
      <c r="H781" s="2" t="s">
        <v>49</v>
      </c>
      <c r="I781" s="4">
        <v>21305</v>
      </c>
    </row>
    <row r="782" spans="1:9" x14ac:dyDescent="0.25">
      <c r="A782" s="2" t="s">
        <v>16</v>
      </c>
      <c r="B782" s="2">
        <v>1400</v>
      </c>
      <c r="C782" s="2">
        <v>4</v>
      </c>
      <c r="D782" s="2" t="s">
        <v>38</v>
      </c>
      <c r="E782" s="3">
        <v>44705</v>
      </c>
      <c r="F782" s="2" t="s">
        <v>258</v>
      </c>
      <c r="G782" s="2" t="s">
        <v>507</v>
      </c>
      <c r="H782" s="2" t="s">
        <v>49</v>
      </c>
      <c r="I782" s="4">
        <v>22262</v>
      </c>
    </row>
    <row r="783" spans="1:9" x14ac:dyDescent="0.25">
      <c r="A783" s="2" t="s">
        <v>28</v>
      </c>
      <c r="B783" s="2">
        <v>1400</v>
      </c>
      <c r="C783" s="2">
        <v>3</v>
      </c>
      <c r="D783" s="2" t="s">
        <v>35</v>
      </c>
      <c r="E783" s="3">
        <v>44688</v>
      </c>
      <c r="F783" s="2" t="s">
        <v>401</v>
      </c>
      <c r="G783" s="2" t="s">
        <v>213</v>
      </c>
      <c r="H783" s="2" t="s">
        <v>49</v>
      </c>
      <c r="I783" s="4">
        <v>25507</v>
      </c>
    </row>
    <row r="784" spans="1:9" x14ac:dyDescent="0.25">
      <c r="A784" s="2" t="s">
        <v>18</v>
      </c>
      <c r="B784" s="2">
        <v>3000</v>
      </c>
      <c r="C784" s="2">
        <v>5</v>
      </c>
      <c r="D784" s="2" t="s">
        <v>34</v>
      </c>
      <c r="E784" s="3">
        <v>44714</v>
      </c>
      <c r="F784" s="2" t="s">
        <v>505</v>
      </c>
      <c r="G784" s="2" t="s">
        <v>171</v>
      </c>
      <c r="H784" s="2" t="s">
        <v>44</v>
      </c>
      <c r="I784" s="4">
        <v>31007</v>
      </c>
    </row>
    <row r="785" spans="1:9" x14ac:dyDescent="0.25">
      <c r="A785" s="2" t="s">
        <v>27</v>
      </c>
      <c r="B785" s="2">
        <v>1500</v>
      </c>
      <c r="C785" s="2">
        <v>2</v>
      </c>
      <c r="D785" s="2" t="s">
        <v>36</v>
      </c>
      <c r="E785" s="3">
        <v>44617</v>
      </c>
      <c r="F785" s="2" t="s">
        <v>318</v>
      </c>
      <c r="G785" s="2" t="s">
        <v>273</v>
      </c>
      <c r="H785" s="2" t="s">
        <v>44</v>
      </c>
      <c r="I785" s="4">
        <v>31188</v>
      </c>
    </row>
    <row r="786" spans="1:9" x14ac:dyDescent="0.25">
      <c r="A786" s="2" t="s">
        <v>22</v>
      </c>
      <c r="B786" s="2">
        <v>5200</v>
      </c>
      <c r="C786" s="2">
        <v>4</v>
      </c>
      <c r="D786" s="2" t="s">
        <v>29</v>
      </c>
      <c r="E786" s="3">
        <v>44732</v>
      </c>
      <c r="F786" s="2" t="s">
        <v>249</v>
      </c>
      <c r="G786" s="2" t="s">
        <v>81</v>
      </c>
      <c r="H786" s="2" t="s">
        <v>49</v>
      </c>
      <c r="I786" s="4">
        <v>24932</v>
      </c>
    </row>
    <row r="787" spans="1:9" x14ac:dyDescent="0.25">
      <c r="A787" s="2" t="s">
        <v>20</v>
      </c>
      <c r="B787" s="2">
        <v>2600</v>
      </c>
      <c r="C787" s="2">
        <v>5</v>
      </c>
      <c r="D787" s="2" t="s">
        <v>34</v>
      </c>
      <c r="E787" s="3">
        <v>44798</v>
      </c>
      <c r="F787" s="2" t="s">
        <v>476</v>
      </c>
      <c r="G787" s="2" t="s">
        <v>71</v>
      </c>
      <c r="H787" s="2" t="s">
        <v>44</v>
      </c>
      <c r="I787" s="4">
        <v>19508</v>
      </c>
    </row>
    <row r="788" spans="1:9" x14ac:dyDescent="0.25">
      <c r="A788" s="2" t="s">
        <v>22</v>
      </c>
      <c r="B788" s="2">
        <v>5200</v>
      </c>
      <c r="C788" s="2">
        <v>4</v>
      </c>
      <c r="D788" s="2" t="s">
        <v>37</v>
      </c>
      <c r="E788" s="3">
        <v>44894</v>
      </c>
      <c r="F788" s="2" t="s">
        <v>318</v>
      </c>
      <c r="G788" s="2" t="s">
        <v>145</v>
      </c>
      <c r="H788" s="2" t="s">
        <v>44</v>
      </c>
      <c r="I788" s="4">
        <v>24522</v>
      </c>
    </row>
    <row r="789" spans="1:9" x14ac:dyDescent="0.25">
      <c r="A789" s="2" t="s">
        <v>26</v>
      </c>
      <c r="B789" s="2">
        <v>1100</v>
      </c>
      <c r="C789" s="2">
        <v>4</v>
      </c>
      <c r="D789" s="2" t="s">
        <v>38</v>
      </c>
      <c r="E789" s="3">
        <v>44608</v>
      </c>
      <c r="F789" s="2" t="s">
        <v>51</v>
      </c>
      <c r="G789" s="2" t="s">
        <v>63</v>
      </c>
      <c r="H789" s="2" t="s">
        <v>44</v>
      </c>
      <c r="I789" s="4">
        <v>19784</v>
      </c>
    </row>
    <row r="790" spans="1:9" x14ac:dyDescent="0.25">
      <c r="A790" s="2" t="s">
        <v>21</v>
      </c>
      <c r="B790" s="2">
        <v>2400</v>
      </c>
      <c r="C790" s="2">
        <v>5</v>
      </c>
      <c r="D790" s="2" t="s">
        <v>30</v>
      </c>
      <c r="E790" s="3">
        <v>44788</v>
      </c>
      <c r="F790" s="2" t="s">
        <v>556</v>
      </c>
      <c r="G790" s="2" t="s">
        <v>557</v>
      </c>
      <c r="H790" s="2" t="s">
        <v>44</v>
      </c>
      <c r="I790" s="4">
        <v>32595</v>
      </c>
    </row>
    <row r="791" spans="1:9" x14ac:dyDescent="0.25">
      <c r="A791" s="2" t="s">
        <v>26</v>
      </c>
      <c r="B791" s="2">
        <v>1100</v>
      </c>
      <c r="C791" s="2">
        <v>4</v>
      </c>
      <c r="D791" s="2" t="s">
        <v>38</v>
      </c>
      <c r="E791" s="3">
        <v>44619</v>
      </c>
      <c r="F791" s="2" t="s">
        <v>228</v>
      </c>
      <c r="G791" s="2" t="s">
        <v>132</v>
      </c>
      <c r="H791" s="2" t="s">
        <v>44</v>
      </c>
      <c r="I791" s="4">
        <v>32632</v>
      </c>
    </row>
    <row r="792" spans="1:9" x14ac:dyDescent="0.25">
      <c r="A792" s="2" t="s">
        <v>13</v>
      </c>
      <c r="B792" s="2">
        <v>2300</v>
      </c>
      <c r="C792" s="2">
        <v>3</v>
      </c>
      <c r="D792" s="2" t="s">
        <v>32</v>
      </c>
      <c r="E792" s="3">
        <v>44649</v>
      </c>
      <c r="F792" s="2" t="s">
        <v>279</v>
      </c>
      <c r="G792" s="2" t="s">
        <v>280</v>
      </c>
      <c r="H792" s="2" t="s">
        <v>44</v>
      </c>
      <c r="I792" s="4">
        <v>35896</v>
      </c>
    </row>
    <row r="793" spans="1:9" x14ac:dyDescent="0.25">
      <c r="A793" s="2" t="s">
        <v>21</v>
      </c>
      <c r="B793" s="2">
        <v>2400</v>
      </c>
      <c r="C793" s="2">
        <v>3</v>
      </c>
      <c r="D793" s="2" t="s">
        <v>34</v>
      </c>
      <c r="E793" s="3">
        <v>44873</v>
      </c>
      <c r="F793" s="2" t="s">
        <v>528</v>
      </c>
      <c r="G793" s="2" t="s">
        <v>345</v>
      </c>
      <c r="H793" s="2" t="s">
        <v>44</v>
      </c>
      <c r="I793" s="4">
        <v>31102</v>
      </c>
    </row>
    <row r="794" spans="1:9" x14ac:dyDescent="0.25">
      <c r="A794" s="2" t="s">
        <v>12</v>
      </c>
      <c r="B794" s="2">
        <v>6500</v>
      </c>
      <c r="C794" s="2">
        <v>3</v>
      </c>
      <c r="D794" s="2" t="s">
        <v>30</v>
      </c>
      <c r="E794" s="3">
        <v>44734</v>
      </c>
      <c r="F794" s="2" t="s">
        <v>460</v>
      </c>
      <c r="G794" s="2" t="s">
        <v>143</v>
      </c>
      <c r="H794" s="2" t="s">
        <v>49</v>
      </c>
      <c r="I794" s="4">
        <v>27301</v>
      </c>
    </row>
    <row r="795" spans="1:9" x14ac:dyDescent="0.25">
      <c r="A795" s="2" t="s">
        <v>20</v>
      </c>
      <c r="B795" s="2">
        <v>2600</v>
      </c>
      <c r="C795" s="2">
        <v>3</v>
      </c>
      <c r="D795" s="2" t="s">
        <v>34</v>
      </c>
      <c r="E795" s="3">
        <v>44639</v>
      </c>
      <c r="F795" s="2" t="s">
        <v>153</v>
      </c>
      <c r="G795" s="2" t="s">
        <v>154</v>
      </c>
      <c r="H795" s="2" t="s">
        <v>44</v>
      </c>
      <c r="I795" s="4">
        <v>30459</v>
      </c>
    </row>
    <row r="796" spans="1:9" x14ac:dyDescent="0.25">
      <c r="A796" s="2" t="s">
        <v>11</v>
      </c>
      <c r="B796" s="2">
        <v>4500</v>
      </c>
      <c r="C796" s="2">
        <v>2</v>
      </c>
      <c r="D796" s="2" t="s">
        <v>37</v>
      </c>
      <c r="E796" s="3">
        <v>44892</v>
      </c>
      <c r="F796" s="2" t="s">
        <v>202</v>
      </c>
      <c r="G796" s="2" t="s">
        <v>203</v>
      </c>
      <c r="H796" s="2" t="s">
        <v>49</v>
      </c>
      <c r="I796" s="4">
        <v>30193</v>
      </c>
    </row>
    <row r="797" spans="1:9" x14ac:dyDescent="0.25">
      <c r="A797" s="2" t="s">
        <v>26</v>
      </c>
      <c r="B797" s="2">
        <v>1100</v>
      </c>
      <c r="C797" s="2">
        <v>4</v>
      </c>
      <c r="D797" s="2" t="s">
        <v>38</v>
      </c>
      <c r="E797" s="3">
        <v>44859</v>
      </c>
      <c r="F797" s="2" t="s">
        <v>293</v>
      </c>
      <c r="G797" s="2" t="s">
        <v>586</v>
      </c>
      <c r="H797" s="2" t="s">
        <v>49</v>
      </c>
      <c r="I797" s="4">
        <v>31014</v>
      </c>
    </row>
    <row r="798" spans="1:9" x14ac:dyDescent="0.25">
      <c r="A798" s="2" t="s">
        <v>26</v>
      </c>
      <c r="B798" s="2">
        <v>1100</v>
      </c>
      <c r="C798" s="2">
        <v>1</v>
      </c>
      <c r="D798" s="2" t="s">
        <v>38</v>
      </c>
      <c r="E798" s="3">
        <v>44627</v>
      </c>
      <c r="F798" s="2" t="s">
        <v>124</v>
      </c>
      <c r="G798" s="2" t="s">
        <v>509</v>
      </c>
      <c r="H798" s="2" t="s">
        <v>44</v>
      </c>
      <c r="I798" s="4">
        <v>26062</v>
      </c>
    </row>
    <row r="799" spans="1:9" x14ac:dyDescent="0.25">
      <c r="A799" s="2" t="s">
        <v>17</v>
      </c>
      <c r="B799" s="2">
        <v>1550</v>
      </c>
      <c r="C799" s="2">
        <v>5</v>
      </c>
      <c r="D799" s="2" t="s">
        <v>38</v>
      </c>
      <c r="E799" s="3">
        <v>44831</v>
      </c>
      <c r="F799" s="2" t="s">
        <v>87</v>
      </c>
      <c r="G799" s="2" t="s">
        <v>133</v>
      </c>
      <c r="H799" s="2" t="s">
        <v>44</v>
      </c>
      <c r="I799" s="4">
        <v>36163</v>
      </c>
    </row>
    <row r="800" spans="1:9" x14ac:dyDescent="0.25">
      <c r="A800" s="2" t="s">
        <v>7</v>
      </c>
      <c r="B800" s="2">
        <v>750</v>
      </c>
      <c r="C800" s="2">
        <v>5</v>
      </c>
      <c r="D800" s="2" t="s">
        <v>30</v>
      </c>
      <c r="E800" s="3">
        <v>44699</v>
      </c>
      <c r="F800" s="2" t="s">
        <v>45</v>
      </c>
      <c r="G800" s="2" t="s">
        <v>46</v>
      </c>
      <c r="H800" s="2" t="s">
        <v>44</v>
      </c>
      <c r="I800" s="4">
        <v>32614</v>
      </c>
    </row>
    <row r="801" spans="1:9" x14ac:dyDescent="0.25">
      <c r="A801" s="2" t="s">
        <v>6</v>
      </c>
      <c r="B801" s="2">
        <v>1200</v>
      </c>
      <c r="C801" s="2">
        <v>3</v>
      </c>
      <c r="D801" s="2" t="s">
        <v>32</v>
      </c>
      <c r="E801" s="3">
        <v>44879</v>
      </c>
      <c r="F801" s="2" t="s">
        <v>68</v>
      </c>
      <c r="G801" s="2" t="s">
        <v>425</v>
      </c>
      <c r="H801" s="2" t="s">
        <v>49</v>
      </c>
      <c r="I801" s="4">
        <v>25697</v>
      </c>
    </row>
    <row r="802" spans="1:9" x14ac:dyDescent="0.25">
      <c r="A802" s="2" t="s">
        <v>13</v>
      </c>
      <c r="B802" s="2">
        <v>2300</v>
      </c>
      <c r="C802" s="2">
        <v>3</v>
      </c>
      <c r="D802" s="2" t="s">
        <v>29</v>
      </c>
      <c r="E802" s="3">
        <v>44902</v>
      </c>
      <c r="F802" s="2" t="s">
        <v>98</v>
      </c>
      <c r="G802" s="2" t="s">
        <v>560</v>
      </c>
      <c r="H802" s="2" t="s">
        <v>44</v>
      </c>
      <c r="I802" s="4">
        <v>22256</v>
      </c>
    </row>
    <row r="803" spans="1:9" x14ac:dyDescent="0.25">
      <c r="A803" s="2" t="s">
        <v>17</v>
      </c>
      <c r="B803" s="2">
        <v>1550</v>
      </c>
      <c r="C803" s="2">
        <v>2</v>
      </c>
      <c r="D803" s="2" t="s">
        <v>35</v>
      </c>
      <c r="E803" s="3">
        <v>44725</v>
      </c>
      <c r="F803" s="2" t="s">
        <v>131</v>
      </c>
      <c r="G803" s="2" t="s">
        <v>500</v>
      </c>
      <c r="H803" s="2" t="s">
        <v>44</v>
      </c>
      <c r="I803" s="4">
        <v>25504</v>
      </c>
    </row>
    <row r="804" spans="1:9" x14ac:dyDescent="0.25">
      <c r="A804" s="2" t="s">
        <v>21</v>
      </c>
      <c r="B804" s="2">
        <v>2400</v>
      </c>
      <c r="C804" s="2">
        <v>1</v>
      </c>
      <c r="D804" s="2" t="s">
        <v>36</v>
      </c>
      <c r="E804" s="3">
        <v>44782</v>
      </c>
      <c r="F804" s="2" t="s">
        <v>87</v>
      </c>
      <c r="G804" s="2" t="s">
        <v>588</v>
      </c>
      <c r="H804" s="2" t="s">
        <v>44</v>
      </c>
      <c r="I804" s="4">
        <v>28528</v>
      </c>
    </row>
    <row r="805" spans="1:9" x14ac:dyDescent="0.25">
      <c r="A805" s="2" t="s">
        <v>10</v>
      </c>
      <c r="B805" s="2">
        <v>1450</v>
      </c>
      <c r="C805" s="2">
        <v>2</v>
      </c>
      <c r="D805" s="2" t="s">
        <v>29</v>
      </c>
      <c r="E805" s="3">
        <v>44740</v>
      </c>
      <c r="F805" s="2" t="s">
        <v>328</v>
      </c>
      <c r="G805" s="2" t="s">
        <v>63</v>
      </c>
      <c r="H805" s="2" t="s">
        <v>49</v>
      </c>
      <c r="I805" s="4">
        <v>35462</v>
      </c>
    </row>
    <row r="806" spans="1:9" x14ac:dyDescent="0.25">
      <c r="A806" s="2" t="s">
        <v>18</v>
      </c>
      <c r="B806" s="2">
        <v>3000</v>
      </c>
      <c r="C806" s="2">
        <v>3</v>
      </c>
      <c r="D806" s="2" t="s">
        <v>31</v>
      </c>
      <c r="E806" s="3">
        <v>44804</v>
      </c>
      <c r="F806" s="2" t="s">
        <v>78</v>
      </c>
      <c r="G806" s="2" t="s">
        <v>504</v>
      </c>
      <c r="H806" s="2" t="s">
        <v>49</v>
      </c>
      <c r="I806" s="4">
        <v>29762</v>
      </c>
    </row>
    <row r="807" spans="1:9" x14ac:dyDescent="0.25">
      <c r="A807" s="2" t="s">
        <v>9</v>
      </c>
      <c r="B807" s="2">
        <v>1500</v>
      </c>
      <c r="C807" s="2">
        <v>3</v>
      </c>
      <c r="D807" s="2" t="s">
        <v>30</v>
      </c>
      <c r="E807" s="3">
        <v>44670</v>
      </c>
      <c r="F807" s="2" t="s">
        <v>76</v>
      </c>
      <c r="G807" s="2" t="s">
        <v>77</v>
      </c>
      <c r="H807" s="2" t="s">
        <v>49</v>
      </c>
      <c r="I807" s="4">
        <v>28816</v>
      </c>
    </row>
    <row r="808" spans="1:9" x14ac:dyDescent="0.25">
      <c r="A808" s="2" t="s">
        <v>6</v>
      </c>
      <c r="B808" s="2">
        <v>1200</v>
      </c>
      <c r="C808" s="2">
        <v>4</v>
      </c>
      <c r="D808" s="2" t="s">
        <v>32</v>
      </c>
      <c r="E808" s="3">
        <v>44897</v>
      </c>
      <c r="F808" s="2" t="s">
        <v>51</v>
      </c>
      <c r="G808" s="2" t="s">
        <v>468</v>
      </c>
      <c r="H808" s="2" t="s">
        <v>44</v>
      </c>
      <c r="I808" s="4">
        <v>28486</v>
      </c>
    </row>
    <row r="809" spans="1:9" x14ac:dyDescent="0.25">
      <c r="A809" s="2" t="s">
        <v>23</v>
      </c>
      <c r="B809" s="2">
        <v>1500</v>
      </c>
      <c r="C809" s="2">
        <v>2</v>
      </c>
      <c r="D809" s="2" t="s">
        <v>29</v>
      </c>
      <c r="E809" s="3">
        <v>44563</v>
      </c>
      <c r="F809" s="2" t="s">
        <v>190</v>
      </c>
      <c r="G809" s="2" t="s">
        <v>475</v>
      </c>
      <c r="H809" s="2" t="s">
        <v>44</v>
      </c>
      <c r="I809" s="4">
        <v>28227</v>
      </c>
    </row>
    <row r="810" spans="1:9" x14ac:dyDescent="0.25">
      <c r="A810" s="2" t="s">
        <v>19</v>
      </c>
      <c r="B810" s="2">
        <v>700</v>
      </c>
      <c r="C810" s="2">
        <v>1</v>
      </c>
      <c r="D810" s="2" t="s">
        <v>33</v>
      </c>
      <c r="E810" s="3">
        <v>44568</v>
      </c>
      <c r="F810" s="2" t="s">
        <v>66</v>
      </c>
      <c r="G810" s="2" t="s">
        <v>67</v>
      </c>
      <c r="H810" s="2" t="s">
        <v>44</v>
      </c>
      <c r="I810" s="4">
        <v>36762</v>
      </c>
    </row>
    <row r="811" spans="1:9" x14ac:dyDescent="0.25">
      <c r="A811" s="2" t="s">
        <v>26</v>
      </c>
      <c r="B811" s="2">
        <v>1100</v>
      </c>
      <c r="C811" s="2">
        <v>1</v>
      </c>
      <c r="D811" s="2" t="s">
        <v>41</v>
      </c>
      <c r="E811" s="3">
        <v>44636</v>
      </c>
      <c r="F811" s="2" t="s">
        <v>112</v>
      </c>
      <c r="G811" s="2" t="s">
        <v>591</v>
      </c>
      <c r="H811" s="2" t="s">
        <v>44</v>
      </c>
      <c r="I811" s="4">
        <v>26766</v>
      </c>
    </row>
    <row r="812" spans="1:9" x14ac:dyDescent="0.25">
      <c r="A812" s="2" t="s">
        <v>13</v>
      </c>
      <c r="B812" s="2">
        <v>2300</v>
      </c>
      <c r="C812" s="2">
        <v>3</v>
      </c>
      <c r="D812" s="2" t="s">
        <v>36</v>
      </c>
      <c r="E812" s="3">
        <v>44625</v>
      </c>
      <c r="F812" s="2" t="s">
        <v>96</v>
      </c>
      <c r="G812" s="2" t="s">
        <v>97</v>
      </c>
      <c r="H812" s="2" t="s">
        <v>44</v>
      </c>
      <c r="I812" s="4">
        <v>28285</v>
      </c>
    </row>
    <row r="813" spans="1:9" x14ac:dyDescent="0.25">
      <c r="A813" s="2" t="s">
        <v>8</v>
      </c>
      <c r="B813" s="2">
        <v>5500</v>
      </c>
      <c r="C813" s="2">
        <v>4</v>
      </c>
      <c r="D813" s="2" t="s">
        <v>35</v>
      </c>
      <c r="E813" s="3">
        <v>44851</v>
      </c>
      <c r="F813" s="2" t="s">
        <v>301</v>
      </c>
      <c r="G813" s="2" t="s">
        <v>360</v>
      </c>
      <c r="H813" s="2" t="s">
        <v>49</v>
      </c>
      <c r="I813" s="4">
        <v>34458</v>
      </c>
    </row>
    <row r="814" spans="1:9" x14ac:dyDescent="0.25">
      <c r="A814" s="2" t="s">
        <v>24</v>
      </c>
      <c r="B814" s="2">
        <v>2000</v>
      </c>
      <c r="C814" s="2">
        <v>5</v>
      </c>
      <c r="D814" s="2" t="s">
        <v>36</v>
      </c>
      <c r="E814" s="3">
        <v>44791</v>
      </c>
      <c r="F814" s="2" t="s">
        <v>96</v>
      </c>
      <c r="G814" s="2" t="s">
        <v>97</v>
      </c>
      <c r="H814" s="2" t="s">
        <v>44</v>
      </c>
      <c r="I814" s="4">
        <v>28285</v>
      </c>
    </row>
    <row r="815" spans="1:9" x14ac:dyDescent="0.25">
      <c r="A815" s="2" t="s">
        <v>19</v>
      </c>
      <c r="B815" s="2">
        <v>700</v>
      </c>
      <c r="C815" s="2">
        <v>3</v>
      </c>
      <c r="D815" s="2" t="s">
        <v>39</v>
      </c>
      <c r="E815" s="3">
        <v>44900</v>
      </c>
      <c r="F815" s="2" t="s">
        <v>124</v>
      </c>
      <c r="G815" s="2" t="s">
        <v>125</v>
      </c>
      <c r="H815" s="2" t="s">
        <v>44</v>
      </c>
      <c r="I815" s="4">
        <v>28872</v>
      </c>
    </row>
    <row r="816" spans="1:9" x14ac:dyDescent="0.25">
      <c r="A816" s="2" t="s">
        <v>19</v>
      </c>
      <c r="B816" s="2">
        <v>700</v>
      </c>
      <c r="C816" s="2">
        <v>4</v>
      </c>
      <c r="D816" s="2" t="s">
        <v>40</v>
      </c>
      <c r="E816" s="3">
        <v>44662</v>
      </c>
      <c r="F816" s="2" t="s">
        <v>124</v>
      </c>
      <c r="G816" s="2" t="s">
        <v>520</v>
      </c>
      <c r="H816" s="2" t="s">
        <v>44</v>
      </c>
      <c r="I816" s="4">
        <v>36819</v>
      </c>
    </row>
    <row r="817" spans="1:9" x14ac:dyDescent="0.25">
      <c r="A817" s="2" t="s">
        <v>18</v>
      </c>
      <c r="B817" s="2">
        <v>3000</v>
      </c>
      <c r="C817" s="2">
        <v>3</v>
      </c>
      <c r="D817" s="2" t="s">
        <v>35</v>
      </c>
      <c r="E817" s="3">
        <v>44793</v>
      </c>
      <c r="F817" s="2" t="s">
        <v>127</v>
      </c>
      <c r="G817" s="2" t="s">
        <v>189</v>
      </c>
      <c r="H817" s="2" t="s">
        <v>44</v>
      </c>
      <c r="I817" s="4">
        <v>20410</v>
      </c>
    </row>
    <row r="818" spans="1:9" x14ac:dyDescent="0.25">
      <c r="A818" s="2" t="s">
        <v>27</v>
      </c>
      <c r="B818" s="2">
        <v>1500</v>
      </c>
      <c r="C818" s="2">
        <v>5</v>
      </c>
      <c r="D818" s="2" t="s">
        <v>30</v>
      </c>
      <c r="E818" s="3">
        <v>44779</v>
      </c>
      <c r="F818" s="2" t="s">
        <v>94</v>
      </c>
      <c r="G818" s="2" t="s">
        <v>285</v>
      </c>
      <c r="H818" s="2" t="s">
        <v>49</v>
      </c>
      <c r="I818" s="4">
        <v>23451</v>
      </c>
    </row>
    <row r="819" spans="1:9" x14ac:dyDescent="0.25">
      <c r="A819" s="2" t="s">
        <v>25</v>
      </c>
      <c r="B819" s="2">
        <v>2500</v>
      </c>
      <c r="C819" s="2">
        <v>2</v>
      </c>
      <c r="D819" s="2" t="s">
        <v>32</v>
      </c>
      <c r="E819" s="3">
        <v>44860</v>
      </c>
      <c r="F819" s="2" t="s">
        <v>420</v>
      </c>
      <c r="G819" s="2" t="s">
        <v>421</v>
      </c>
      <c r="H819" s="2" t="s">
        <v>44</v>
      </c>
      <c r="I819" s="4">
        <v>36441</v>
      </c>
    </row>
    <row r="820" spans="1:9" x14ac:dyDescent="0.25">
      <c r="A820" s="2" t="s">
        <v>16</v>
      </c>
      <c r="B820" s="2">
        <v>1400</v>
      </c>
      <c r="C820" s="2">
        <v>3</v>
      </c>
      <c r="D820" s="2" t="s">
        <v>36</v>
      </c>
      <c r="E820" s="3">
        <v>44853</v>
      </c>
      <c r="F820" s="2" t="s">
        <v>505</v>
      </c>
      <c r="G820" s="2" t="s">
        <v>274</v>
      </c>
      <c r="H820" s="2" t="s">
        <v>44</v>
      </c>
      <c r="I820" s="4">
        <v>24346</v>
      </c>
    </row>
    <row r="821" spans="1:9" x14ac:dyDescent="0.25">
      <c r="A821" s="2" t="s">
        <v>18</v>
      </c>
      <c r="B821" s="2">
        <v>3000</v>
      </c>
      <c r="C821" s="2">
        <v>2</v>
      </c>
      <c r="D821" s="2" t="s">
        <v>32</v>
      </c>
      <c r="E821" s="3">
        <v>44824</v>
      </c>
      <c r="F821" s="2" t="s">
        <v>199</v>
      </c>
      <c r="G821" s="2" t="s">
        <v>327</v>
      </c>
      <c r="H821" s="2" t="s">
        <v>49</v>
      </c>
      <c r="I821" s="4">
        <v>33099</v>
      </c>
    </row>
    <row r="822" spans="1:9" x14ac:dyDescent="0.25">
      <c r="A822" s="2" t="s">
        <v>18</v>
      </c>
      <c r="B822" s="2">
        <v>3000</v>
      </c>
      <c r="C822" s="2">
        <v>4</v>
      </c>
      <c r="D822" s="2" t="s">
        <v>32</v>
      </c>
      <c r="E822" s="3">
        <v>44631</v>
      </c>
      <c r="F822" s="2" t="s">
        <v>259</v>
      </c>
      <c r="G822" s="2" t="s">
        <v>174</v>
      </c>
      <c r="H822" s="2" t="s">
        <v>49</v>
      </c>
      <c r="I822" s="4">
        <v>35764</v>
      </c>
    </row>
    <row r="823" spans="1:9" x14ac:dyDescent="0.25">
      <c r="A823" s="2" t="s">
        <v>19</v>
      </c>
      <c r="B823" s="2">
        <v>700</v>
      </c>
      <c r="C823" s="2">
        <v>3</v>
      </c>
      <c r="D823" s="2" t="s">
        <v>39</v>
      </c>
      <c r="E823" s="3">
        <v>44813</v>
      </c>
      <c r="F823" s="2" t="s">
        <v>131</v>
      </c>
      <c r="G823" s="2" t="s">
        <v>132</v>
      </c>
      <c r="H823" s="2" t="s">
        <v>44</v>
      </c>
      <c r="I823" s="4">
        <v>36884</v>
      </c>
    </row>
    <row r="824" spans="1:9" x14ac:dyDescent="0.25">
      <c r="A824" s="2" t="s">
        <v>20</v>
      </c>
      <c r="B824" s="2">
        <v>2600</v>
      </c>
      <c r="C824" s="2">
        <v>3</v>
      </c>
      <c r="D824" s="2" t="s">
        <v>40</v>
      </c>
      <c r="E824" s="3">
        <v>44787</v>
      </c>
      <c r="F824" s="2" t="s">
        <v>124</v>
      </c>
      <c r="G824" s="2" t="s">
        <v>520</v>
      </c>
      <c r="H824" s="2" t="s">
        <v>44</v>
      </c>
      <c r="I824" s="4">
        <v>36819</v>
      </c>
    </row>
    <row r="825" spans="1:9" x14ac:dyDescent="0.25">
      <c r="A825" s="2" t="s">
        <v>6</v>
      </c>
      <c r="B825" s="2">
        <v>1200</v>
      </c>
      <c r="C825" s="2">
        <v>5</v>
      </c>
      <c r="D825" s="2" t="s">
        <v>36</v>
      </c>
      <c r="E825" s="3">
        <v>44811</v>
      </c>
      <c r="F825" s="2" t="s">
        <v>408</v>
      </c>
      <c r="G825" s="2" t="s">
        <v>55</v>
      </c>
      <c r="H825" s="2" t="s">
        <v>49</v>
      </c>
      <c r="I825" s="4">
        <v>22393</v>
      </c>
    </row>
    <row r="826" spans="1:9" x14ac:dyDescent="0.25">
      <c r="A826" s="2" t="s">
        <v>14</v>
      </c>
      <c r="B826" s="2">
        <v>2000</v>
      </c>
      <c r="C826" s="2">
        <v>4</v>
      </c>
      <c r="D826" s="2" t="s">
        <v>31</v>
      </c>
      <c r="E826" s="3">
        <v>44625</v>
      </c>
      <c r="F826" s="2" t="s">
        <v>363</v>
      </c>
      <c r="G826" s="2" t="s">
        <v>262</v>
      </c>
      <c r="H826" s="2" t="s">
        <v>44</v>
      </c>
      <c r="I826" s="4">
        <v>35725</v>
      </c>
    </row>
    <row r="827" spans="1:9" x14ac:dyDescent="0.25">
      <c r="A827" s="2" t="s">
        <v>6</v>
      </c>
      <c r="B827" s="2">
        <v>1200</v>
      </c>
      <c r="C827" s="2">
        <v>1</v>
      </c>
      <c r="D827" s="2" t="s">
        <v>31</v>
      </c>
      <c r="E827" s="3">
        <v>44810</v>
      </c>
      <c r="F827" s="2" t="s">
        <v>134</v>
      </c>
      <c r="G827" s="2" t="s">
        <v>63</v>
      </c>
      <c r="H827" s="2" t="s">
        <v>49</v>
      </c>
      <c r="I827" s="4">
        <v>33104</v>
      </c>
    </row>
    <row r="828" spans="1:9" x14ac:dyDescent="0.25">
      <c r="A828" s="2" t="s">
        <v>11</v>
      </c>
      <c r="B828" s="2">
        <v>4500</v>
      </c>
      <c r="C828" s="2">
        <v>2</v>
      </c>
      <c r="D828" s="2" t="s">
        <v>41</v>
      </c>
      <c r="E828" s="3">
        <v>44812</v>
      </c>
      <c r="F828" s="2" t="s">
        <v>137</v>
      </c>
      <c r="G828" s="2" t="s">
        <v>362</v>
      </c>
      <c r="H828" s="2" t="s">
        <v>49</v>
      </c>
      <c r="I828" s="4">
        <v>28214</v>
      </c>
    </row>
    <row r="829" spans="1:9" x14ac:dyDescent="0.25">
      <c r="A829" s="2" t="s">
        <v>24</v>
      </c>
      <c r="B829" s="2">
        <v>2000</v>
      </c>
      <c r="C829" s="2">
        <v>5</v>
      </c>
      <c r="D829" s="2" t="s">
        <v>33</v>
      </c>
      <c r="E829" s="3">
        <v>44621</v>
      </c>
      <c r="F829" s="2" t="s">
        <v>92</v>
      </c>
      <c r="G829" s="2" t="s">
        <v>93</v>
      </c>
      <c r="H829" s="2" t="s">
        <v>44</v>
      </c>
      <c r="I829" s="4">
        <v>23689</v>
      </c>
    </row>
    <row r="830" spans="1:9" x14ac:dyDescent="0.25">
      <c r="A830" s="2" t="s">
        <v>22</v>
      </c>
      <c r="B830" s="2">
        <v>5200</v>
      </c>
      <c r="C830" s="2">
        <v>5</v>
      </c>
      <c r="D830" s="2" t="s">
        <v>39</v>
      </c>
      <c r="E830" s="3">
        <v>44723</v>
      </c>
      <c r="F830" s="2" t="s">
        <v>455</v>
      </c>
      <c r="G830" s="2" t="s">
        <v>63</v>
      </c>
      <c r="H830" s="2" t="s">
        <v>49</v>
      </c>
      <c r="I830" s="4">
        <v>23893</v>
      </c>
    </row>
    <row r="831" spans="1:9" x14ac:dyDescent="0.25">
      <c r="A831" s="2" t="s">
        <v>24</v>
      </c>
      <c r="B831" s="2">
        <v>2000</v>
      </c>
      <c r="C831" s="2">
        <v>3</v>
      </c>
      <c r="D831" s="2" t="s">
        <v>32</v>
      </c>
      <c r="E831" s="3">
        <v>44920</v>
      </c>
      <c r="F831" s="2" t="s">
        <v>259</v>
      </c>
      <c r="G831" s="2" t="s">
        <v>174</v>
      </c>
      <c r="H831" s="2" t="s">
        <v>49</v>
      </c>
      <c r="I831" s="4">
        <v>35764</v>
      </c>
    </row>
    <row r="832" spans="1:9" x14ac:dyDescent="0.25">
      <c r="A832" s="2" t="s">
        <v>6</v>
      </c>
      <c r="B832" s="2">
        <v>1200</v>
      </c>
      <c r="C832" s="2">
        <v>4</v>
      </c>
      <c r="D832" s="2" t="s">
        <v>30</v>
      </c>
      <c r="E832" s="3">
        <v>44656</v>
      </c>
      <c r="F832" s="2" t="s">
        <v>78</v>
      </c>
      <c r="G832" s="2" t="s">
        <v>549</v>
      </c>
      <c r="H832" s="2" t="s">
        <v>49</v>
      </c>
      <c r="I832" s="4">
        <v>29417</v>
      </c>
    </row>
    <row r="833" spans="1:9" x14ac:dyDescent="0.25">
      <c r="A833" s="2" t="s">
        <v>21</v>
      </c>
      <c r="B833" s="2">
        <v>2400</v>
      </c>
      <c r="C833" s="2">
        <v>4</v>
      </c>
      <c r="D833" s="2" t="s">
        <v>29</v>
      </c>
      <c r="E833" s="3">
        <v>44764</v>
      </c>
      <c r="F833" s="2" t="s">
        <v>148</v>
      </c>
      <c r="G833" s="2" t="s">
        <v>382</v>
      </c>
      <c r="H833" s="2" t="s">
        <v>49</v>
      </c>
      <c r="I833" s="4">
        <v>25025</v>
      </c>
    </row>
    <row r="834" spans="1:9" x14ac:dyDescent="0.25">
      <c r="A834" s="2" t="s">
        <v>10</v>
      </c>
      <c r="B834" s="2">
        <v>1450</v>
      </c>
      <c r="C834" s="2">
        <v>1</v>
      </c>
      <c r="D834" s="2" t="s">
        <v>29</v>
      </c>
      <c r="E834" s="3">
        <v>44817</v>
      </c>
      <c r="F834" s="2" t="s">
        <v>293</v>
      </c>
      <c r="G834" s="2" t="s">
        <v>495</v>
      </c>
      <c r="H834" s="2" t="s">
        <v>49</v>
      </c>
      <c r="I834" s="4">
        <v>35510</v>
      </c>
    </row>
    <row r="835" spans="1:9" x14ac:dyDescent="0.25">
      <c r="A835" s="2" t="s">
        <v>12</v>
      </c>
      <c r="B835" s="2">
        <v>6500</v>
      </c>
      <c r="C835" s="2">
        <v>5</v>
      </c>
      <c r="D835" s="2" t="s">
        <v>37</v>
      </c>
      <c r="E835" s="3">
        <v>44703</v>
      </c>
      <c r="F835" s="2" t="s">
        <v>163</v>
      </c>
      <c r="G835" s="2" t="s">
        <v>516</v>
      </c>
      <c r="H835" s="2" t="s">
        <v>49</v>
      </c>
      <c r="I835" s="4">
        <v>25301</v>
      </c>
    </row>
    <row r="836" spans="1:9" x14ac:dyDescent="0.25">
      <c r="A836" s="2" t="s">
        <v>21</v>
      </c>
      <c r="B836" s="2">
        <v>2400</v>
      </c>
      <c r="C836" s="2">
        <v>2</v>
      </c>
      <c r="D836" s="2" t="s">
        <v>36</v>
      </c>
      <c r="E836" s="3">
        <v>44683</v>
      </c>
      <c r="F836" s="2" t="s">
        <v>579</v>
      </c>
      <c r="G836" s="2" t="s">
        <v>449</v>
      </c>
      <c r="H836" s="2" t="s">
        <v>49</v>
      </c>
      <c r="I836" s="4">
        <v>24093</v>
      </c>
    </row>
    <row r="837" spans="1:9" x14ac:dyDescent="0.25">
      <c r="A837" s="2" t="s">
        <v>19</v>
      </c>
      <c r="B837" s="2">
        <v>700</v>
      </c>
      <c r="C837" s="2">
        <v>3</v>
      </c>
      <c r="D837" s="2" t="s">
        <v>29</v>
      </c>
      <c r="E837" s="3">
        <v>44734</v>
      </c>
      <c r="F837" s="2" t="s">
        <v>267</v>
      </c>
      <c r="G837" s="2" t="s">
        <v>117</v>
      </c>
      <c r="H837" s="2" t="s">
        <v>44</v>
      </c>
      <c r="I837" s="4">
        <v>34851</v>
      </c>
    </row>
    <row r="838" spans="1:9" x14ac:dyDescent="0.25">
      <c r="A838" s="2" t="s">
        <v>14</v>
      </c>
      <c r="B838" s="2">
        <v>2000</v>
      </c>
      <c r="C838" s="2">
        <v>1</v>
      </c>
      <c r="D838" s="2" t="s">
        <v>40</v>
      </c>
      <c r="E838" s="3">
        <v>44583</v>
      </c>
      <c r="F838" s="2" t="s">
        <v>629</v>
      </c>
      <c r="G838" s="2" t="s">
        <v>346</v>
      </c>
      <c r="H838" s="2" t="s">
        <v>44</v>
      </c>
      <c r="I838" s="4">
        <v>32927</v>
      </c>
    </row>
    <row r="839" spans="1:9" x14ac:dyDescent="0.25">
      <c r="A839" s="2" t="s">
        <v>6</v>
      </c>
      <c r="B839" s="2">
        <v>1200</v>
      </c>
      <c r="C839" s="2">
        <v>3</v>
      </c>
      <c r="D839" s="2" t="s">
        <v>40</v>
      </c>
      <c r="E839" s="3">
        <v>44685</v>
      </c>
      <c r="F839" s="2" t="s">
        <v>124</v>
      </c>
      <c r="G839" s="2" t="s">
        <v>520</v>
      </c>
      <c r="H839" s="2" t="s">
        <v>44</v>
      </c>
      <c r="I839" s="4">
        <v>36819</v>
      </c>
    </row>
    <row r="840" spans="1:9" x14ac:dyDescent="0.25">
      <c r="A840" s="2" t="s">
        <v>25</v>
      </c>
      <c r="B840" s="2">
        <v>2500</v>
      </c>
      <c r="C840" s="2">
        <v>5</v>
      </c>
      <c r="D840" s="2" t="s">
        <v>33</v>
      </c>
      <c r="E840" s="3">
        <v>44830</v>
      </c>
      <c r="F840" s="2" t="s">
        <v>87</v>
      </c>
      <c r="G840" s="2" t="s">
        <v>89</v>
      </c>
      <c r="H840" s="2" t="s">
        <v>44</v>
      </c>
      <c r="I840" s="4">
        <v>28442</v>
      </c>
    </row>
    <row r="841" spans="1:9" x14ac:dyDescent="0.25">
      <c r="A841" s="2" t="s">
        <v>21</v>
      </c>
      <c r="B841" s="2">
        <v>2400</v>
      </c>
      <c r="C841" s="2">
        <v>2</v>
      </c>
      <c r="D841" s="2" t="s">
        <v>34</v>
      </c>
      <c r="E841" s="3">
        <v>44648</v>
      </c>
      <c r="F841" s="2" t="s">
        <v>365</v>
      </c>
      <c r="G841" s="2" t="s">
        <v>220</v>
      </c>
      <c r="H841" s="2" t="s">
        <v>49</v>
      </c>
      <c r="I841" s="4">
        <v>28548</v>
      </c>
    </row>
    <row r="842" spans="1:9" x14ac:dyDescent="0.25">
      <c r="A842" s="2" t="s">
        <v>25</v>
      </c>
      <c r="B842" s="2">
        <v>2500</v>
      </c>
      <c r="C842" s="2">
        <v>1</v>
      </c>
      <c r="D842" s="2" t="s">
        <v>35</v>
      </c>
      <c r="E842" s="3">
        <v>44747</v>
      </c>
      <c r="F842" s="2" t="s">
        <v>52</v>
      </c>
      <c r="G842" s="2" t="s">
        <v>580</v>
      </c>
      <c r="H842" s="2" t="s">
        <v>44</v>
      </c>
      <c r="I842" s="4">
        <v>34051</v>
      </c>
    </row>
    <row r="843" spans="1:9" x14ac:dyDescent="0.25">
      <c r="A843" s="2" t="s">
        <v>14</v>
      </c>
      <c r="B843" s="2">
        <v>2000</v>
      </c>
      <c r="C843" s="2">
        <v>2</v>
      </c>
      <c r="D843" s="2" t="s">
        <v>37</v>
      </c>
      <c r="E843" s="3">
        <v>44587</v>
      </c>
      <c r="F843" s="2" t="s">
        <v>259</v>
      </c>
      <c r="G843" s="2" t="s">
        <v>359</v>
      </c>
      <c r="H843" s="2" t="s">
        <v>49</v>
      </c>
      <c r="I843" s="4">
        <v>29659</v>
      </c>
    </row>
    <row r="844" spans="1:9" x14ac:dyDescent="0.25">
      <c r="A844" s="2" t="s">
        <v>5</v>
      </c>
      <c r="B844" s="2">
        <v>1750</v>
      </c>
      <c r="C844" s="2">
        <v>5</v>
      </c>
      <c r="D844" s="2" t="s">
        <v>38</v>
      </c>
      <c r="E844" s="3">
        <v>44779</v>
      </c>
      <c r="F844" s="2" t="s">
        <v>90</v>
      </c>
      <c r="G844" s="2" t="s">
        <v>91</v>
      </c>
      <c r="H844" s="2" t="s">
        <v>49</v>
      </c>
      <c r="I844" s="4">
        <v>33405</v>
      </c>
    </row>
    <row r="845" spans="1:9" x14ac:dyDescent="0.25">
      <c r="A845" s="2" t="s">
        <v>16</v>
      </c>
      <c r="B845" s="2">
        <v>1400</v>
      </c>
      <c r="C845" s="2">
        <v>4</v>
      </c>
      <c r="D845" s="2" t="s">
        <v>33</v>
      </c>
      <c r="E845" s="3">
        <v>44865</v>
      </c>
      <c r="F845" s="2" t="s">
        <v>399</v>
      </c>
      <c r="G845" s="2" t="s">
        <v>451</v>
      </c>
      <c r="H845" s="2" t="s">
        <v>44</v>
      </c>
      <c r="I845" s="4">
        <v>28614</v>
      </c>
    </row>
    <row r="846" spans="1:9" x14ac:dyDescent="0.25">
      <c r="A846" s="2" t="s">
        <v>18</v>
      </c>
      <c r="B846" s="2">
        <v>3000</v>
      </c>
      <c r="C846" s="2">
        <v>4</v>
      </c>
      <c r="D846" s="2" t="s">
        <v>37</v>
      </c>
      <c r="E846" s="3">
        <v>44662</v>
      </c>
      <c r="F846" s="2" t="s">
        <v>109</v>
      </c>
      <c r="G846" s="2" t="s">
        <v>567</v>
      </c>
      <c r="H846" s="2" t="s">
        <v>44</v>
      </c>
      <c r="I846" s="4">
        <v>30062</v>
      </c>
    </row>
    <row r="847" spans="1:9" x14ac:dyDescent="0.25">
      <c r="A847" s="2" t="s">
        <v>19</v>
      </c>
      <c r="B847" s="2">
        <v>700</v>
      </c>
      <c r="C847" s="2">
        <v>1</v>
      </c>
      <c r="D847" s="2" t="s">
        <v>34</v>
      </c>
      <c r="E847" s="3">
        <v>44775</v>
      </c>
      <c r="F847" s="2" t="s">
        <v>84</v>
      </c>
      <c r="G847" s="2" t="s">
        <v>586</v>
      </c>
      <c r="H847" s="2" t="s">
        <v>44</v>
      </c>
      <c r="I847" s="4">
        <v>21624</v>
      </c>
    </row>
    <row r="848" spans="1:9" x14ac:dyDescent="0.25">
      <c r="A848" s="2" t="s">
        <v>19</v>
      </c>
      <c r="B848" s="2">
        <v>700</v>
      </c>
      <c r="C848" s="2">
        <v>4</v>
      </c>
      <c r="D848" s="2" t="s">
        <v>39</v>
      </c>
      <c r="E848" s="3">
        <v>44919</v>
      </c>
      <c r="F848" s="2" t="s">
        <v>102</v>
      </c>
      <c r="G848" s="2" t="s">
        <v>387</v>
      </c>
      <c r="H848" s="2" t="s">
        <v>44</v>
      </c>
      <c r="I848" s="4">
        <v>33419</v>
      </c>
    </row>
    <row r="849" spans="1:9" x14ac:dyDescent="0.25">
      <c r="A849" s="2" t="s">
        <v>10</v>
      </c>
      <c r="B849" s="2">
        <v>1450</v>
      </c>
      <c r="C849" s="2">
        <v>4</v>
      </c>
      <c r="D849" s="2" t="s">
        <v>32</v>
      </c>
      <c r="E849" s="3">
        <v>44722</v>
      </c>
      <c r="F849" s="2" t="s">
        <v>68</v>
      </c>
      <c r="G849" s="2" t="s">
        <v>425</v>
      </c>
      <c r="H849" s="2" t="s">
        <v>49</v>
      </c>
      <c r="I849" s="4">
        <v>25697</v>
      </c>
    </row>
    <row r="850" spans="1:9" x14ac:dyDescent="0.25">
      <c r="A850" s="2" t="s">
        <v>13</v>
      </c>
      <c r="B850" s="2">
        <v>2300</v>
      </c>
      <c r="C850" s="2">
        <v>5</v>
      </c>
      <c r="D850" s="2" t="s">
        <v>36</v>
      </c>
      <c r="E850" s="3">
        <v>44886</v>
      </c>
      <c r="F850" s="2" t="s">
        <v>170</v>
      </c>
      <c r="G850" s="2" t="s">
        <v>386</v>
      </c>
      <c r="H850" s="2" t="s">
        <v>44</v>
      </c>
      <c r="I850" s="4">
        <v>20620</v>
      </c>
    </row>
    <row r="851" spans="1:9" x14ac:dyDescent="0.25">
      <c r="A851" s="2" t="s">
        <v>23</v>
      </c>
      <c r="B851" s="2">
        <v>1500</v>
      </c>
      <c r="C851" s="2">
        <v>5</v>
      </c>
      <c r="D851" s="2" t="s">
        <v>36</v>
      </c>
      <c r="E851" s="3">
        <v>44626</v>
      </c>
      <c r="F851" s="2" t="s">
        <v>111</v>
      </c>
      <c r="G851" s="2" t="s">
        <v>614</v>
      </c>
      <c r="H851" s="2" t="s">
        <v>44</v>
      </c>
      <c r="I851" s="4">
        <v>25590</v>
      </c>
    </row>
    <row r="852" spans="1:9" x14ac:dyDescent="0.25">
      <c r="A852" s="2" t="s">
        <v>21</v>
      </c>
      <c r="B852" s="2">
        <v>2400</v>
      </c>
      <c r="C852" s="2">
        <v>4</v>
      </c>
      <c r="D852" s="2" t="s">
        <v>34</v>
      </c>
      <c r="E852" s="3">
        <v>44644</v>
      </c>
      <c r="F852" s="2" t="s">
        <v>84</v>
      </c>
      <c r="G852" s="2" t="s">
        <v>586</v>
      </c>
      <c r="H852" s="2" t="s">
        <v>44</v>
      </c>
      <c r="I852" s="4">
        <v>21624</v>
      </c>
    </row>
    <row r="853" spans="1:9" x14ac:dyDescent="0.25">
      <c r="A853" s="2" t="s">
        <v>18</v>
      </c>
      <c r="B853" s="2">
        <v>3000</v>
      </c>
      <c r="C853" s="2">
        <v>5</v>
      </c>
      <c r="D853" s="2" t="s">
        <v>29</v>
      </c>
      <c r="E853" s="3">
        <v>44901</v>
      </c>
      <c r="F853" s="2" t="s">
        <v>137</v>
      </c>
      <c r="G853" s="2" t="s">
        <v>273</v>
      </c>
      <c r="H853" s="2" t="s">
        <v>49</v>
      </c>
      <c r="I853" s="4">
        <v>23843</v>
      </c>
    </row>
    <row r="854" spans="1:9" x14ac:dyDescent="0.25">
      <c r="A854" s="2" t="s">
        <v>26</v>
      </c>
      <c r="B854" s="2">
        <v>1100</v>
      </c>
      <c r="C854" s="2">
        <v>5</v>
      </c>
      <c r="D854" s="2" t="s">
        <v>41</v>
      </c>
      <c r="E854" s="3">
        <v>44624</v>
      </c>
      <c r="F854" s="2" t="s">
        <v>118</v>
      </c>
      <c r="G854" s="2" t="s">
        <v>319</v>
      </c>
      <c r="H854" s="2" t="s">
        <v>49</v>
      </c>
      <c r="I854" s="4">
        <v>25135</v>
      </c>
    </row>
    <row r="855" spans="1:9" x14ac:dyDescent="0.25">
      <c r="A855" s="2" t="s">
        <v>10</v>
      </c>
      <c r="B855" s="2">
        <v>1450</v>
      </c>
      <c r="C855" s="2">
        <v>1</v>
      </c>
      <c r="D855" s="2" t="s">
        <v>29</v>
      </c>
      <c r="E855" s="3">
        <v>44826</v>
      </c>
      <c r="F855" s="2" t="s">
        <v>76</v>
      </c>
      <c r="G855" s="2" t="s">
        <v>297</v>
      </c>
      <c r="H855" s="2" t="s">
        <v>49</v>
      </c>
      <c r="I855" s="4">
        <v>25035</v>
      </c>
    </row>
    <row r="856" spans="1:9" x14ac:dyDescent="0.25">
      <c r="A856" s="2" t="s">
        <v>9</v>
      </c>
      <c r="B856" s="2">
        <v>1500</v>
      </c>
      <c r="C856" s="2">
        <v>3</v>
      </c>
      <c r="D856" s="2" t="s">
        <v>39</v>
      </c>
      <c r="E856" s="3">
        <v>44712</v>
      </c>
      <c r="F856" s="2" t="s">
        <v>354</v>
      </c>
      <c r="G856" s="2" t="s">
        <v>310</v>
      </c>
      <c r="H856" s="2" t="s">
        <v>49</v>
      </c>
      <c r="I856" s="4">
        <v>30770</v>
      </c>
    </row>
    <row r="857" spans="1:9" x14ac:dyDescent="0.25">
      <c r="A857" s="2" t="s">
        <v>5</v>
      </c>
      <c r="B857" s="2">
        <v>1750</v>
      </c>
      <c r="C857" s="2">
        <v>4</v>
      </c>
      <c r="D857" s="2" t="s">
        <v>39</v>
      </c>
      <c r="E857" s="3">
        <v>44666</v>
      </c>
      <c r="F857" s="2" t="s">
        <v>131</v>
      </c>
      <c r="G857" s="2" t="s">
        <v>329</v>
      </c>
      <c r="H857" s="2" t="s">
        <v>44</v>
      </c>
      <c r="I857" s="4">
        <v>31228</v>
      </c>
    </row>
    <row r="858" spans="1:9" x14ac:dyDescent="0.25">
      <c r="A858" s="2" t="s">
        <v>27</v>
      </c>
      <c r="B858" s="2">
        <v>1500</v>
      </c>
      <c r="C858" s="2">
        <v>3</v>
      </c>
      <c r="D858" s="2" t="s">
        <v>29</v>
      </c>
      <c r="E858" s="3">
        <v>44614</v>
      </c>
      <c r="F858" s="2" t="s">
        <v>179</v>
      </c>
      <c r="G858" s="2" t="s">
        <v>383</v>
      </c>
      <c r="H858" s="2" t="s">
        <v>44</v>
      </c>
      <c r="I858" s="4">
        <v>20035</v>
      </c>
    </row>
    <row r="859" spans="1:9" x14ac:dyDescent="0.25">
      <c r="A859" s="2" t="s">
        <v>16</v>
      </c>
      <c r="B859" s="2">
        <v>1400</v>
      </c>
      <c r="C859" s="2">
        <v>3</v>
      </c>
      <c r="D859" s="2" t="s">
        <v>30</v>
      </c>
      <c r="E859" s="3">
        <v>44816</v>
      </c>
      <c r="F859" s="2" t="s">
        <v>109</v>
      </c>
      <c r="G859" s="2" t="s">
        <v>63</v>
      </c>
      <c r="H859" s="2" t="s">
        <v>44</v>
      </c>
      <c r="I859" s="4">
        <v>20396</v>
      </c>
    </row>
    <row r="860" spans="1:9" x14ac:dyDescent="0.25">
      <c r="A860" s="2" t="s">
        <v>12</v>
      </c>
      <c r="B860" s="2">
        <v>6500</v>
      </c>
      <c r="C860" s="2">
        <v>2</v>
      </c>
      <c r="D860" s="2" t="s">
        <v>37</v>
      </c>
      <c r="E860" s="3">
        <v>44882</v>
      </c>
      <c r="F860" s="2" t="s">
        <v>42</v>
      </c>
      <c r="G860" s="2" t="s">
        <v>93</v>
      </c>
      <c r="H860" s="2" t="s">
        <v>44</v>
      </c>
      <c r="I860" s="4">
        <v>21017</v>
      </c>
    </row>
    <row r="861" spans="1:9" x14ac:dyDescent="0.25">
      <c r="A861" s="2" t="s">
        <v>5</v>
      </c>
      <c r="B861" s="2">
        <v>1750</v>
      </c>
      <c r="C861" s="2">
        <v>3</v>
      </c>
      <c r="D861" s="2" t="s">
        <v>37</v>
      </c>
      <c r="E861" s="3">
        <v>44736</v>
      </c>
      <c r="F861" s="2" t="s">
        <v>51</v>
      </c>
      <c r="G861" s="2" t="s">
        <v>227</v>
      </c>
      <c r="H861" s="2" t="s">
        <v>44</v>
      </c>
      <c r="I861" s="4">
        <v>31736</v>
      </c>
    </row>
    <row r="862" spans="1:9" x14ac:dyDescent="0.25">
      <c r="A862" s="2" t="s">
        <v>16</v>
      </c>
      <c r="B862" s="2">
        <v>1400</v>
      </c>
      <c r="C862" s="2">
        <v>1</v>
      </c>
      <c r="D862" s="2" t="s">
        <v>33</v>
      </c>
      <c r="E862" s="3">
        <v>44864</v>
      </c>
      <c r="F862" s="2" t="s">
        <v>365</v>
      </c>
      <c r="G862" s="2" t="s">
        <v>366</v>
      </c>
      <c r="H862" s="2" t="s">
        <v>49</v>
      </c>
      <c r="I862" s="4">
        <v>29401</v>
      </c>
    </row>
    <row r="863" spans="1:9" x14ac:dyDescent="0.25">
      <c r="A863" s="2" t="s">
        <v>18</v>
      </c>
      <c r="B863" s="2">
        <v>3000</v>
      </c>
      <c r="C863" s="2">
        <v>1</v>
      </c>
      <c r="D863" s="2" t="s">
        <v>37</v>
      </c>
      <c r="E863" s="3">
        <v>44911</v>
      </c>
      <c r="F863" s="2" t="s">
        <v>45</v>
      </c>
      <c r="G863" s="2" t="s">
        <v>77</v>
      </c>
      <c r="H863" s="2" t="s">
        <v>44</v>
      </c>
      <c r="I863" s="4">
        <v>20940</v>
      </c>
    </row>
    <row r="864" spans="1:9" x14ac:dyDescent="0.25">
      <c r="A864" s="2" t="s">
        <v>14</v>
      </c>
      <c r="B864" s="2">
        <v>2000</v>
      </c>
      <c r="C864" s="2">
        <v>4</v>
      </c>
      <c r="D864" s="2" t="s">
        <v>37</v>
      </c>
      <c r="E864" s="3">
        <v>44614</v>
      </c>
      <c r="F864" s="2" t="s">
        <v>120</v>
      </c>
      <c r="G864" s="2" t="s">
        <v>171</v>
      </c>
      <c r="H864" s="2" t="s">
        <v>44</v>
      </c>
      <c r="I864" s="4">
        <v>26468</v>
      </c>
    </row>
    <row r="865" spans="1:9" x14ac:dyDescent="0.25">
      <c r="A865" s="2" t="s">
        <v>26</v>
      </c>
      <c r="B865" s="2">
        <v>1100</v>
      </c>
      <c r="C865" s="2">
        <v>4</v>
      </c>
      <c r="D865" s="2" t="s">
        <v>41</v>
      </c>
      <c r="E865" s="3">
        <v>44732</v>
      </c>
      <c r="F865" s="2" t="s">
        <v>42</v>
      </c>
      <c r="G865" s="2" t="s">
        <v>485</v>
      </c>
      <c r="H865" s="2" t="s">
        <v>44</v>
      </c>
      <c r="I865" s="4">
        <v>30790</v>
      </c>
    </row>
    <row r="866" spans="1:9" x14ac:dyDescent="0.25">
      <c r="A866" s="2" t="s">
        <v>25</v>
      </c>
      <c r="B866" s="2">
        <v>2500</v>
      </c>
      <c r="C866" s="2">
        <v>1</v>
      </c>
      <c r="D866" s="2" t="s">
        <v>34</v>
      </c>
      <c r="E866" s="3">
        <v>44856</v>
      </c>
      <c r="F866" s="2" t="s">
        <v>365</v>
      </c>
      <c r="G866" s="2" t="s">
        <v>220</v>
      </c>
      <c r="H866" s="2" t="s">
        <v>49</v>
      </c>
      <c r="I866" s="4">
        <v>28548</v>
      </c>
    </row>
    <row r="867" spans="1:9" x14ac:dyDescent="0.25">
      <c r="A867" s="2" t="s">
        <v>15</v>
      </c>
      <c r="B867" s="2">
        <v>1900</v>
      </c>
      <c r="C867" s="2">
        <v>1</v>
      </c>
      <c r="D867" s="2" t="s">
        <v>35</v>
      </c>
      <c r="E867" s="3">
        <v>44817</v>
      </c>
      <c r="F867" s="2" t="s">
        <v>331</v>
      </c>
      <c r="G867" s="2" t="s">
        <v>308</v>
      </c>
      <c r="H867" s="2" t="s">
        <v>44</v>
      </c>
      <c r="I867" s="4">
        <v>19664</v>
      </c>
    </row>
    <row r="868" spans="1:9" x14ac:dyDescent="0.25">
      <c r="A868" s="2" t="s">
        <v>27</v>
      </c>
      <c r="B868" s="2">
        <v>1500</v>
      </c>
      <c r="C868" s="2">
        <v>5</v>
      </c>
      <c r="D868" s="2" t="s">
        <v>35</v>
      </c>
      <c r="E868" s="3">
        <v>44868</v>
      </c>
      <c r="F868" s="2" t="s">
        <v>401</v>
      </c>
      <c r="G868" s="2" t="s">
        <v>292</v>
      </c>
      <c r="H868" s="2" t="s">
        <v>49</v>
      </c>
      <c r="I868" s="4">
        <v>21420</v>
      </c>
    </row>
    <row r="869" spans="1:9" x14ac:dyDescent="0.25">
      <c r="A869" s="2" t="s">
        <v>20</v>
      </c>
      <c r="B869" s="2">
        <v>2600</v>
      </c>
      <c r="C869" s="2">
        <v>4</v>
      </c>
      <c r="D869" s="2" t="s">
        <v>35</v>
      </c>
      <c r="E869" s="3">
        <v>44640</v>
      </c>
      <c r="F869" s="2" t="s">
        <v>60</v>
      </c>
      <c r="G869" s="2" t="s">
        <v>61</v>
      </c>
      <c r="H869" s="2" t="s">
        <v>49</v>
      </c>
      <c r="I869" s="4">
        <v>31683</v>
      </c>
    </row>
    <row r="870" spans="1:9" x14ac:dyDescent="0.25">
      <c r="A870" s="2" t="s">
        <v>14</v>
      </c>
      <c r="B870" s="2">
        <v>2000</v>
      </c>
      <c r="C870" s="2">
        <v>1</v>
      </c>
      <c r="D870" s="2" t="s">
        <v>29</v>
      </c>
      <c r="E870" s="3">
        <v>44749</v>
      </c>
      <c r="F870" s="2" t="s">
        <v>173</v>
      </c>
      <c r="G870" s="2" t="s">
        <v>181</v>
      </c>
      <c r="H870" s="2" t="s">
        <v>44</v>
      </c>
      <c r="I870" s="4">
        <v>32179</v>
      </c>
    </row>
    <row r="871" spans="1:9" x14ac:dyDescent="0.25">
      <c r="A871" s="2" t="s">
        <v>21</v>
      </c>
      <c r="B871" s="2">
        <v>2400</v>
      </c>
      <c r="C871" s="2">
        <v>1</v>
      </c>
      <c r="D871" s="2" t="s">
        <v>41</v>
      </c>
      <c r="E871" s="3">
        <v>44766</v>
      </c>
      <c r="F871" s="2" t="s">
        <v>173</v>
      </c>
      <c r="G871" s="2" t="s">
        <v>198</v>
      </c>
      <c r="H871" s="2" t="s">
        <v>44</v>
      </c>
      <c r="I871" s="4">
        <v>33421</v>
      </c>
    </row>
    <row r="872" spans="1:9" x14ac:dyDescent="0.25">
      <c r="A872" s="2" t="s">
        <v>27</v>
      </c>
      <c r="B872" s="2">
        <v>1500</v>
      </c>
      <c r="C872" s="2">
        <v>3</v>
      </c>
      <c r="D872" s="2" t="s">
        <v>30</v>
      </c>
      <c r="E872" s="3">
        <v>44888</v>
      </c>
      <c r="F872" s="2" t="s">
        <v>78</v>
      </c>
      <c r="G872" s="2" t="s">
        <v>549</v>
      </c>
      <c r="H872" s="2" t="s">
        <v>49</v>
      </c>
      <c r="I872" s="4">
        <v>29417</v>
      </c>
    </row>
    <row r="873" spans="1:9" x14ac:dyDescent="0.25">
      <c r="A873" s="2" t="s">
        <v>12</v>
      </c>
      <c r="B873" s="2">
        <v>6500</v>
      </c>
      <c r="C873" s="2">
        <v>1</v>
      </c>
      <c r="D873" s="2" t="s">
        <v>33</v>
      </c>
      <c r="E873" s="3">
        <v>44771</v>
      </c>
      <c r="F873" s="2" t="s">
        <v>571</v>
      </c>
      <c r="G873" s="2" t="s">
        <v>474</v>
      </c>
      <c r="H873" s="2" t="s">
        <v>49</v>
      </c>
      <c r="I873" s="4">
        <v>21750</v>
      </c>
    </row>
    <row r="874" spans="1:9" x14ac:dyDescent="0.25">
      <c r="A874" s="2" t="s">
        <v>17</v>
      </c>
      <c r="B874" s="2">
        <v>1550</v>
      </c>
      <c r="C874" s="2">
        <v>2</v>
      </c>
      <c r="D874" s="2" t="s">
        <v>35</v>
      </c>
      <c r="E874" s="3">
        <v>44616</v>
      </c>
      <c r="F874" s="2" t="s">
        <v>120</v>
      </c>
      <c r="G874" s="2" t="s">
        <v>440</v>
      </c>
      <c r="H874" s="2" t="s">
        <v>44</v>
      </c>
      <c r="I874" s="4">
        <v>25875</v>
      </c>
    </row>
    <row r="875" spans="1:9" x14ac:dyDescent="0.25">
      <c r="A875" s="2" t="s">
        <v>11</v>
      </c>
      <c r="B875" s="2">
        <v>4500</v>
      </c>
      <c r="C875" s="2">
        <v>4</v>
      </c>
      <c r="D875" s="2" t="s">
        <v>32</v>
      </c>
      <c r="E875" s="3">
        <v>44695</v>
      </c>
      <c r="F875" s="2" t="s">
        <v>124</v>
      </c>
      <c r="G875" s="2" t="s">
        <v>191</v>
      </c>
      <c r="H875" s="2" t="s">
        <v>44</v>
      </c>
      <c r="I875" s="4">
        <v>22483</v>
      </c>
    </row>
    <row r="876" spans="1:9" x14ac:dyDescent="0.25">
      <c r="A876" s="2" t="s">
        <v>18</v>
      </c>
      <c r="B876" s="2">
        <v>3000</v>
      </c>
      <c r="C876" s="2">
        <v>3</v>
      </c>
      <c r="D876" s="2" t="s">
        <v>29</v>
      </c>
      <c r="E876" s="3">
        <v>44655</v>
      </c>
      <c r="F876" s="2" t="s">
        <v>479</v>
      </c>
      <c r="G876" s="2" t="s">
        <v>75</v>
      </c>
      <c r="H876" s="2" t="s">
        <v>49</v>
      </c>
      <c r="I876" s="4">
        <v>26199</v>
      </c>
    </row>
    <row r="877" spans="1:9" x14ac:dyDescent="0.25">
      <c r="A877" s="2" t="s">
        <v>20</v>
      </c>
      <c r="B877" s="2">
        <v>2600</v>
      </c>
      <c r="C877" s="2">
        <v>2</v>
      </c>
      <c r="D877" s="2" t="s">
        <v>41</v>
      </c>
      <c r="E877" s="3">
        <v>44648</v>
      </c>
      <c r="F877" s="2" t="s">
        <v>385</v>
      </c>
      <c r="G877" s="2" t="s">
        <v>386</v>
      </c>
      <c r="H877" s="2" t="s">
        <v>44</v>
      </c>
      <c r="I877" s="4">
        <v>32940</v>
      </c>
    </row>
    <row r="878" spans="1:9" x14ac:dyDescent="0.25">
      <c r="A878" s="2" t="s">
        <v>13</v>
      </c>
      <c r="B878" s="2">
        <v>2300</v>
      </c>
      <c r="C878" s="2">
        <v>5</v>
      </c>
      <c r="D878" s="2" t="s">
        <v>32</v>
      </c>
      <c r="E878" s="3">
        <v>44666</v>
      </c>
      <c r="F878" s="2" t="s">
        <v>161</v>
      </c>
      <c r="G878" s="2" t="s">
        <v>105</v>
      </c>
      <c r="H878" s="2" t="s">
        <v>49</v>
      </c>
      <c r="I878" s="4">
        <v>36694</v>
      </c>
    </row>
    <row r="879" spans="1:9" x14ac:dyDescent="0.25">
      <c r="A879" s="2" t="s">
        <v>9</v>
      </c>
      <c r="B879" s="2">
        <v>1500</v>
      </c>
      <c r="C879" s="2">
        <v>5</v>
      </c>
      <c r="D879" s="2" t="s">
        <v>30</v>
      </c>
      <c r="E879" s="3">
        <v>44879</v>
      </c>
      <c r="F879" s="2" t="s">
        <v>556</v>
      </c>
      <c r="G879" s="2" t="s">
        <v>557</v>
      </c>
      <c r="H879" s="2" t="s">
        <v>44</v>
      </c>
      <c r="I879" s="4">
        <v>32595</v>
      </c>
    </row>
    <row r="880" spans="1:9" x14ac:dyDescent="0.25">
      <c r="A880" s="2" t="s">
        <v>6</v>
      </c>
      <c r="B880" s="2">
        <v>1200</v>
      </c>
      <c r="C880" s="2">
        <v>5</v>
      </c>
      <c r="D880" s="2" t="s">
        <v>38</v>
      </c>
      <c r="E880" s="3">
        <v>44579</v>
      </c>
      <c r="F880" s="2" t="s">
        <v>107</v>
      </c>
      <c r="G880" s="2" t="s">
        <v>340</v>
      </c>
      <c r="H880" s="2" t="s">
        <v>49</v>
      </c>
      <c r="I880" s="4">
        <v>23329</v>
      </c>
    </row>
    <row r="881" spans="1:9" x14ac:dyDescent="0.25">
      <c r="A881" s="2" t="s">
        <v>21</v>
      </c>
      <c r="B881" s="2">
        <v>2400</v>
      </c>
      <c r="C881" s="2">
        <v>3</v>
      </c>
      <c r="D881" s="2" t="s">
        <v>35</v>
      </c>
      <c r="E881" s="3">
        <v>44615</v>
      </c>
      <c r="F881" s="2" t="s">
        <v>183</v>
      </c>
      <c r="G881" s="2" t="s">
        <v>575</v>
      </c>
      <c r="H881" s="2" t="s">
        <v>49</v>
      </c>
      <c r="I881" s="4">
        <v>24381</v>
      </c>
    </row>
    <row r="882" spans="1:9" x14ac:dyDescent="0.25">
      <c r="A882" s="2" t="s">
        <v>23</v>
      </c>
      <c r="B882" s="2">
        <v>1500</v>
      </c>
      <c r="C882" s="2">
        <v>5</v>
      </c>
      <c r="D882" s="2" t="s">
        <v>32</v>
      </c>
      <c r="E882" s="3">
        <v>44925</v>
      </c>
      <c r="F882" s="2" t="s">
        <v>109</v>
      </c>
      <c r="G882" s="2" t="s">
        <v>337</v>
      </c>
      <c r="H882" s="2" t="s">
        <v>44</v>
      </c>
      <c r="I882" s="4">
        <v>28472</v>
      </c>
    </row>
    <row r="883" spans="1:9" x14ac:dyDescent="0.25">
      <c r="A883" s="2" t="s">
        <v>6</v>
      </c>
      <c r="B883" s="2">
        <v>1200</v>
      </c>
      <c r="C883" s="2">
        <v>5</v>
      </c>
      <c r="D883" s="2" t="s">
        <v>33</v>
      </c>
      <c r="E883" s="3">
        <v>44819</v>
      </c>
      <c r="F883" s="2" t="s">
        <v>225</v>
      </c>
      <c r="G883" s="2" t="s">
        <v>81</v>
      </c>
      <c r="H883" s="2" t="s">
        <v>44</v>
      </c>
      <c r="I883" s="4">
        <v>26346</v>
      </c>
    </row>
    <row r="884" spans="1:9" x14ac:dyDescent="0.25">
      <c r="A884" s="2" t="s">
        <v>15</v>
      </c>
      <c r="B884" s="2">
        <v>1900</v>
      </c>
      <c r="C884" s="2">
        <v>2</v>
      </c>
      <c r="D884" s="2" t="s">
        <v>39</v>
      </c>
      <c r="E884" s="3">
        <v>44614</v>
      </c>
      <c r="F884" s="2" t="s">
        <v>301</v>
      </c>
      <c r="G884" s="2" t="s">
        <v>279</v>
      </c>
      <c r="H884" s="2" t="s">
        <v>49</v>
      </c>
      <c r="I884" s="4">
        <v>30893</v>
      </c>
    </row>
    <row r="885" spans="1:9" x14ac:dyDescent="0.25">
      <c r="A885" s="2" t="s">
        <v>24</v>
      </c>
      <c r="B885" s="2">
        <v>2000</v>
      </c>
      <c r="C885" s="2">
        <v>5</v>
      </c>
      <c r="D885" s="2" t="s">
        <v>29</v>
      </c>
      <c r="E885" s="3">
        <v>44826</v>
      </c>
      <c r="F885" s="2" t="s">
        <v>142</v>
      </c>
      <c r="G885" s="2" t="s">
        <v>157</v>
      </c>
      <c r="H885" s="2" t="s">
        <v>49</v>
      </c>
      <c r="I885" s="4">
        <v>33294</v>
      </c>
    </row>
    <row r="886" spans="1:9" x14ac:dyDescent="0.25">
      <c r="A886" s="2" t="s">
        <v>22</v>
      </c>
      <c r="B886" s="2">
        <v>5200</v>
      </c>
      <c r="C886" s="2">
        <v>2</v>
      </c>
      <c r="D886" s="2" t="s">
        <v>29</v>
      </c>
      <c r="E886" s="3">
        <v>44772</v>
      </c>
      <c r="F886" s="2" t="s">
        <v>94</v>
      </c>
      <c r="G886" s="2" t="s">
        <v>95</v>
      </c>
      <c r="H886" s="2" t="s">
        <v>49</v>
      </c>
      <c r="I886" s="4">
        <v>31255</v>
      </c>
    </row>
    <row r="887" spans="1:9" x14ac:dyDescent="0.25">
      <c r="A887" s="2" t="s">
        <v>5</v>
      </c>
      <c r="B887" s="2">
        <v>1750</v>
      </c>
      <c r="C887" s="2">
        <v>4</v>
      </c>
      <c r="D887" s="2" t="s">
        <v>38</v>
      </c>
      <c r="E887" s="3">
        <v>44669</v>
      </c>
      <c r="F887" s="2" t="s">
        <v>177</v>
      </c>
      <c r="G887" s="2" t="s">
        <v>178</v>
      </c>
      <c r="H887" s="2" t="s">
        <v>49</v>
      </c>
      <c r="I887" s="4">
        <v>33080</v>
      </c>
    </row>
    <row r="888" spans="1:9" x14ac:dyDescent="0.25">
      <c r="A888" s="2" t="s">
        <v>26</v>
      </c>
      <c r="B888" s="2">
        <v>1100</v>
      </c>
      <c r="C888" s="2">
        <v>3</v>
      </c>
      <c r="D888" s="2" t="s">
        <v>40</v>
      </c>
      <c r="E888" s="3">
        <v>44723</v>
      </c>
      <c r="F888" s="2" t="s">
        <v>109</v>
      </c>
      <c r="G888" s="2" t="s">
        <v>168</v>
      </c>
      <c r="H888" s="2" t="s">
        <v>44</v>
      </c>
      <c r="I888" s="4">
        <v>18540</v>
      </c>
    </row>
    <row r="889" spans="1:9" x14ac:dyDescent="0.25">
      <c r="A889" s="2" t="s">
        <v>8</v>
      </c>
      <c r="B889" s="2">
        <v>5500</v>
      </c>
      <c r="C889" s="2">
        <v>1</v>
      </c>
      <c r="D889" s="2" t="s">
        <v>36</v>
      </c>
      <c r="E889" s="3">
        <v>44733</v>
      </c>
      <c r="F889" s="2" t="s">
        <v>438</v>
      </c>
      <c r="G889" s="2" t="s">
        <v>453</v>
      </c>
      <c r="H889" s="2" t="s">
        <v>49</v>
      </c>
      <c r="I889" s="4">
        <v>23274</v>
      </c>
    </row>
    <row r="890" spans="1:9" x14ac:dyDescent="0.25">
      <c r="A890" s="2" t="s">
        <v>27</v>
      </c>
      <c r="B890" s="2">
        <v>1500</v>
      </c>
      <c r="C890" s="2">
        <v>3</v>
      </c>
      <c r="D890" s="2" t="s">
        <v>29</v>
      </c>
      <c r="E890" s="3">
        <v>44879</v>
      </c>
      <c r="F890" s="2" t="s">
        <v>419</v>
      </c>
      <c r="G890" s="2" t="s">
        <v>186</v>
      </c>
      <c r="H890" s="2" t="s">
        <v>44</v>
      </c>
      <c r="I890" s="4">
        <v>35250</v>
      </c>
    </row>
    <row r="891" spans="1:9" x14ac:dyDescent="0.25">
      <c r="A891" s="2" t="s">
        <v>20</v>
      </c>
      <c r="B891" s="2">
        <v>2600</v>
      </c>
      <c r="C891" s="2">
        <v>5</v>
      </c>
      <c r="D891" s="2" t="s">
        <v>36</v>
      </c>
      <c r="E891" s="3">
        <v>44656</v>
      </c>
      <c r="F891" s="2" t="s">
        <v>304</v>
      </c>
      <c r="G891" s="2" t="s">
        <v>513</v>
      </c>
      <c r="H891" s="2" t="s">
        <v>44</v>
      </c>
      <c r="I891" s="4">
        <v>24514</v>
      </c>
    </row>
    <row r="892" spans="1:9" x14ac:dyDescent="0.25">
      <c r="A892" s="2" t="s">
        <v>25</v>
      </c>
      <c r="B892" s="2">
        <v>2500</v>
      </c>
      <c r="C892" s="2">
        <v>5</v>
      </c>
      <c r="D892" s="2" t="s">
        <v>41</v>
      </c>
      <c r="E892" s="3">
        <v>44860</v>
      </c>
      <c r="F892" s="2" t="s">
        <v>564</v>
      </c>
      <c r="G892" s="2" t="s">
        <v>421</v>
      </c>
      <c r="H892" s="2" t="s">
        <v>49</v>
      </c>
      <c r="I892" s="4">
        <v>29065</v>
      </c>
    </row>
    <row r="893" spans="1:9" x14ac:dyDescent="0.25">
      <c r="A893" s="2" t="s">
        <v>19</v>
      </c>
      <c r="B893" s="2">
        <v>700</v>
      </c>
      <c r="C893" s="2">
        <v>1</v>
      </c>
      <c r="D893" s="2" t="s">
        <v>37</v>
      </c>
      <c r="E893" s="3">
        <v>44642</v>
      </c>
      <c r="F893" s="2" t="s">
        <v>512</v>
      </c>
      <c r="G893" s="2" t="s">
        <v>198</v>
      </c>
      <c r="H893" s="2" t="s">
        <v>44</v>
      </c>
      <c r="I893" s="4">
        <v>32916</v>
      </c>
    </row>
    <row r="894" spans="1:9" x14ac:dyDescent="0.25">
      <c r="A894" s="2" t="s">
        <v>14</v>
      </c>
      <c r="B894" s="2">
        <v>2000</v>
      </c>
      <c r="C894" s="2">
        <v>1</v>
      </c>
      <c r="D894" s="2" t="s">
        <v>36</v>
      </c>
      <c r="E894" s="3">
        <v>44616</v>
      </c>
      <c r="F894" s="2" t="s">
        <v>505</v>
      </c>
      <c r="G894" s="2" t="s">
        <v>274</v>
      </c>
      <c r="H894" s="2" t="s">
        <v>44</v>
      </c>
      <c r="I894" s="4">
        <v>24346</v>
      </c>
    </row>
    <row r="895" spans="1:9" x14ac:dyDescent="0.25">
      <c r="A895" s="2" t="s">
        <v>14</v>
      </c>
      <c r="B895" s="2">
        <v>2000</v>
      </c>
      <c r="C895" s="2">
        <v>1</v>
      </c>
      <c r="D895" s="2" t="s">
        <v>32</v>
      </c>
      <c r="E895" s="3">
        <v>44763</v>
      </c>
      <c r="F895" s="2" t="s">
        <v>190</v>
      </c>
      <c r="G895" s="2" t="s">
        <v>83</v>
      </c>
      <c r="H895" s="2" t="s">
        <v>44</v>
      </c>
      <c r="I895" s="4">
        <v>32913</v>
      </c>
    </row>
    <row r="896" spans="1:9" x14ac:dyDescent="0.25">
      <c r="A896" s="2" t="s">
        <v>18</v>
      </c>
      <c r="B896" s="2">
        <v>3000</v>
      </c>
      <c r="C896" s="2">
        <v>4</v>
      </c>
      <c r="D896" s="2" t="s">
        <v>32</v>
      </c>
      <c r="E896" s="3">
        <v>44608</v>
      </c>
      <c r="F896" s="2" t="s">
        <v>373</v>
      </c>
      <c r="G896" s="2" t="s">
        <v>99</v>
      </c>
      <c r="H896" s="2" t="s">
        <v>49</v>
      </c>
      <c r="I896" s="4">
        <v>22897</v>
      </c>
    </row>
    <row r="897" spans="1:9" x14ac:dyDescent="0.25">
      <c r="A897" s="2" t="s">
        <v>19</v>
      </c>
      <c r="B897" s="2">
        <v>700</v>
      </c>
      <c r="C897" s="2">
        <v>2</v>
      </c>
      <c r="D897" s="2" t="s">
        <v>30</v>
      </c>
      <c r="E897" s="3">
        <v>44710</v>
      </c>
      <c r="F897" s="2" t="s">
        <v>155</v>
      </c>
      <c r="G897" s="2" t="s">
        <v>63</v>
      </c>
      <c r="H897" s="2" t="s">
        <v>44</v>
      </c>
      <c r="I897" s="4">
        <v>24147</v>
      </c>
    </row>
    <row r="898" spans="1:9" x14ac:dyDescent="0.25">
      <c r="A898" s="2" t="s">
        <v>28</v>
      </c>
      <c r="B898" s="2">
        <v>1400</v>
      </c>
      <c r="C898" s="2">
        <v>2</v>
      </c>
      <c r="D898" s="2" t="s">
        <v>36</v>
      </c>
      <c r="E898" s="3">
        <v>44605</v>
      </c>
      <c r="F898" s="2" t="s">
        <v>259</v>
      </c>
      <c r="G898" s="2" t="s">
        <v>584</v>
      </c>
      <c r="H898" s="2" t="s">
        <v>49</v>
      </c>
      <c r="I898" s="4">
        <v>22500</v>
      </c>
    </row>
    <row r="899" spans="1:9" x14ac:dyDescent="0.25">
      <c r="A899" s="2" t="s">
        <v>11</v>
      </c>
      <c r="B899" s="2">
        <v>4500</v>
      </c>
      <c r="C899" s="2">
        <v>2</v>
      </c>
      <c r="D899" s="2" t="s">
        <v>30</v>
      </c>
      <c r="E899" s="3">
        <v>44840</v>
      </c>
      <c r="F899" s="2" t="s">
        <v>118</v>
      </c>
      <c r="G899" s="2" t="s">
        <v>119</v>
      </c>
      <c r="H899" s="2" t="s">
        <v>49</v>
      </c>
      <c r="I899" s="4">
        <v>33028</v>
      </c>
    </row>
    <row r="900" spans="1:9" x14ac:dyDescent="0.25">
      <c r="A900" s="2" t="s">
        <v>25</v>
      </c>
      <c r="B900" s="2">
        <v>2500</v>
      </c>
      <c r="C900" s="2">
        <v>2</v>
      </c>
      <c r="D900" s="2" t="s">
        <v>40</v>
      </c>
      <c r="E900" s="3">
        <v>44790</v>
      </c>
      <c r="F900" s="2" t="s">
        <v>124</v>
      </c>
      <c r="G900" s="2" t="s">
        <v>152</v>
      </c>
      <c r="H900" s="2" t="s">
        <v>44</v>
      </c>
      <c r="I900" s="4">
        <v>26019</v>
      </c>
    </row>
    <row r="901" spans="1:9" x14ac:dyDescent="0.25">
      <c r="A901" s="2" t="s">
        <v>24</v>
      </c>
      <c r="B901" s="2">
        <v>2000</v>
      </c>
      <c r="C901" s="2">
        <v>3</v>
      </c>
      <c r="D901" s="2" t="s">
        <v>34</v>
      </c>
      <c r="E901" s="3">
        <v>44866</v>
      </c>
      <c r="F901" s="2" t="s">
        <v>98</v>
      </c>
      <c r="G901" s="2" t="s">
        <v>99</v>
      </c>
      <c r="H901" s="2" t="s">
        <v>44</v>
      </c>
      <c r="I901" s="4">
        <v>34279</v>
      </c>
    </row>
    <row r="902" spans="1:9" x14ac:dyDescent="0.25">
      <c r="A902" s="2" t="s">
        <v>27</v>
      </c>
      <c r="B902" s="2">
        <v>1500</v>
      </c>
      <c r="C902" s="2">
        <v>5</v>
      </c>
      <c r="D902" s="2" t="s">
        <v>36</v>
      </c>
      <c r="E902" s="3">
        <v>44748</v>
      </c>
      <c r="F902" s="2" t="s">
        <v>111</v>
      </c>
      <c r="G902" s="2" t="s">
        <v>614</v>
      </c>
      <c r="H902" s="2" t="s">
        <v>44</v>
      </c>
      <c r="I902" s="4">
        <v>25590</v>
      </c>
    </row>
    <row r="903" spans="1:9" x14ac:dyDescent="0.25">
      <c r="A903" s="2" t="s">
        <v>12</v>
      </c>
      <c r="B903" s="2">
        <v>6500</v>
      </c>
      <c r="C903" s="2">
        <v>3</v>
      </c>
      <c r="D903" s="2" t="s">
        <v>36</v>
      </c>
      <c r="E903" s="3">
        <v>44845</v>
      </c>
      <c r="F903" s="2" t="s">
        <v>122</v>
      </c>
      <c r="G903" s="2" t="s">
        <v>480</v>
      </c>
      <c r="H903" s="2" t="s">
        <v>49</v>
      </c>
      <c r="I903" s="4">
        <v>34198</v>
      </c>
    </row>
    <row r="904" spans="1:9" x14ac:dyDescent="0.25">
      <c r="A904" s="2" t="s">
        <v>13</v>
      </c>
      <c r="B904" s="2">
        <v>2300</v>
      </c>
      <c r="C904" s="2">
        <v>4</v>
      </c>
      <c r="D904" s="2" t="s">
        <v>40</v>
      </c>
      <c r="E904" s="3">
        <v>44920</v>
      </c>
      <c r="F904" s="2" t="s">
        <v>98</v>
      </c>
      <c r="G904" s="2" t="s">
        <v>529</v>
      </c>
      <c r="H904" s="2" t="s">
        <v>44</v>
      </c>
      <c r="I904" s="4">
        <v>33148</v>
      </c>
    </row>
    <row r="905" spans="1:9" x14ac:dyDescent="0.25">
      <c r="A905" s="2" t="s">
        <v>23</v>
      </c>
      <c r="B905" s="2">
        <v>1500</v>
      </c>
      <c r="C905" s="2">
        <v>3</v>
      </c>
      <c r="D905" s="2" t="s">
        <v>35</v>
      </c>
      <c r="E905" s="3">
        <v>44818</v>
      </c>
      <c r="F905" s="2" t="s">
        <v>216</v>
      </c>
      <c r="G905" s="2" t="s">
        <v>172</v>
      </c>
      <c r="H905" s="2" t="s">
        <v>44</v>
      </c>
      <c r="I905" s="4">
        <v>20763</v>
      </c>
    </row>
    <row r="906" spans="1:9" x14ac:dyDescent="0.25">
      <c r="A906" s="2" t="s">
        <v>27</v>
      </c>
      <c r="B906" s="2">
        <v>1500</v>
      </c>
      <c r="C906" s="2">
        <v>2</v>
      </c>
      <c r="D906" s="2" t="s">
        <v>39</v>
      </c>
      <c r="E906" s="3">
        <v>44706</v>
      </c>
      <c r="F906" s="2" t="s">
        <v>510</v>
      </c>
      <c r="G906" s="2" t="s">
        <v>482</v>
      </c>
      <c r="H906" s="2" t="s">
        <v>49</v>
      </c>
      <c r="I906" s="4">
        <v>34955</v>
      </c>
    </row>
    <row r="907" spans="1:9" x14ac:dyDescent="0.25">
      <c r="A907" s="2" t="s">
        <v>24</v>
      </c>
      <c r="B907" s="2">
        <v>2000</v>
      </c>
      <c r="C907" s="2">
        <v>1</v>
      </c>
      <c r="D907" s="2" t="s">
        <v>40</v>
      </c>
      <c r="E907" s="3">
        <v>44685</v>
      </c>
      <c r="F907" s="2" t="s">
        <v>540</v>
      </c>
      <c r="G907" s="2" t="s">
        <v>75</v>
      </c>
      <c r="H907" s="2" t="s">
        <v>44</v>
      </c>
      <c r="I907" s="4">
        <v>25430</v>
      </c>
    </row>
    <row r="908" spans="1:9" x14ac:dyDescent="0.25">
      <c r="A908" s="2" t="s">
        <v>5</v>
      </c>
      <c r="B908" s="2">
        <v>1750</v>
      </c>
      <c r="C908" s="2">
        <v>2</v>
      </c>
      <c r="D908" s="2" t="s">
        <v>32</v>
      </c>
      <c r="E908" s="3">
        <v>44889</v>
      </c>
      <c r="F908" s="2" t="s">
        <v>76</v>
      </c>
      <c r="G908" s="2" t="s">
        <v>358</v>
      </c>
      <c r="H908" s="2" t="s">
        <v>49</v>
      </c>
      <c r="I908" s="4">
        <v>33495</v>
      </c>
    </row>
    <row r="909" spans="1:9" x14ac:dyDescent="0.25">
      <c r="A909" s="2" t="s">
        <v>12</v>
      </c>
      <c r="B909" s="2">
        <v>6500</v>
      </c>
      <c r="C909" s="2">
        <v>4</v>
      </c>
      <c r="D909" s="2" t="s">
        <v>32</v>
      </c>
      <c r="E909" s="3">
        <v>44690</v>
      </c>
      <c r="F909" s="2" t="s">
        <v>289</v>
      </c>
      <c r="G909" s="2" t="s">
        <v>297</v>
      </c>
      <c r="H909" s="2" t="s">
        <v>44</v>
      </c>
      <c r="I909" s="4">
        <v>30434</v>
      </c>
    </row>
    <row r="910" spans="1:9" x14ac:dyDescent="0.25">
      <c r="A910" s="2" t="s">
        <v>11</v>
      </c>
      <c r="B910" s="2">
        <v>4500</v>
      </c>
      <c r="C910" s="2">
        <v>4</v>
      </c>
      <c r="D910" s="2" t="s">
        <v>41</v>
      </c>
      <c r="E910" s="3">
        <v>44839</v>
      </c>
      <c r="F910" s="2" t="s">
        <v>295</v>
      </c>
      <c r="G910" s="2" t="s">
        <v>435</v>
      </c>
      <c r="H910" s="2" t="s">
        <v>49</v>
      </c>
      <c r="I910" s="4">
        <v>21667</v>
      </c>
    </row>
    <row r="911" spans="1:9" x14ac:dyDescent="0.25">
      <c r="A911" s="2" t="s">
        <v>18</v>
      </c>
      <c r="B911" s="2">
        <v>3000</v>
      </c>
      <c r="C911" s="2">
        <v>3</v>
      </c>
      <c r="D911" s="2" t="s">
        <v>31</v>
      </c>
      <c r="E911" s="3">
        <v>44707</v>
      </c>
      <c r="F911" s="2" t="s">
        <v>371</v>
      </c>
      <c r="G911" s="2" t="s">
        <v>372</v>
      </c>
      <c r="H911" s="2" t="s">
        <v>44</v>
      </c>
      <c r="I911" s="4">
        <v>21789</v>
      </c>
    </row>
    <row r="912" spans="1:9" x14ac:dyDescent="0.25">
      <c r="A912" s="2" t="s">
        <v>14</v>
      </c>
      <c r="B912" s="2">
        <v>2000</v>
      </c>
      <c r="C912" s="2">
        <v>3</v>
      </c>
      <c r="D912" s="2" t="s">
        <v>30</v>
      </c>
      <c r="E912" s="3">
        <v>44857</v>
      </c>
      <c r="F912" s="2" t="s">
        <v>318</v>
      </c>
      <c r="G912" s="2" t="s">
        <v>345</v>
      </c>
      <c r="H912" s="2" t="s">
        <v>44</v>
      </c>
      <c r="I912" s="4">
        <v>18782</v>
      </c>
    </row>
    <row r="913" spans="1:9" x14ac:dyDescent="0.25">
      <c r="A913" s="2" t="s">
        <v>7</v>
      </c>
      <c r="B913" s="2">
        <v>750</v>
      </c>
      <c r="C913" s="2">
        <v>3</v>
      </c>
      <c r="D913" s="2" t="s">
        <v>30</v>
      </c>
      <c r="E913" s="3">
        <v>44563</v>
      </c>
      <c r="F913" s="2" t="s">
        <v>153</v>
      </c>
      <c r="G913" s="2" t="s">
        <v>319</v>
      </c>
      <c r="H913" s="2" t="s">
        <v>44</v>
      </c>
      <c r="I913" s="4">
        <v>34274</v>
      </c>
    </row>
    <row r="914" spans="1:9" x14ac:dyDescent="0.25">
      <c r="A914" s="2" t="s">
        <v>16</v>
      </c>
      <c r="B914" s="2">
        <v>1400</v>
      </c>
      <c r="C914" s="2">
        <v>3</v>
      </c>
      <c r="D914" s="2" t="s">
        <v>30</v>
      </c>
      <c r="E914" s="3">
        <v>44710</v>
      </c>
      <c r="F914" s="2" t="s">
        <v>252</v>
      </c>
      <c r="G914" s="2" t="s">
        <v>253</v>
      </c>
      <c r="H914" s="2" t="s">
        <v>49</v>
      </c>
      <c r="I914" s="4">
        <v>30654</v>
      </c>
    </row>
    <row r="915" spans="1:9" x14ac:dyDescent="0.25">
      <c r="A915" s="2" t="s">
        <v>23</v>
      </c>
      <c r="B915" s="2">
        <v>1500</v>
      </c>
      <c r="C915" s="2">
        <v>5</v>
      </c>
      <c r="D915" s="2" t="s">
        <v>40</v>
      </c>
      <c r="E915" s="3">
        <v>44906</v>
      </c>
      <c r="F915" s="2" t="s">
        <v>124</v>
      </c>
      <c r="G915" s="2" t="s">
        <v>607</v>
      </c>
      <c r="H915" s="2" t="s">
        <v>44</v>
      </c>
      <c r="I915" s="4">
        <v>30959</v>
      </c>
    </row>
    <row r="916" spans="1:9" x14ac:dyDescent="0.25">
      <c r="A916" s="2" t="s">
        <v>13</v>
      </c>
      <c r="B916" s="2">
        <v>2300</v>
      </c>
      <c r="C916" s="2">
        <v>3</v>
      </c>
      <c r="D916" s="2" t="s">
        <v>29</v>
      </c>
      <c r="E916" s="3">
        <v>44692</v>
      </c>
      <c r="F916" s="2" t="s">
        <v>426</v>
      </c>
      <c r="G916" s="2" t="s">
        <v>75</v>
      </c>
      <c r="H916" s="2" t="s">
        <v>49</v>
      </c>
      <c r="I916" s="4">
        <v>33756</v>
      </c>
    </row>
    <row r="917" spans="1:9" x14ac:dyDescent="0.25">
      <c r="A917" s="2" t="s">
        <v>23</v>
      </c>
      <c r="B917" s="2">
        <v>1500</v>
      </c>
      <c r="C917" s="2">
        <v>4</v>
      </c>
      <c r="D917" s="2" t="s">
        <v>31</v>
      </c>
      <c r="E917" s="3">
        <v>44909</v>
      </c>
      <c r="F917" s="2" t="s">
        <v>401</v>
      </c>
      <c r="G917" s="2" t="s">
        <v>443</v>
      </c>
      <c r="H917" s="2" t="s">
        <v>49</v>
      </c>
      <c r="I917" s="4">
        <v>36167</v>
      </c>
    </row>
    <row r="918" spans="1:9" x14ac:dyDescent="0.25">
      <c r="A918" s="2" t="s">
        <v>24</v>
      </c>
      <c r="B918" s="2">
        <v>2000</v>
      </c>
      <c r="C918" s="2">
        <v>5</v>
      </c>
      <c r="D918" s="2" t="s">
        <v>32</v>
      </c>
      <c r="E918" s="3">
        <v>44907</v>
      </c>
      <c r="F918" s="2" t="s">
        <v>161</v>
      </c>
      <c r="G918" s="2" t="s">
        <v>105</v>
      </c>
      <c r="H918" s="2" t="s">
        <v>49</v>
      </c>
      <c r="I918" s="4">
        <v>36694</v>
      </c>
    </row>
    <row r="919" spans="1:9" x14ac:dyDescent="0.25">
      <c r="A919" s="2" t="s">
        <v>28</v>
      </c>
      <c r="B919" s="2">
        <v>1400</v>
      </c>
      <c r="C919" s="2">
        <v>2</v>
      </c>
      <c r="D919" s="2" t="s">
        <v>29</v>
      </c>
      <c r="E919" s="3">
        <v>44729</v>
      </c>
      <c r="F919" s="2" t="s">
        <v>225</v>
      </c>
      <c r="G919" s="2" t="s">
        <v>226</v>
      </c>
      <c r="H919" s="2" t="s">
        <v>44</v>
      </c>
      <c r="I919" s="4">
        <v>36143</v>
      </c>
    </row>
    <row r="920" spans="1:9" x14ac:dyDescent="0.25">
      <c r="A920" s="2" t="s">
        <v>18</v>
      </c>
      <c r="B920" s="2">
        <v>3000</v>
      </c>
      <c r="C920" s="2">
        <v>5</v>
      </c>
      <c r="D920" s="2" t="s">
        <v>40</v>
      </c>
      <c r="E920" s="3">
        <v>44782</v>
      </c>
      <c r="F920" s="2" t="s">
        <v>155</v>
      </c>
      <c r="G920" s="2" t="s">
        <v>156</v>
      </c>
      <c r="H920" s="2" t="s">
        <v>44</v>
      </c>
      <c r="I920" s="4">
        <v>18833</v>
      </c>
    </row>
    <row r="921" spans="1:9" x14ac:dyDescent="0.25">
      <c r="A921" s="2" t="s">
        <v>22</v>
      </c>
      <c r="B921" s="2">
        <v>5200</v>
      </c>
      <c r="C921" s="2">
        <v>3</v>
      </c>
      <c r="D921" s="2" t="s">
        <v>30</v>
      </c>
      <c r="E921" s="3">
        <v>44875</v>
      </c>
      <c r="F921" s="2" t="s">
        <v>87</v>
      </c>
      <c r="G921" s="2" t="s">
        <v>417</v>
      </c>
      <c r="H921" s="2" t="s">
        <v>44</v>
      </c>
      <c r="I921" s="4">
        <v>19055</v>
      </c>
    </row>
    <row r="922" spans="1:9" x14ac:dyDescent="0.25">
      <c r="A922" s="2" t="s">
        <v>27</v>
      </c>
      <c r="B922" s="2">
        <v>1500</v>
      </c>
      <c r="C922" s="2">
        <v>4</v>
      </c>
      <c r="D922" s="2" t="s">
        <v>33</v>
      </c>
      <c r="E922" s="3">
        <v>44757</v>
      </c>
      <c r="F922" s="2" t="s">
        <v>134</v>
      </c>
      <c r="G922" s="2" t="s">
        <v>141</v>
      </c>
      <c r="H922" s="2" t="s">
        <v>49</v>
      </c>
      <c r="I922" s="4">
        <v>20325</v>
      </c>
    </row>
    <row r="923" spans="1:9" x14ac:dyDescent="0.25">
      <c r="A923" s="2" t="s">
        <v>19</v>
      </c>
      <c r="B923" s="2">
        <v>700</v>
      </c>
      <c r="C923" s="2">
        <v>3</v>
      </c>
      <c r="D923" s="2" t="s">
        <v>40</v>
      </c>
      <c r="E923" s="3">
        <v>44807</v>
      </c>
      <c r="F923" s="2" t="s">
        <v>111</v>
      </c>
      <c r="G923" s="2" t="s">
        <v>63</v>
      </c>
      <c r="H923" s="2" t="s">
        <v>44</v>
      </c>
      <c r="I923" s="4">
        <v>34809</v>
      </c>
    </row>
    <row r="924" spans="1:9" x14ac:dyDescent="0.25">
      <c r="A924" s="2" t="s">
        <v>27</v>
      </c>
      <c r="B924" s="2">
        <v>1500</v>
      </c>
      <c r="C924" s="2">
        <v>2</v>
      </c>
      <c r="D924" s="2" t="s">
        <v>34</v>
      </c>
      <c r="E924" s="3">
        <v>44827</v>
      </c>
      <c r="F924" s="2" t="s">
        <v>563</v>
      </c>
      <c r="G924" s="2" t="s">
        <v>359</v>
      </c>
      <c r="H924" s="2" t="s">
        <v>44</v>
      </c>
      <c r="I924" s="4">
        <v>28415</v>
      </c>
    </row>
    <row r="925" spans="1:9" x14ac:dyDescent="0.25">
      <c r="A925" s="2" t="s">
        <v>27</v>
      </c>
      <c r="B925" s="2">
        <v>1500</v>
      </c>
      <c r="C925" s="2">
        <v>3</v>
      </c>
      <c r="D925" s="2" t="s">
        <v>31</v>
      </c>
      <c r="E925" s="3">
        <v>44924</v>
      </c>
      <c r="F925" s="2" t="s">
        <v>239</v>
      </c>
      <c r="G925" s="2" t="s">
        <v>501</v>
      </c>
      <c r="H925" s="2" t="s">
        <v>49</v>
      </c>
      <c r="I925" s="4">
        <v>20916</v>
      </c>
    </row>
    <row r="926" spans="1:9" x14ac:dyDescent="0.25">
      <c r="A926" s="2" t="s">
        <v>20</v>
      </c>
      <c r="B926" s="2">
        <v>2600</v>
      </c>
      <c r="C926" s="2">
        <v>5</v>
      </c>
      <c r="D926" s="2" t="s">
        <v>37</v>
      </c>
      <c r="E926" s="3">
        <v>44743</v>
      </c>
      <c r="F926" s="2" t="s">
        <v>547</v>
      </c>
      <c r="G926" s="2" t="s">
        <v>83</v>
      </c>
      <c r="H926" s="2" t="s">
        <v>49</v>
      </c>
      <c r="I926" s="4">
        <v>32644</v>
      </c>
    </row>
    <row r="927" spans="1:9" x14ac:dyDescent="0.25">
      <c r="A927" s="2" t="s">
        <v>11</v>
      </c>
      <c r="B927" s="2">
        <v>4500</v>
      </c>
      <c r="C927" s="2">
        <v>4</v>
      </c>
      <c r="D927" s="2" t="s">
        <v>36</v>
      </c>
      <c r="E927" s="3">
        <v>44920</v>
      </c>
      <c r="F927" s="2" t="s">
        <v>290</v>
      </c>
      <c r="G927" s="2" t="s">
        <v>434</v>
      </c>
      <c r="H927" s="2" t="s">
        <v>49</v>
      </c>
      <c r="I927" s="4">
        <v>34421</v>
      </c>
    </row>
    <row r="928" spans="1:9" x14ac:dyDescent="0.25">
      <c r="A928" s="2" t="s">
        <v>7</v>
      </c>
      <c r="B928" s="2">
        <v>750</v>
      </c>
      <c r="C928" s="2">
        <v>5</v>
      </c>
      <c r="D928" s="2" t="s">
        <v>32</v>
      </c>
      <c r="E928" s="3">
        <v>44605</v>
      </c>
      <c r="F928" s="2" t="s">
        <v>377</v>
      </c>
      <c r="G928" s="2" t="s">
        <v>308</v>
      </c>
      <c r="H928" s="2" t="s">
        <v>49</v>
      </c>
      <c r="I928" s="4">
        <v>21465</v>
      </c>
    </row>
    <row r="929" spans="1:9" x14ac:dyDescent="0.25">
      <c r="A929" s="2" t="s">
        <v>24</v>
      </c>
      <c r="B929" s="2">
        <v>2000</v>
      </c>
      <c r="C929" s="2">
        <v>3</v>
      </c>
      <c r="D929" s="2" t="s">
        <v>36</v>
      </c>
      <c r="E929" s="3">
        <v>44568</v>
      </c>
      <c r="F929" s="2" t="s">
        <v>78</v>
      </c>
      <c r="G929" s="2" t="s">
        <v>413</v>
      </c>
      <c r="H929" s="2" t="s">
        <v>49</v>
      </c>
      <c r="I929" s="4">
        <v>22075</v>
      </c>
    </row>
    <row r="930" spans="1:9" x14ac:dyDescent="0.25">
      <c r="A930" s="2" t="s">
        <v>17</v>
      </c>
      <c r="B930" s="2">
        <v>1550</v>
      </c>
      <c r="C930" s="2">
        <v>5</v>
      </c>
      <c r="D930" s="2" t="s">
        <v>40</v>
      </c>
      <c r="E930" s="3">
        <v>44904</v>
      </c>
      <c r="F930" s="2" t="s">
        <v>438</v>
      </c>
      <c r="G930" s="2" t="s">
        <v>205</v>
      </c>
      <c r="H930" s="2" t="s">
        <v>49</v>
      </c>
      <c r="I930" s="4">
        <v>26729</v>
      </c>
    </row>
    <row r="931" spans="1:9" x14ac:dyDescent="0.25">
      <c r="A931" s="2" t="s">
        <v>10</v>
      </c>
      <c r="B931" s="2">
        <v>1450</v>
      </c>
      <c r="C931" s="2">
        <v>4</v>
      </c>
      <c r="D931" s="2" t="s">
        <v>32</v>
      </c>
      <c r="E931" s="3">
        <v>44849</v>
      </c>
      <c r="F931" s="2" t="s">
        <v>312</v>
      </c>
      <c r="G931" s="2" t="s">
        <v>63</v>
      </c>
      <c r="H931" s="2" t="s">
        <v>49</v>
      </c>
      <c r="I931" s="4">
        <v>20954</v>
      </c>
    </row>
    <row r="932" spans="1:9" x14ac:dyDescent="0.25">
      <c r="A932" s="2" t="s">
        <v>10</v>
      </c>
      <c r="B932" s="2">
        <v>1450</v>
      </c>
      <c r="C932" s="2">
        <v>1</v>
      </c>
      <c r="D932" s="2" t="s">
        <v>30</v>
      </c>
      <c r="E932" s="3">
        <v>44573</v>
      </c>
      <c r="F932" s="2" t="s">
        <v>102</v>
      </c>
      <c r="G932" s="2" t="s">
        <v>103</v>
      </c>
      <c r="H932" s="2" t="s">
        <v>44</v>
      </c>
      <c r="I932" s="4">
        <v>26153</v>
      </c>
    </row>
    <row r="933" spans="1:9" x14ac:dyDescent="0.25">
      <c r="A933" s="2" t="s">
        <v>27</v>
      </c>
      <c r="B933" s="2">
        <v>1500</v>
      </c>
      <c r="C933" s="2">
        <v>1</v>
      </c>
      <c r="D933" s="2" t="s">
        <v>32</v>
      </c>
      <c r="E933" s="3">
        <v>44783</v>
      </c>
      <c r="F933" s="2" t="s">
        <v>293</v>
      </c>
      <c r="G933" s="2" t="s">
        <v>55</v>
      </c>
      <c r="H933" s="2" t="s">
        <v>49</v>
      </c>
      <c r="I933" s="4">
        <v>27381</v>
      </c>
    </row>
    <row r="934" spans="1:9" x14ac:dyDescent="0.25">
      <c r="A934" s="2" t="s">
        <v>22</v>
      </c>
      <c r="B934" s="2">
        <v>5200</v>
      </c>
      <c r="C934" s="2">
        <v>5</v>
      </c>
      <c r="D934" s="2" t="s">
        <v>29</v>
      </c>
      <c r="E934" s="3">
        <v>44602</v>
      </c>
      <c r="F934" s="2" t="s">
        <v>142</v>
      </c>
      <c r="G934" s="2" t="s">
        <v>389</v>
      </c>
      <c r="H934" s="2" t="s">
        <v>49</v>
      </c>
      <c r="I934" s="4">
        <v>26911</v>
      </c>
    </row>
    <row r="935" spans="1:9" x14ac:dyDescent="0.25">
      <c r="A935" s="2" t="s">
        <v>19</v>
      </c>
      <c r="B935" s="2">
        <v>700</v>
      </c>
      <c r="C935" s="2">
        <v>5</v>
      </c>
      <c r="D935" s="2" t="s">
        <v>29</v>
      </c>
      <c r="E935" s="3">
        <v>44724</v>
      </c>
      <c r="F935" s="2" t="s">
        <v>228</v>
      </c>
      <c r="G935" s="2" t="s">
        <v>207</v>
      </c>
      <c r="H935" s="2" t="s">
        <v>44</v>
      </c>
      <c r="I935" s="4">
        <v>18957</v>
      </c>
    </row>
    <row r="936" spans="1:9" x14ac:dyDescent="0.25">
      <c r="A936" s="2" t="s">
        <v>26</v>
      </c>
      <c r="B936" s="2">
        <v>1100</v>
      </c>
      <c r="C936" s="2">
        <v>2</v>
      </c>
      <c r="D936" s="2" t="s">
        <v>33</v>
      </c>
      <c r="E936" s="3">
        <v>44798</v>
      </c>
      <c r="F936" s="2" t="s">
        <v>107</v>
      </c>
      <c r="G936" s="2" t="s">
        <v>231</v>
      </c>
      <c r="H936" s="2" t="s">
        <v>49</v>
      </c>
      <c r="I936" s="4">
        <v>30856</v>
      </c>
    </row>
    <row r="937" spans="1:9" x14ac:dyDescent="0.25">
      <c r="A937" s="2" t="s">
        <v>5</v>
      </c>
      <c r="B937" s="2">
        <v>1750</v>
      </c>
      <c r="C937" s="2">
        <v>2</v>
      </c>
      <c r="D937" s="2" t="s">
        <v>34</v>
      </c>
      <c r="E937" s="3">
        <v>44840</v>
      </c>
      <c r="F937" s="2" t="s">
        <v>126</v>
      </c>
      <c r="G937" s="2" t="s">
        <v>81</v>
      </c>
      <c r="H937" s="2" t="s">
        <v>49</v>
      </c>
      <c r="I937" s="4">
        <v>28031</v>
      </c>
    </row>
    <row r="938" spans="1:9" x14ac:dyDescent="0.25">
      <c r="A938" s="2" t="s">
        <v>17</v>
      </c>
      <c r="B938" s="2">
        <v>1550</v>
      </c>
      <c r="C938" s="2">
        <v>4</v>
      </c>
      <c r="D938" s="2" t="s">
        <v>32</v>
      </c>
      <c r="E938" s="3">
        <v>44736</v>
      </c>
      <c r="F938" s="2" t="s">
        <v>137</v>
      </c>
      <c r="G938" s="2" t="s">
        <v>174</v>
      </c>
      <c r="H938" s="2" t="s">
        <v>49</v>
      </c>
      <c r="I938" s="4">
        <v>22798</v>
      </c>
    </row>
    <row r="939" spans="1:9" x14ac:dyDescent="0.25">
      <c r="A939" s="2" t="s">
        <v>11</v>
      </c>
      <c r="B939" s="2">
        <v>4500</v>
      </c>
      <c r="C939" s="2">
        <v>3</v>
      </c>
      <c r="D939" s="2" t="s">
        <v>33</v>
      </c>
      <c r="E939" s="3">
        <v>44888</v>
      </c>
      <c r="F939" s="2" t="s">
        <v>87</v>
      </c>
      <c r="G939" s="2" t="s">
        <v>160</v>
      </c>
      <c r="H939" s="2" t="s">
        <v>44</v>
      </c>
      <c r="I939" s="4">
        <v>28196</v>
      </c>
    </row>
    <row r="940" spans="1:9" x14ac:dyDescent="0.25">
      <c r="A940" s="2" t="s">
        <v>19</v>
      </c>
      <c r="B940" s="2">
        <v>700</v>
      </c>
      <c r="C940" s="2">
        <v>3</v>
      </c>
      <c r="D940" s="2" t="s">
        <v>41</v>
      </c>
      <c r="E940" s="3">
        <v>44742</v>
      </c>
      <c r="F940" s="2" t="s">
        <v>225</v>
      </c>
      <c r="G940" s="2" t="s">
        <v>292</v>
      </c>
      <c r="H940" s="2" t="s">
        <v>44</v>
      </c>
      <c r="I940" s="4">
        <v>32316</v>
      </c>
    </row>
    <row r="941" spans="1:9" x14ac:dyDescent="0.25">
      <c r="A941" s="2" t="s">
        <v>11</v>
      </c>
      <c r="B941" s="2">
        <v>4500</v>
      </c>
      <c r="C941" s="2">
        <v>5</v>
      </c>
      <c r="D941" s="2" t="s">
        <v>33</v>
      </c>
      <c r="E941" s="3">
        <v>44924</v>
      </c>
      <c r="F941" s="2" t="s">
        <v>87</v>
      </c>
      <c r="G941" s="2" t="s">
        <v>358</v>
      </c>
      <c r="H941" s="2" t="s">
        <v>44</v>
      </c>
      <c r="I941" s="4">
        <v>28276</v>
      </c>
    </row>
    <row r="942" spans="1:9" x14ac:dyDescent="0.25">
      <c r="A942" s="2" t="s">
        <v>15</v>
      </c>
      <c r="B942" s="2">
        <v>1900</v>
      </c>
      <c r="C942" s="2">
        <v>2</v>
      </c>
      <c r="D942" s="2" t="s">
        <v>41</v>
      </c>
      <c r="E942" s="3">
        <v>44788</v>
      </c>
      <c r="F942" s="2" t="s">
        <v>51</v>
      </c>
      <c r="G942" s="2" t="s">
        <v>75</v>
      </c>
      <c r="H942" s="2" t="s">
        <v>44</v>
      </c>
      <c r="I942" s="4">
        <v>22498</v>
      </c>
    </row>
    <row r="943" spans="1:9" x14ac:dyDescent="0.25">
      <c r="A943" s="2" t="s">
        <v>15</v>
      </c>
      <c r="B943" s="2">
        <v>1900</v>
      </c>
      <c r="C943" s="2">
        <v>1</v>
      </c>
      <c r="D943" s="2" t="s">
        <v>38</v>
      </c>
      <c r="E943" s="3">
        <v>44916</v>
      </c>
      <c r="F943" s="2" t="s">
        <v>405</v>
      </c>
      <c r="G943" s="2" t="s">
        <v>406</v>
      </c>
      <c r="H943" s="2" t="s">
        <v>44</v>
      </c>
      <c r="I943" s="4">
        <v>25121</v>
      </c>
    </row>
    <row r="944" spans="1:9" x14ac:dyDescent="0.25">
      <c r="A944" s="2" t="s">
        <v>9</v>
      </c>
      <c r="B944" s="2">
        <v>1500</v>
      </c>
      <c r="C944" s="2">
        <v>2</v>
      </c>
      <c r="D944" s="2" t="s">
        <v>29</v>
      </c>
      <c r="E944" s="3">
        <v>44764</v>
      </c>
      <c r="F944" s="2" t="s">
        <v>562</v>
      </c>
      <c r="G944" s="2" t="s">
        <v>89</v>
      </c>
      <c r="H944" s="2" t="s">
        <v>49</v>
      </c>
      <c r="I944" s="4">
        <v>19516</v>
      </c>
    </row>
    <row r="945" spans="1:9" x14ac:dyDescent="0.25">
      <c r="A945" s="2" t="s">
        <v>21</v>
      </c>
      <c r="B945" s="2">
        <v>2400</v>
      </c>
      <c r="C945" s="2">
        <v>2</v>
      </c>
      <c r="D945" s="2" t="s">
        <v>32</v>
      </c>
      <c r="E945" s="3">
        <v>44753</v>
      </c>
      <c r="F945" s="2" t="s">
        <v>155</v>
      </c>
      <c r="G945" s="2" t="s">
        <v>274</v>
      </c>
      <c r="H945" s="2" t="s">
        <v>44</v>
      </c>
      <c r="I945" s="4">
        <v>33478</v>
      </c>
    </row>
    <row r="946" spans="1:9" x14ac:dyDescent="0.25">
      <c r="A946" s="2" t="s">
        <v>23</v>
      </c>
      <c r="B946" s="2">
        <v>1500</v>
      </c>
      <c r="C946" s="2">
        <v>2</v>
      </c>
      <c r="D946" s="2" t="s">
        <v>32</v>
      </c>
      <c r="E946" s="3">
        <v>44707</v>
      </c>
      <c r="F946" s="2" t="s">
        <v>341</v>
      </c>
      <c r="G946" s="2" t="s">
        <v>342</v>
      </c>
      <c r="H946" s="2" t="s">
        <v>49</v>
      </c>
      <c r="I946" s="4">
        <v>25751</v>
      </c>
    </row>
    <row r="947" spans="1:9" x14ac:dyDescent="0.25">
      <c r="A947" s="2" t="s">
        <v>27</v>
      </c>
      <c r="B947" s="2">
        <v>1500</v>
      </c>
      <c r="C947" s="2">
        <v>4</v>
      </c>
      <c r="D947" s="2" t="s">
        <v>35</v>
      </c>
      <c r="E947" s="3">
        <v>44852</v>
      </c>
      <c r="F947" s="2" t="s">
        <v>301</v>
      </c>
      <c r="G947" s="2" t="s">
        <v>360</v>
      </c>
      <c r="H947" s="2" t="s">
        <v>49</v>
      </c>
      <c r="I947" s="4">
        <v>34458</v>
      </c>
    </row>
    <row r="948" spans="1:9" x14ac:dyDescent="0.25">
      <c r="A948" s="2" t="s">
        <v>23</v>
      </c>
      <c r="B948" s="2">
        <v>1500</v>
      </c>
      <c r="C948" s="2">
        <v>4</v>
      </c>
      <c r="D948" s="2" t="s">
        <v>32</v>
      </c>
      <c r="E948" s="3">
        <v>44776</v>
      </c>
      <c r="F948" s="2" t="s">
        <v>414</v>
      </c>
      <c r="G948" s="2" t="s">
        <v>308</v>
      </c>
      <c r="H948" s="2" t="s">
        <v>44</v>
      </c>
      <c r="I948" s="4">
        <v>36278</v>
      </c>
    </row>
    <row r="949" spans="1:9" x14ac:dyDescent="0.25">
      <c r="A949" s="2" t="s">
        <v>10</v>
      </c>
      <c r="B949" s="2">
        <v>1450</v>
      </c>
      <c r="C949" s="2">
        <v>5</v>
      </c>
      <c r="D949" s="2" t="s">
        <v>36</v>
      </c>
      <c r="E949" s="3">
        <v>44596</v>
      </c>
      <c r="F949" s="2" t="s">
        <v>85</v>
      </c>
      <c r="G949" s="2" t="s">
        <v>86</v>
      </c>
      <c r="H949" s="2" t="s">
        <v>49</v>
      </c>
      <c r="I949" s="4">
        <v>22416</v>
      </c>
    </row>
    <row r="950" spans="1:9" x14ac:dyDescent="0.25">
      <c r="A950" s="2" t="s">
        <v>14</v>
      </c>
      <c r="B950" s="2">
        <v>2000</v>
      </c>
      <c r="C950" s="2">
        <v>2</v>
      </c>
      <c r="D950" s="2" t="s">
        <v>40</v>
      </c>
      <c r="E950" s="3">
        <v>44771</v>
      </c>
      <c r="F950" s="2" t="s">
        <v>87</v>
      </c>
      <c r="G950" s="2" t="s">
        <v>450</v>
      </c>
      <c r="H950" s="2" t="s">
        <v>44</v>
      </c>
      <c r="I950" s="4">
        <v>20036</v>
      </c>
    </row>
    <row r="951" spans="1:9" x14ac:dyDescent="0.25">
      <c r="A951" s="2" t="s">
        <v>21</v>
      </c>
      <c r="B951" s="2">
        <v>2400</v>
      </c>
      <c r="C951" s="2">
        <v>4</v>
      </c>
      <c r="D951" s="2" t="s">
        <v>37</v>
      </c>
      <c r="E951" s="3">
        <v>44772</v>
      </c>
      <c r="F951" s="2" t="s">
        <v>388</v>
      </c>
      <c r="G951" s="2" t="s">
        <v>389</v>
      </c>
      <c r="H951" s="2" t="s">
        <v>44</v>
      </c>
      <c r="I951" s="4">
        <v>19856</v>
      </c>
    </row>
    <row r="952" spans="1:9" x14ac:dyDescent="0.25">
      <c r="A952" s="2" t="s">
        <v>14</v>
      </c>
      <c r="B952" s="2">
        <v>2000</v>
      </c>
      <c r="C952" s="2">
        <v>4</v>
      </c>
      <c r="D952" s="2" t="s">
        <v>40</v>
      </c>
      <c r="E952" s="3">
        <v>44691</v>
      </c>
      <c r="F952" s="2" t="s">
        <v>321</v>
      </c>
      <c r="G952" s="2" t="s">
        <v>55</v>
      </c>
      <c r="H952" s="2" t="s">
        <v>49</v>
      </c>
      <c r="I952" s="4">
        <v>22483</v>
      </c>
    </row>
    <row r="953" spans="1:9" x14ac:dyDescent="0.25">
      <c r="A953" s="2" t="s">
        <v>24</v>
      </c>
      <c r="B953" s="2">
        <v>2000</v>
      </c>
      <c r="C953" s="2">
        <v>1</v>
      </c>
      <c r="D953" s="2" t="s">
        <v>29</v>
      </c>
      <c r="E953" s="3">
        <v>44794</v>
      </c>
      <c r="F953" s="2" t="s">
        <v>170</v>
      </c>
      <c r="G953" s="2" t="s">
        <v>463</v>
      </c>
      <c r="H953" s="2" t="s">
        <v>44</v>
      </c>
      <c r="I953" s="4">
        <v>30086</v>
      </c>
    </row>
    <row r="954" spans="1:9" x14ac:dyDescent="0.25">
      <c r="A954" s="2" t="s">
        <v>7</v>
      </c>
      <c r="B954" s="2">
        <v>750</v>
      </c>
      <c r="C954" s="2">
        <v>1</v>
      </c>
      <c r="D954" s="2" t="s">
        <v>29</v>
      </c>
      <c r="E954" s="3">
        <v>44725</v>
      </c>
      <c r="F954" s="2" t="s">
        <v>109</v>
      </c>
      <c r="G954" s="2" t="s">
        <v>504</v>
      </c>
      <c r="H954" s="2" t="s">
        <v>44</v>
      </c>
      <c r="I954" s="4">
        <v>19127</v>
      </c>
    </row>
    <row r="955" spans="1:9" x14ac:dyDescent="0.25">
      <c r="A955" s="2" t="s">
        <v>20</v>
      </c>
      <c r="B955" s="2">
        <v>2600</v>
      </c>
      <c r="C955" s="2">
        <v>3</v>
      </c>
      <c r="D955" s="2" t="s">
        <v>34</v>
      </c>
      <c r="E955" s="3">
        <v>44856</v>
      </c>
      <c r="F955" s="2" t="s">
        <v>437</v>
      </c>
      <c r="G955" s="2" t="s">
        <v>203</v>
      </c>
      <c r="H955" s="2" t="s">
        <v>44</v>
      </c>
      <c r="I955" s="4">
        <v>36608</v>
      </c>
    </row>
    <row r="956" spans="1:9" x14ac:dyDescent="0.25">
      <c r="A956" s="2" t="s">
        <v>14</v>
      </c>
      <c r="B956" s="2">
        <v>2000</v>
      </c>
      <c r="C956" s="2">
        <v>5</v>
      </c>
      <c r="D956" s="2" t="s">
        <v>36</v>
      </c>
      <c r="E956" s="3">
        <v>44722</v>
      </c>
      <c r="F956" s="2" t="s">
        <v>175</v>
      </c>
      <c r="G956" s="2" t="s">
        <v>176</v>
      </c>
      <c r="H956" s="2" t="s">
        <v>49</v>
      </c>
      <c r="I956" s="4">
        <v>28801</v>
      </c>
    </row>
    <row r="957" spans="1:9" x14ac:dyDescent="0.25">
      <c r="A957" s="2" t="s">
        <v>22</v>
      </c>
      <c r="B957" s="2">
        <v>5200</v>
      </c>
      <c r="C957" s="2">
        <v>1</v>
      </c>
      <c r="D957" s="2" t="s">
        <v>30</v>
      </c>
      <c r="E957" s="3">
        <v>44734</v>
      </c>
      <c r="F957" s="2" t="s">
        <v>68</v>
      </c>
      <c r="G957" s="2" t="s">
        <v>69</v>
      </c>
      <c r="H957" s="2" t="s">
        <v>49</v>
      </c>
      <c r="I957" s="4">
        <v>25248</v>
      </c>
    </row>
    <row r="958" spans="1:9" x14ac:dyDescent="0.25">
      <c r="A958" s="2" t="s">
        <v>28</v>
      </c>
      <c r="B958" s="2">
        <v>1400</v>
      </c>
      <c r="C958" s="2">
        <v>2</v>
      </c>
      <c r="D958" s="2" t="s">
        <v>39</v>
      </c>
      <c r="E958" s="3">
        <v>44583</v>
      </c>
      <c r="F958" s="2" t="s">
        <v>78</v>
      </c>
      <c r="G958" s="2" t="s">
        <v>123</v>
      </c>
      <c r="H958" s="2" t="s">
        <v>49</v>
      </c>
      <c r="I958" s="4">
        <v>32670</v>
      </c>
    </row>
    <row r="959" spans="1:9" x14ac:dyDescent="0.25">
      <c r="A959" s="2" t="s">
        <v>26</v>
      </c>
      <c r="B959" s="2">
        <v>1100</v>
      </c>
      <c r="C959" s="2">
        <v>1</v>
      </c>
      <c r="D959" s="2" t="s">
        <v>40</v>
      </c>
      <c r="E959" s="3">
        <v>44763</v>
      </c>
      <c r="F959" s="2" t="s">
        <v>298</v>
      </c>
      <c r="G959" s="2" t="s">
        <v>287</v>
      </c>
      <c r="H959" s="2" t="s">
        <v>44</v>
      </c>
      <c r="I959" s="4">
        <v>32562</v>
      </c>
    </row>
    <row r="960" spans="1:9" x14ac:dyDescent="0.25">
      <c r="A960" s="2" t="s">
        <v>17</v>
      </c>
      <c r="B960" s="2">
        <v>1550</v>
      </c>
      <c r="C960" s="2">
        <v>3</v>
      </c>
      <c r="D960" s="2" t="s">
        <v>38</v>
      </c>
      <c r="E960" s="3">
        <v>44743</v>
      </c>
      <c r="F960" s="2" t="s">
        <v>293</v>
      </c>
      <c r="G960" s="2" t="s">
        <v>586</v>
      </c>
      <c r="H960" s="2" t="s">
        <v>49</v>
      </c>
      <c r="I960" s="4">
        <v>31014</v>
      </c>
    </row>
    <row r="961" spans="1:9" x14ac:dyDescent="0.25">
      <c r="A961" s="2" t="s">
        <v>27</v>
      </c>
      <c r="B961" s="2">
        <v>1500</v>
      </c>
      <c r="C961" s="2">
        <v>4</v>
      </c>
      <c r="D961" s="2" t="s">
        <v>34</v>
      </c>
      <c r="E961" s="3">
        <v>44840</v>
      </c>
      <c r="F961" s="2" t="s">
        <v>126</v>
      </c>
      <c r="G961" s="2" t="s">
        <v>81</v>
      </c>
      <c r="H961" s="2" t="s">
        <v>49</v>
      </c>
      <c r="I961" s="4">
        <v>28031</v>
      </c>
    </row>
    <row r="962" spans="1:9" x14ac:dyDescent="0.25">
      <c r="A962" s="2" t="s">
        <v>8</v>
      </c>
      <c r="B962" s="2">
        <v>5500</v>
      </c>
      <c r="C962" s="2">
        <v>5</v>
      </c>
      <c r="D962" s="2" t="s">
        <v>38</v>
      </c>
      <c r="E962" s="3">
        <v>44604</v>
      </c>
      <c r="F962" s="2" t="s">
        <v>216</v>
      </c>
      <c r="G962" s="2" t="s">
        <v>442</v>
      </c>
      <c r="H962" s="2" t="s">
        <v>44</v>
      </c>
      <c r="I962" s="4">
        <v>27664</v>
      </c>
    </row>
    <row r="963" spans="1:9" x14ac:dyDescent="0.25">
      <c r="A963" s="2" t="s">
        <v>7</v>
      </c>
      <c r="B963" s="2">
        <v>750</v>
      </c>
      <c r="C963" s="2">
        <v>1</v>
      </c>
      <c r="D963" s="2" t="s">
        <v>33</v>
      </c>
      <c r="E963" s="3">
        <v>44618</v>
      </c>
      <c r="F963" s="2" t="s">
        <v>551</v>
      </c>
      <c r="G963" s="2" t="s">
        <v>59</v>
      </c>
      <c r="H963" s="2" t="s">
        <v>44</v>
      </c>
      <c r="I963" s="4">
        <v>25713</v>
      </c>
    </row>
    <row r="964" spans="1:9" x14ac:dyDescent="0.25">
      <c r="A964" s="2" t="s">
        <v>20</v>
      </c>
      <c r="B964" s="2">
        <v>2600</v>
      </c>
      <c r="C964" s="2">
        <v>4</v>
      </c>
      <c r="D964" s="2" t="s">
        <v>34</v>
      </c>
      <c r="E964" s="3">
        <v>44627</v>
      </c>
      <c r="F964" s="2" t="s">
        <v>241</v>
      </c>
      <c r="G964" s="2" t="s">
        <v>242</v>
      </c>
      <c r="H964" s="2" t="s">
        <v>49</v>
      </c>
      <c r="I964" s="4">
        <v>30191</v>
      </c>
    </row>
    <row r="965" spans="1:9" x14ac:dyDescent="0.25">
      <c r="A965" s="2" t="s">
        <v>22</v>
      </c>
      <c r="B965" s="2">
        <v>5200</v>
      </c>
      <c r="C965" s="2">
        <v>2</v>
      </c>
      <c r="D965" s="2" t="s">
        <v>29</v>
      </c>
      <c r="E965" s="3">
        <v>44926</v>
      </c>
      <c r="F965" s="2" t="s">
        <v>134</v>
      </c>
      <c r="G965" s="2" t="s">
        <v>351</v>
      </c>
      <c r="H965" s="2" t="s">
        <v>49</v>
      </c>
      <c r="I965" s="4">
        <v>26735</v>
      </c>
    </row>
    <row r="966" spans="1:9" x14ac:dyDescent="0.25">
      <c r="A966" s="2" t="s">
        <v>25</v>
      </c>
      <c r="B966" s="2">
        <v>2500</v>
      </c>
      <c r="C966" s="2">
        <v>3</v>
      </c>
      <c r="D966" s="2" t="s">
        <v>33</v>
      </c>
      <c r="E966" s="3">
        <v>44627</v>
      </c>
      <c r="F966" s="2" t="s">
        <v>134</v>
      </c>
      <c r="G966" s="2" t="s">
        <v>141</v>
      </c>
      <c r="H966" s="2" t="s">
        <v>49</v>
      </c>
      <c r="I966" s="4">
        <v>20325</v>
      </c>
    </row>
    <row r="967" spans="1:9" x14ac:dyDescent="0.25">
      <c r="A967" s="2" t="s">
        <v>5</v>
      </c>
      <c r="B967" s="2">
        <v>1750</v>
      </c>
      <c r="C967" s="2">
        <v>5</v>
      </c>
      <c r="D967" s="2" t="s">
        <v>40</v>
      </c>
      <c r="E967" s="3">
        <v>44818</v>
      </c>
      <c r="F967" s="2" t="s">
        <v>109</v>
      </c>
      <c r="G967" s="2" t="s">
        <v>168</v>
      </c>
      <c r="H967" s="2" t="s">
        <v>44</v>
      </c>
      <c r="I967" s="4">
        <v>18540</v>
      </c>
    </row>
    <row r="968" spans="1:9" x14ac:dyDescent="0.25">
      <c r="A968" s="2" t="s">
        <v>11</v>
      </c>
      <c r="B968" s="2">
        <v>4500</v>
      </c>
      <c r="C968" s="2">
        <v>5</v>
      </c>
      <c r="D968" s="2" t="s">
        <v>36</v>
      </c>
      <c r="E968" s="3">
        <v>44635</v>
      </c>
      <c r="F968" s="2" t="s">
        <v>595</v>
      </c>
      <c r="G968" s="2" t="s">
        <v>83</v>
      </c>
      <c r="H968" s="2" t="s">
        <v>49</v>
      </c>
      <c r="I968" s="4">
        <v>36243</v>
      </c>
    </row>
    <row r="969" spans="1:9" x14ac:dyDescent="0.25">
      <c r="A969" s="2" t="s">
        <v>27</v>
      </c>
      <c r="B969" s="2">
        <v>1500</v>
      </c>
      <c r="C969" s="2">
        <v>2</v>
      </c>
      <c r="D969" s="2" t="s">
        <v>34</v>
      </c>
      <c r="E969" s="3">
        <v>44895</v>
      </c>
      <c r="F969" s="2" t="s">
        <v>87</v>
      </c>
      <c r="G969" s="2" t="s">
        <v>404</v>
      </c>
      <c r="H969" s="2" t="s">
        <v>44</v>
      </c>
      <c r="I969" s="4">
        <v>23343</v>
      </c>
    </row>
    <row r="970" spans="1:9" x14ac:dyDescent="0.25">
      <c r="A970" s="2" t="s">
        <v>14</v>
      </c>
      <c r="B970" s="2">
        <v>2000</v>
      </c>
      <c r="C970" s="2">
        <v>2</v>
      </c>
      <c r="D970" s="2" t="s">
        <v>29</v>
      </c>
      <c r="E970" s="3">
        <v>44584</v>
      </c>
      <c r="F970" s="2" t="s">
        <v>267</v>
      </c>
      <c r="G970" s="2" t="s">
        <v>117</v>
      </c>
      <c r="H970" s="2" t="s">
        <v>44</v>
      </c>
      <c r="I970" s="4">
        <v>34851</v>
      </c>
    </row>
    <row r="971" spans="1:9" x14ac:dyDescent="0.25">
      <c r="A971" s="2" t="s">
        <v>10</v>
      </c>
      <c r="B971" s="2">
        <v>1450</v>
      </c>
      <c r="C971" s="2">
        <v>5</v>
      </c>
      <c r="D971" s="2" t="s">
        <v>40</v>
      </c>
      <c r="E971" s="3">
        <v>44754</v>
      </c>
      <c r="F971" s="2" t="s">
        <v>111</v>
      </c>
      <c r="G971" s="2" t="s">
        <v>63</v>
      </c>
      <c r="H971" s="2" t="s">
        <v>44</v>
      </c>
      <c r="I971" s="4">
        <v>34809</v>
      </c>
    </row>
    <row r="972" spans="1:9" x14ac:dyDescent="0.25">
      <c r="A972" s="2" t="s">
        <v>16</v>
      </c>
      <c r="B972" s="2">
        <v>1400</v>
      </c>
      <c r="C972" s="2">
        <v>4</v>
      </c>
      <c r="D972" s="2" t="s">
        <v>36</v>
      </c>
      <c r="E972" s="3">
        <v>44829</v>
      </c>
      <c r="F972" s="2" t="s">
        <v>486</v>
      </c>
      <c r="G972" s="2" t="s">
        <v>308</v>
      </c>
      <c r="H972" s="2" t="s">
        <v>44</v>
      </c>
      <c r="I972" s="4">
        <v>35988</v>
      </c>
    </row>
    <row r="973" spans="1:9" x14ac:dyDescent="0.25">
      <c r="A973" s="2" t="s">
        <v>13</v>
      </c>
      <c r="B973" s="2">
        <v>2300</v>
      </c>
      <c r="C973" s="2">
        <v>1</v>
      </c>
      <c r="D973" s="2" t="s">
        <v>31</v>
      </c>
      <c r="E973" s="3">
        <v>44684</v>
      </c>
      <c r="F973" s="2" t="s">
        <v>179</v>
      </c>
      <c r="G973" s="2" t="s">
        <v>599</v>
      </c>
      <c r="H973" s="2" t="s">
        <v>44</v>
      </c>
      <c r="I973" s="4">
        <v>30863</v>
      </c>
    </row>
    <row r="974" spans="1:9" x14ac:dyDescent="0.25">
      <c r="A974" s="2" t="s">
        <v>8</v>
      </c>
      <c r="B974" s="2">
        <v>5500</v>
      </c>
      <c r="C974" s="2">
        <v>1</v>
      </c>
      <c r="D974" s="2" t="s">
        <v>30</v>
      </c>
      <c r="E974" s="3">
        <v>44737</v>
      </c>
      <c r="F974" s="2" t="s">
        <v>402</v>
      </c>
      <c r="G974" s="2" t="s">
        <v>205</v>
      </c>
      <c r="H974" s="2" t="s">
        <v>49</v>
      </c>
      <c r="I974" s="4">
        <v>26319</v>
      </c>
    </row>
    <row r="975" spans="1:9" x14ac:dyDescent="0.25">
      <c r="A975" s="2" t="s">
        <v>17</v>
      </c>
      <c r="B975" s="2">
        <v>1550</v>
      </c>
      <c r="C975" s="2">
        <v>4</v>
      </c>
      <c r="D975" s="2" t="s">
        <v>41</v>
      </c>
      <c r="E975" s="3">
        <v>44666</v>
      </c>
      <c r="F975" s="2" t="s">
        <v>109</v>
      </c>
      <c r="G975" s="2" t="s">
        <v>323</v>
      </c>
      <c r="H975" s="2" t="s">
        <v>44</v>
      </c>
      <c r="I975" s="4">
        <v>26977</v>
      </c>
    </row>
    <row r="976" spans="1:9" x14ac:dyDescent="0.25">
      <c r="A976" s="2" t="s">
        <v>6</v>
      </c>
      <c r="B976" s="2">
        <v>1200</v>
      </c>
      <c r="C976" s="2">
        <v>1</v>
      </c>
      <c r="D976" s="2" t="s">
        <v>32</v>
      </c>
      <c r="E976" s="3">
        <v>44915</v>
      </c>
      <c r="F976" s="2" t="s">
        <v>585</v>
      </c>
      <c r="G976" s="2" t="s">
        <v>276</v>
      </c>
      <c r="H976" s="2" t="s">
        <v>44</v>
      </c>
      <c r="I976" s="4">
        <v>19843</v>
      </c>
    </row>
    <row r="977" spans="1:9" x14ac:dyDescent="0.25">
      <c r="A977" s="2" t="s">
        <v>14</v>
      </c>
      <c r="B977" s="2">
        <v>2000</v>
      </c>
      <c r="C977" s="2">
        <v>2</v>
      </c>
      <c r="D977" s="2" t="s">
        <v>37</v>
      </c>
      <c r="E977" s="3">
        <v>44896</v>
      </c>
      <c r="F977" s="2" t="s">
        <v>388</v>
      </c>
      <c r="G977" s="2" t="s">
        <v>389</v>
      </c>
      <c r="H977" s="2" t="s">
        <v>44</v>
      </c>
      <c r="I977" s="4">
        <v>19856</v>
      </c>
    </row>
    <row r="978" spans="1:9" x14ac:dyDescent="0.25">
      <c r="A978" s="2" t="s">
        <v>20</v>
      </c>
      <c r="B978" s="2">
        <v>2600</v>
      </c>
      <c r="C978" s="2">
        <v>4</v>
      </c>
      <c r="D978" s="2" t="s">
        <v>37</v>
      </c>
      <c r="E978" s="3">
        <v>44887</v>
      </c>
      <c r="F978" s="2" t="s">
        <v>298</v>
      </c>
      <c r="G978" s="2" t="s">
        <v>273</v>
      </c>
      <c r="H978" s="2" t="s">
        <v>44</v>
      </c>
      <c r="I978" s="4">
        <v>20294</v>
      </c>
    </row>
    <row r="979" spans="1:9" x14ac:dyDescent="0.25">
      <c r="A979" s="2" t="s">
        <v>18</v>
      </c>
      <c r="B979" s="2">
        <v>3000</v>
      </c>
      <c r="C979" s="2">
        <v>1</v>
      </c>
      <c r="D979" s="2" t="s">
        <v>36</v>
      </c>
      <c r="E979" s="3">
        <v>44723</v>
      </c>
      <c r="F979" s="2" t="s">
        <v>302</v>
      </c>
      <c r="G979" s="2" t="s">
        <v>83</v>
      </c>
      <c r="H979" s="2" t="s">
        <v>49</v>
      </c>
      <c r="I979" s="4">
        <v>28996</v>
      </c>
    </row>
    <row r="980" spans="1:9" x14ac:dyDescent="0.25">
      <c r="A980" s="2" t="s">
        <v>6</v>
      </c>
      <c r="B980" s="2">
        <v>1200</v>
      </c>
      <c r="C980" s="2">
        <v>1</v>
      </c>
      <c r="D980" s="2" t="s">
        <v>36</v>
      </c>
      <c r="E980" s="3">
        <v>44869</v>
      </c>
      <c r="F980" s="2" t="s">
        <v>486</v>
      </c>
      <c r="G980" s="2" t="s">
        <v>308</v>
      </c>
      <c r="H980" s="2" t="s">
        <v>44</v>
      </c>
      <c r="I980" s="4">
        <v>35988</v>
      </c>
    </row>
    <row r="981" spans="1:9" x14ac:dyDescent="0.25">
      <c r="A981" s="2" t="s">
        <v>14</v>
      </c>
      <c r="B981" s="2">
        <v>2000</v>
      </c>
      <c r="C981" s="2">
        <v>4</v>
      </c>
      <c r="D981" s="2" t="s">
        <v>33</v>
      </c>
      <c r="E981" s="3">
        <v>44862</v>
      </c>
      <c r="F981" s="2" t="s">
        <v>439</v>
      </c>
      <c r="G981" s="2" t="s">
        <v>139</v>
      </c>
      <c r="H981" s="2" t="s">
        <v>44</v>
      </c>
      <c r="I981" s="4">
        <v>33502</v>
      </c>
    </row>
    <row r="982" spans="1:9" x14ac:dyDescent="0.25">
      <c r="A982" s="2" t="s">
        <v>24</v>
      </c>
      <c r="B982" s="2">
        <v>2000</v>
      </c>
      <c r="C982" s="2">
        <v>4</v>
      </c>
      <c r="D982" s="2" t="s">
        <v>31</v>
      </c>
      <c r="E982" s="3">
        <v>44793</v>
      </c>
      <c r="F982" s="2" t="s">
        <v>87</v>
      </c>
      <c r="G982" s="2" t="s">
        <v>195</v>
      </c>
      <c r="H982" s="2" t="s">
        <v>44</v>
      </c>
      <c r="I982" s="4">
        <v>33587</v>
      </c>
    </row>
    <row r="983" spans="1:9" x14ac:dyDescent="0.25">
      <c r="A983" s="2" t="s">
        <v>6</v>
      </c>
      <c r="B983" s="2">
        <v>1200</v>
      </c>
      <c r="C983" s="2">
        <v>4</v>
      </c>
      <c r="D983" s="2" t="s">
        <v>35</v>
      </c>
      <c r="E983" s="3">
        <v>44652</v>
      </c>
      <c r="F983" s="2" t="s">
        <v>45</v>
      </c>
      <c r="G983" s="2" t="s">
        <v>611</v>
      </c>
      <c r="H983" s="2" t="s">
        <v>44</v>
      </c>
      <c r="I983" s="4">
        <v>33871</v>
      </c>
    </row>
    <row r="984" spans="1:9" x14ac:dyDescent="0.25">
      <c r="A984" s="2" t="s">
        <v>5</v>
      </c>
      <c r="B984" s="2">
        <v>1750</v>
      </c>
      <c r="C984" s="2">
        <v>1</v>
      </c>
      <c r="D984" s="2" t="s">
        <v>36</v>
      </c>
      <c r="E984" s="3">
        <v>44862</v>
      </c>
      <c r="F984" s="2" t="s">
        <v>109</v>
      </c>
      <c r="G984" s="2" t="s">
        <v>113</v>
      </c>
      <c r="H984" s="2" t="s">
        <v>44</v>
      </c>
      <c r="I984" s="4">
        <v>23095</v>
      </c>
    </row>
    <row r="985" spans="1:9" x14ac:dyDescent="0.25">
      <c r="A985" s="2" t="s">
        <v>16</v>
      </c>
      <c r="B985" s="2">
        <v>1400</v>
      </c>
      <c r="C985" s="2">
        <v>2</v>
      </c>
      <c r="D985" s="2" t="s">
        <v>31</v>
      </c>
      <c r="E985" s="3">
        <v>44630</v>
      </c>
      <c r="F985" s="2" t="s">
        <v>460</v>
      </c>
      <c r="G985" s="2" t="s">
        <v>308</v>
      </c>
      <c r="H985" s="2" t="s">
        <v>49</v>
      </c>
      <c r="I985" s="4">
        <v>25392</v>
      </c>
    </row>
    <row r="986" spans="1:9" x14ac:dyDescent="0.25">
      <c r="A986" s="2" t="s">
        <v>22</v>
      </c>
      <c r="B986" s="2">
        <v>5200</v>
      </c>
      <c r="C986" s="2">
        <v>2</v>
      </c>
      <c r="D986" s="2" t="s">
        <v>35</v>
      </c>
      <c r="E986" s="3">
        <v>44912</v>
      </c>
      <c r="F986" s="2" t="s">
        <v>401</v>
      </c>
      <c r="G986" s="2" t="s">
        <v>292</v>
      </c>
      <c r="H986" s="2" t="s">
        <v>49</v>
      </c>
      <c r="I986" s="4">
        <v>21420</v>
      </c>
    </row>
    <row r="987" spans="1:9" x14ac:dyDescent="0.25">
      <c r="A987" s="2" t="s">
        <v>5</v>
      </c>
      <c r="B987" s="2">
        <v>1750</v>
      </c>
      <c r="C987" s="2">
        <v>1</v>
      </c>
      <c r="D987" s="2" t="s">
        <v>35</v>
      </c>
      <c r="E987" s="3">
        <v>44727</v>
      </c>
      <c r="F987" s="2" t="s">
        <v>377</v>
      </c>
      <c r="G987" s="2" t="s">
        <v>378</v>
      </c>
      <c r="H987" s="2" t="s">
        <v>49</v>
      </c>
      <c r="I987" s="4">
        <v>21305</v>
      </c>
    </row>
    <row r="988" spans="1:9" x14ac:dyDescent="0.25">
      <c r="A988" s="2" t="s">
        <v>15</v>
      </c>
      <c r="B988" s="2">
        <v>1900</v>
      </c>
      <c r="C988" s="2">
        <v>1</v>
      </c>
      <c r="D988" s="2" t="s">
        <v>39</v>
      </c>
      <c r="E988" s="3">
        <v>44622</v>
      </c>
      <c r="F988" s="2" t="s">
        <v>284</v>
      </c>
      <c r="G988" s="2" t="s">
        <v>311</v>
      </c>
      <c r="H988" s="2" t="s">
        <v>49</v>
      </c>
      <c r="I988" s="4">
        <v>35065</v>
      </c>
    </row>
    <row r="989" spans="1:9" x14ac:dyDescent="0.25">
      <c r="A989" s="2" t="s">
        <v>5</v>
      </c>
      <c r="B989" s="2">
        <v>1750</v>
      </c>
      <c r="C989" s="2">
        <v>1</v>
      </c>
      <c r="D989" s="2" t="s">
        <v>39</v>
      </c>
      <c r="E989" s="3">
        <v>44739</v>
      </c>
      <c r="F989" s="2" t="s">
        <v>356</v>
      </c>
      <c r="G989" s="2" t="s">
        <v>463</v>
      </c>
      <c r="H989" s="2" t="s">
        <v>49</v>
      </c>
      <c r="I989" s="4">
        <v>35222</v>
      </c>
    </row>
    <row r="990" spans="1:9" x14ac:dyDescent="0.25">
      <c r="A990" s="2" t="s">
        <v>23</v>
      </c>
      <c r="B990" s="2">
        <v>1500</v>
      </c>
      <c r="C990" s="2">
        <v>3</v>
      </c>
      <c r="D990" s="2" t="s">
        <v>29</v>
      </c>
      <c r="E990" s="3">
        <v>44823</v>
      </c>
      <c r="F990" s="2" t="s">
        <v>167</v>
      </c>
      <c r="G990" s="2" t="s">
        <v>308</v>
      </c>
      <c r="H990" s="2" t="s">
        <v>44</v>
      </c>
      <c r="I990" s="4">
        <v>28055</v>
      </c>
    </row>
    <row r="991" spans="1:9" x14ac:dyDescent="0.25">
      <c r="A991" s="2" t="s">
        <v>17</v>
      </c>
      <c r="B991" s="2">
        <v>1550</v>
      </c>
      <c r="C991" s="2">
        <v>5</v>
      </c>
      <c r="D991" s="2" t="s">
        <v>29</v>
      </c>
      <c r="E991" s="3">
        <v>44571</v>
      </c>
      <c r="F991" s="2" t="s">
        <v>136</v>
      </c>
      <c r="G991" s="2" t="s">
        <v>75</v>
      </c>
      <c r="H991" s="2" t="s">
        <v>49</v>
      </c>
      <c r="I991" s="4">
        <v>19190</v>
      </c>
    </row>
    <row r="992" spans="1:9" x14ac:dyDescent="0.25">
      <c r="A992" s="2" t="s">
        <v>17</v>
      </c>
      <c r="B992" s="2">
        <v>1550</v>
      </c>
      <c r="C992" s="2">
        <v>1</v>
      </c>
      <c r="D992" s="2" t="s">
        <v>39</v>
      </c>
      <c r="E992" s="3">
        <v>44597</v>
      </c>
      <c r="F992" s="2" t="s">
        <v>289</v>
      </c>
      <c r="G992" s="2" t="s">
        <v>83</v>
      </c>
      <c r="H992" s="2" t="s">
        <v>44</v>
      </c>
      <c r="I992" s="4">
        <v>20233</v>
      </c>
    </row>
    <row r="993" spans="1:9" x14ac:dyDescent="0.25">
      <c r="A993" s="2" t="s">
        <v>12</v>
      </c>
      <c r="B993" s="2">
        <v>6500</v>
      </c>
      <c r="C993" s="2">
        <v>3</v>
      </c>
      <c r="D993" s="2" t="s">
        <v>38</v>
      </c>
      <c r="E993" s="3">
        <v>44694</v>
      </c>
      <c r="F993" s="2" t="s">
        <v>87</v>
      </c>
      <c r="G993" s="2" t="s">
        <v>133</v>
      </c>
      <c r="H993" s="2" t="s">
        <v>44</v>
      </c>
      <c r="I993" s="4">
        <v>36163</v>
      </c>
    </row>
    <row r="994" spans="1:9" x14ac:dyDescent="0.25">
      <c r="A994" s="2" t="s">
        <v>27</v>
      </c>
      <c r="B994" s="2">
        <v>1500</v>
      </c>
      <c r="C994" s="2">
        <v>5</v>
      </c>
      <c r="D994" s="2" t="s">
        <v>37</v>
      </c>
      <c r="E994" s="3">
        <v>44693</v>
      </c>
      <c r="F994" s="2" t="s">
        <v>272</v>
      </c>
      <c r="G994" s="2" t="s">
        <v>537</v>
      </c>
      <c r="H994" s="2" t="s">
        <v>49</v>
      </c>
      <c r="I994" s="4">
        <v>27931</v>
      </c>
    </row>
    <row r="995" spans="1:9" x14ac:dyDescent="0.25">
      <c r="A995" s="2" t="s">
        <v>7</v>
      </c>
      <c r="B995" s="2">
        <v>750</v>
      </c>
      <c r="C995" s="2">
        <v>1</v>
      </c>
      <c r="D995" s="2" t="s">
        <v>40</v>
      </c>
      <c r="E995" s="3">
        <v>44871</v>
      </c>
      <c r="F995" s="2" t="s">
        <v>438</v>
      </c>
      <c r="G995" s="2" t="s">
        <v>205</v>
      </c>
      <c r="H995" s="2" t="s">
        <v>49</v>
      </c>
      <c r="I995" s="4">
        <v>26729</v>
      </c>
    </row>
    <row r="996" spans="1:9" x14ac:dyDescent="0.25">
      <c r="A996" s="2" t="s">
        <v>16</v>
      </c>
      <c r="B996" s="2">
        <v>1400</v>
      </c>
      <c r="C996" s="2">
        <v>2</v>
      </c>
      <c r="D996" s="2" t="s">
        <v>30</v>
      </c>
      <c r="E996" s="3">
        <v>44655</v>
      </c>
      <c r="F996" s="2" t="s">
        <v>343</v>
      </c>
      <c r="G996" s="2" t="s">
        <v>193</v>
      </c>
      <c r="H996" s="2" t="s">
        <v>49</v>
      </c>
      <c r="I996" s="4">
        <v>19478</v>
      </c>
    </row>
    <row r="997" spans="1:9" x14ac:dyDescent="0.25">
      <c r="A997" s="2" t="s">
        <v>8</v>
      </c>
      <c r="B997" s="2">
        <v>5500</v>
      </c>
      <c r="C997" s="2">
        <v>2</v>
      </c>
      <c r="D997" s="2" t="s">
        <v>39</v>
      </c>
      <c r="E997" s="3">
        <v>44838</v>
      </c>
      <c r="F997" s="2" t="s">
        <v>284</v>
      </c>
      <c r="G997" s="2" t="s">
        <v>311</v>
      </c>
      <c r="H997" s="2" t="s">
        <v>49</v>
      </c>
      <c r="I997" s="4">
        <v>35065</v>
      </c>
    </row>
    <row r="998" spans="1:9" x14ac:dyDescent="0.25">
      <c r="A998" s="2" t="s">
        <v>12</v>
      </c>
      <c r="B998" s="2">
        <v>6500</v>
      </c>
      <c r="C998" s="2">
        <v>4</v>
      </c>
      <c r="D998" s="2" t="s">
        <v>32</v>
      </c>
      <c r="E998" s="3">
        <v>44892</v>
      </c>
      <c r="F998" s="2" t="s">
        <v>420</v>
      </c>
      <c r="G998" s="2" t="s">
        <v>421</v>
      </c>
      <c r="H998" s="2" t="s">
        <v>44</v>
      </c>
      <c r="I998" s="4">
        <v>36441</v>
      </c>
    </row>
    <row r="999" spans="1:9" x14ac:dyDescent="0.25">
      <c r="A999" s="2" t="s">
        <v>23</v>
      </c>
      <c r="B999" s="2">
        <v>1500</v>
      </c>
      <c r="C999" s="2">
        <v>4</v>
      </c>
      <c r="D999" s="2" t="s">
        <v>29</v>
      </c>
      <c r="E999" s="3">
        <v>44582</v>
      </c>
      <c r="F999" s="2" t="s">
        <v>293</v>
      </c>
      <c r="G999" s="2" t="s">
        <v>495</v>
      </c>
      <c r="H999" s="2" t="s">
        <v>49</v>
      </c>
      <c r="I999" s="4">
        <v>35510</v>
      </c>
    </row>
    <row r="1000" spans="1:9" x14ac:dyDescent="0.25">
      <c r="A1000" s="2" t="s">
        <v>24</v>
      </c>
      <c r="B1000" s="2">
        <v>2000</v>
      </c>
      <c r="C1000" s="2">
        <v>3</v>
      </c>
      <c r="D1000" s="2" t="s">
        <v>37</v>
      </c>
      <c r="E1000" s="3">
        <v>44704</v>
      </c>
      <c r="F1000" s="2" t="s">
        <v>211</v>
      </c>
      <c r="G1000" s="2" t="s">
        <v>231</v>
      </c>
      <c r="H1000" s="2" t="s">
        <v>49</v>
      </c>
      <c r="I1000" s="4">
        <v>29937</v>
      </c>
    </row>
    <row r="1001" spans="1:9" x14ac:dyDescent="0.25">
      <c r="A1001" s="2" t="s">
        <v>28</v>
      </c>
      <c r="B1001" s="2">
        <v>1400</v>
      </c>
      <c r="C1001" s="2">
        <v>4</v>
      </c>
      <c r="D1001" s="2" t="s">
        <v>29</v>
      </c>
      <c r="E1001" s="3">
        <v>44874</v>
      </c>
      <c r="F1001" s="2" t="s">
        <v>42</v>
      </c>
      <c r="G1001" s="2" t="s">
        <v>89</v>
      </c>
      <c r="H1001" s="2" t="s">
        <v>44</v>
      </c>
      <c r="I1001" s="4">
        <v>35608</v>
      </c>
    </row>
    <row r="1002" spans="1:9" x14ac:dyDescent="0.25">
      <c r="A1002" s="2" t="s">
        <v>12</v>
      </c>
      <c r="B1002" s="2">
        <v>6500</v>
      </c>
      <c r="C1002" s="2">
        <v>1</v>
      </c>
      <c r="D1002" s="2" t="s">
        <v>36</v>
      </c>
      <c r="E1002" s="3">
        <v>44923</v>
      </c>
      <c r="F1002" s="2" t="s">
        <v>87</v>
      </c>
      <c r="G1002" s="2" t="s">
        <v>454</v>
      </c>
      <c r="H1002" s="2" t="s">
        <v>44</v>
      </c>
      <c r="I1002" s="4">
        <v>22986</v>
      </c>
    </row>
    <row r="1003" spans="1:9" x14ac:dyDescent="0.25">
      <c r="A1003" s="2" t="s">
        <v>14</v>
      </c>
      <c r="B1003" s="2">
        <v>2000</v>
      </c>
      <c r="C1003" s="2">
        <v>5</v>
      </c>
      <c r="D1003" s="2" t="s">
        <v>36</v>
      </c>
      <c r="E1003" s="3">
        <v>44707</v>
      </c>
      <c r="F1003" s="2" t="s">
        <v>163</v>
      </c>
      <c r="G1003" s="2" t="s">
        <v>164</v>
      </c>
      <c r="H1003" s="2" t="s">
        <v>49</v>
      </c>
      <c r="I1003" s="4">
        <v>36652</v>
      </c>
    </row>
    <row r="1004" spans="1:9" x14ac:dyDescent="0.25">
      <c r="A1004" s="2" t="s">
        <v>7</v>
      </c>
      <c r="B1004" s="2">
        <v>750</v>
      </c>
      <c r="C1004" s="2">
        <v>2</v>
      </c>
      <c r="D1004" s="2" t="s">
        <v>41</v>
      </c>
      <c r="E1004" s="3">
        <v>44745</v>
      </c>
      <c r="F1004" s="2" t="s">
        <v>111</v>
      </c>
      <c r="G1004" s="2" t="s">
        <v>623</v>
      </c>
      <c r="H1004" s="2" t="s">
        <v>44</v>
      </c>
      <c r="I1004" s="4">
        <v>25704</v>
      </c>
    </row>
    <row r="1005" spans="1:9" x14ac:dyDescent="0.25">
      <c r="A1005" s="2" t="s">
        <v>24</v>
      </c>
      <c r="B1005" s="2">
        <v>2000</v>
      </c>
      <c r="C1005" s="2">
        <v>4</v>
      </c>
      <c r="D1005" s="2" t="s">
        <v>31</v>
      </c>
      <c r="E1005" s="3">
        <v>44739</v>
      </c>
      <c r="F1005" s="2" t="s">
        <v>163</v>
      </c>
      <c r="G1005" s="2" t="s">
        <v>99</v>
      </c>
      <c r="H1005" s="2" t="s">
        <v>49</v>
      </c>
      <c r="I1005" s="4">
        <v>34480</v>
      </c>
    </row>
    <row r="1006" spans="1:9" x14ac:dyDescent="0.25">
      <c r="A1006" s="2" t="s">
        <v>21</v>
      </c>
      <c r="B1006" s="2">
        <v>2400</v>
      </c>
      <c r="C1006" s="2">
        <v>4</v>
      </c>
      <c r="D1006" s="2" t="s">
        <v>37</v>
      </c>
      <c r="E1006" s="3">
        <v>44839</v>
      </c>
      <c r="F1006" s="2" t="s">
        <v>224</v>
      </c>
      <c r="G1006" s="2" t="s">
        <v>171</v>
      </c>
      <c r="H1006" s="2" t="s">
        <v>44</v>
      </c>
      <c r="I1006" s="4">
        <v>22490</v>
      </c>
    </row>
    <row r="1007" spans="1:9" x14ac:dyDescent="0.25">
      <c r="A1007" s="2" t="s">
        <v>27</v>
      </c>
      <c r="B1007" s="2">
        <v>1500</v>
      </c>
      <c r="C1007" s="2">
        <v>5</v>
      </c>
      <c r="D1007" s="2" t="s">
        <v>36</v>
      </c>
      <c r="E1007" s="3">
        <v>44682</v>
      </c>
      <c r="F1007" s="2" t="s">
        <v>122</v>
      </c>
      <c r="G1007" s="2" t="s">
        <v>480</v>
      </c>
      <c r="H1007" s="2" t="s">
        <v>49</v>
      </c>
      <c r="I1007" s="4">
        <v>34198</v>
      </c>
    </row>
    <row r="1008" spans="1:9" x14ac:dyDescent="0.25">
      <c r="A1008" s="2" t="s">
        <v>23</v>
      </c>
      <c r="B1008" s="2">
        <v>1500</v>
      </c>
      <c r="C1008" s="2">
        <v>1</v>
      </c>
      <c r="D1008" s="2" t="s">
        <v>29</v>
      </c>
      <c r="E1008" s="3">
        <v>44599</v>
      </c>
      <c r="F1008" s="2" t="s">
        <v>120</v>
      </c>
      <c r="G1008" s="2" t="s">
        <v>121</v>
      </c>
      <c r="H1008" s="2" t="s">
        <v>44</v>
      </c>
      <c r="I1008" s="4">
        <v>23989</v>
      </c>
    </row>
    <row r="1009" spans="1:9" x14ac:dyDescent="0.25">
      <c r="A1009" s="2" t="s">
        <v>8</v>
      </c>
      <c r="B1009" s="2">
        <v>5500</v>
      </c>
      <c r="C1009" s="2">
        <v>3</v>
      </c>
      <c r="D1009" s="2" t="s">
        <v>39</v>
      </c>
      <c r="E1009" s="3">
        <v>44774</v>
      </c>
      <c r="F1009" s="2" t="s">
        <v>356</v>
      </c>
      <c r="G1009" s="2" t="s">
        <v>463</v>
      </c>
      <c r="H1009" s="2" t="s">
        <v>49</v>
      </c>
      <c r="I1009" s="4">
        <v>35222</v>
      </c>
    </row>
    <row r="1010" spans="1:9" x14ac:dyDescent="0.25">
      <c r="A1010" s="2" t="s">
        <v>18</v>
      </c>
      <c r="B1010" s="2">
        <v>3000</v>
      </c>
      <c r="C1010" s="2">
        <v>5</v>
      </c>
      <c r="D1010" s="2" t="s">
        <v>39</v>
      </c>
      <c r="E1010" s="3">
        <v>44888</v>
      </c>
      <c r="F1010" s="2" t="s">
        <v>422</v>
      </c>
      <c r="G1010" s="2" t="s">
        <v>423</v>
      </c>
      <c r="H1010" s="2" t="s">
        <v>44</v>
      </c>
      <c r="I1010" s="4">
        <v>29512</v>
      </c>
    </row>
    <row r="1011" spans="1:9" x14ac:dyDescent="0.25">
      <c r="A1011" s="2" t="s">
        <v>23</v>
      </c>
      <c r="B1011" s="2">
        <v>1500</v>
      </c>
      <c r="C1011" s="2">
        <v>5</v>
      </c>
      <c r="D1011" s="2" t="s">
        <v>29</v>
      </c>
      <c r="E1011" s="3">
        <v>44740</v>
      </c>
      <c r="F1011" s="2" t="s">
        <v>74</v>
      </c>
      <c r="G1011" s="2" t="s">
        <v>63</v>
      </c>
      <c r="H1011" s="2" t="s">
        <v>44</v>
      </c>
      <c r="I1011" s="4">
        <v>26891</v>
      </c>
    </row>
    <row r="1012" spans="1:9" x14ac:dyDescent="0.25">
      <c r="A1012" s="2" t="s">
        <v>9</v>
      </c>
      <c r="B1012" s="2">
        <v>1500</v>
      </c>
      <c r="C1012" s="2">
        <v>1</v>
      </c>
      <c r="D1012" s="2" t="s">
        <v>37</v>
      </c>
      <c r="E1012" s="3">
        <v>44711</v>
      </c>
      <c r="F1012" s="2" t="s">
        <v>192</v>
      </c>
      <c r="G1012" s="2" t="s">
        <v>193</v>
      </c>
      <c r="H1012" s="2" t="s">
        <v>49</v>
      </c>
      <c r="I1012" s="4">
        <v>21418</v>
      </c>
    </row>
    <row r="1013" spans="1:9" x14ac:dyDescent="0.25">
      <c r="A1013" s="2" t="s">
        <v>18</v>
      </c>
      <c r="B1013" s="2">
        <v>3000</v>
      </c>
      <c r="C1013" s="2">
        <v>4</v>
      </c>
      <c r="D1013" s="2" t="s">
        <v>31</v>
      </c>
      <c r="E1013" s="3">
        <v>44593</v>
      </c>
      <c r="F1013" s="2" t="s">
        <v>233</v>
      </c>
      <c r="G1013" s="2" t="s">
        <v>253</v>
      </c>
      <c r="H1013" s="2" t="s">
        <v>49</v>
      </c>
      <c r="I1013" s="4">
        <v>31051</v>
      </c>
    </row>
    <row r="1014" spans="1:9" x14ac:dyDescent="0.25">
      <c r="A1014" s="2" t="s">
        <v>24</v>
      </c>
      <c r="B1014" s="2">
        <v>2000</v>
      </c>
      <c r="C1014" s="2">
        <v>1</v>
      </c>
      <c r="D1014" s="2" t="s">
        <v>40</v>
      </c>
      <c r="E1014" s="3">
        <v>44868</v>
      </c>
      <c r="F1014" s="2" t="s">
        <v>87</v>
      </c>
      <c r="G1014" s="2" t="s">
        <v>194</v>
      </c>
      <c r="H1014" s="2" t="s">
        <v>44</v>
      </c>
      <c r="I1014" s="4">
        <v>32241</v>
      </c>
    </row>
    <row r="1015" spans="1:9" x14ac:dyDescent="0.25">
      <c r="A1015" s="2" t="s">
        <v>6</v>
      </c>
      <c r="B1015" s="2">
        <v>1200</v>
      </c>
      <c r="C1015" s="2">
        <v>2</v>
      </c>
      <c r="D1015" s="2" t="s">
        <v>41</v>
      </c>
      <c r="E1015" s="3">
        <v>44594</v>
      </c>
      <c r="F1015" s="2" t="s">
        <v>51</v>
      </c>
      <c r="G1015" s="2" t="s">
        <v>75</v>
      </c>
      <c r="H1015" s="2" t="s">
        <v>44</v>
      </c>
      <c r="I1015" s="4">
        <v>22498</v>
      </c>
    </row>
    <row r="1016" spans="1:9" x14ac:dyDescent="0.25">
      <c r="A1016" s="2" t="s">
        <v>11</v>
      </c>
      <c r="B1016" s="2">
        <v>4500</v>
      </c>
      <c r="C1016" s="2">
        <v>2</v>
      </c>
      <c r="D1016" s="2" t="s">
        <v>41</v>
      </c>
      <c r="E1016" s="3">
        <v>44737</v>
      </c>
      <c r="F1016" s="2" t="s">
        <v>489</v>
      </c>
      <c r="G1016" s="2" t="s">
        <v>517</v>
      </c>
      <c r="H1016" s="2" t="s">
        <v>49</v>
      </c>
      <c r="I1016" s="4">
        <v>30056</v>
      </c>
    </row>
    <row r="1017" spans="1:9" x14ac:dyDescent="0.25">
      <c r="A1017" s="2" t="s">
        <v>11</v>
      </c>
      <c r="B1017" s="2">
        <v>4500</v>
      </c>
      <c r="C1017" s="2">
        <v>5</v>
      </c>
      <c r="D1017" s="2" t="s">
        <v>30</v>
      </c>
      <c r="E1017" s="3">
        <v>44851</v>
      </c>
      <c r="F1017" s="2" t="s">
        <v>137</v>
      </c>
      <c r="G1017" s="2" t="s">
        <v>236</v>
      </c>
      <c r="H1017" s="2" t="s">
        <v>49</v>
      </c>
      <c r="I1017" s="4">
        <v>26258</v>
      </c>
    </row>
    <row r="1018" spans="1:9" x14ac:dyDescent="0.25">
      <c r="A1018" s="2" t="s">
        <v>13</v>
      </c>
      <c r="B1018" s="2">
        <v>2300</v>
      </c>
      <c r="C1018" s="2">
        <v>5</v>
      </c>
      <c r="D1018" s="2" t="s">
        <v>30</v>
      </c>
      <c r="E1018" s="3">
        <v>44687</v>
      </c>
      <c r="F1018" s="2" t="s">
        <v>109</v>
      </c>
      <c r="G1018" s="2" t="s">
        <v>593</v>
      </c>
      <c r="H1018" s="2" t="s">
        <v>44</v>
      </c>
      <c r="I1018" s="4">
        <v>20652</v>
      </c>
    </row>
    <row r="1019" spans="1:9" x14ac:dyDescent="0.25">
      <c r="A1019" s="2" t="s">
        <v>19</v>
      </c>
      <c r="B1019" s="2">
        <v>700</v>
      </c>
      <c r="C1019" s="2">
        <v>2</v>
      </c>
      <c r="D1019" s="2" t="s">
        <v>32</v>
      </c>
      <c r="E1019" s="3">
        <v>44564</v>
      </c>
      <c r="F1019" s="2" t="s">
        <v>51</v>
      </c>
      <c r="G1019" s="2" t="s">
        <v>99</v>
      </c>
      <c r="H1019" s="2" t="s">
        <v>44</v>
      </c>
      <c r="I1019" s="4">
        <v>18276</v>
      </c>
    </row>
    <row r="1020" spans="1:9" x14ac:dyDescent="0.25">
      <c r="A1020" s="2" t="s">
        <v>17</v>
      </c>
      <c r="B1020" s="2">
        <v>1550</v>
      </c>
      <c r="C1020" s="2">
        <v>3</v>
      </c>
      <c r="D1020" s="2" t="s">
        <v>33</v>
      </c>
      <c r="E1020" s="3">
        <v>44628</v>
      </c>
      <c r="F1020" s="2" t="s">
        <v>439</v>
      </c>
      <c r="G1020" s="2" t="s">
        <v>529</v>
      </c>
      <c r="H1020" s="2" t="s">
        <v>44</v>
      </c>
      <c r="I1020" s="4">
        <v>30919</v>
      </c>
    </row>
    <row r="1021" spans="1:9" x14ac:dyDescent="0.25">
      <c r="A1021" s="2" t="s">
        <v>12</v>
      </c>
      <c r="B1021" s="2">
        <v>6500</v>
      </c>
      <c r="C1021" s="2">
        <v>3</v>
      </c>
      <c r="D1021" s="2" t="s">
        <v>29</v>
      </c>
      <c r="E1021" s="3">
        <v>44708</v>
      </c>
      <c r="F1021" s="2" t="s">
        <v>42</v>
      </c>
      <c r="G1021" s="2" t="s">
        <v>43</v>
      </c>
      <c r="H1021" s="2" t="s">
        <v>44</v>
      </c>
      <c r="I1021" s="4">
        <v>33469</v>
      </c>
    </row>
    <row r="1022" spans="1:9" x14ac:dyDescent="0.25">
      <c r="A1022" s="2" t="s">
        <v>13</v>
      </c>
      <c r="B1022" s="2">
        <v>2300</v>
      </c>
      <c r="C1022" s="2">
        <v>4</v>
      </c>
      <c r="D1022" s="2" t="s">
        <v>41</v>
      </c>
      <c r="E1022" s="3">
        <v>44760</v>
      </c>
      <c r="F1022" s="2" t="s">
        <v>74</v>
      </c>
      <c r="G1022" s="2" t="s">
        <v>606</v>
      </c>
      <c r="H1022" s="2" t="s">
        <v>44</v>
      </c>
      <c r="I1022" s="4">
        <v>21824</v>
      </c>
    </row>
    <row r="1023" spans="1:9" x14ac:dyDescent="0.25">
      <c r="A1023" s="2" t="s">
        <v>7</v>
      </c>
      <c r="B1023" s="2">
        <v>750</v>
      </c>
      <c r="C1023" s="2">
        <v>5</v>
      </c>
      <c r="D1023" s="2" t="s">
        <v>31</v>
      </c>
      <c r="E1023" s="3">
        <v>44761</v>
      </c>
      <c r="F1023" s="2" t="s">
        <v>51</v>
      </c>
      <c r="G1023" s="2" t="s">
        <v>596</v>
      </c>
      <c r="H1023" s="2" t="s">
        <v>44</v>
      </c>
      <c r="I1023" s="4">
        <v>26563</v>
      </c>
    </row>
    <row r="1024" spans="1:9" x14ac:dyDescent="0.25">
      <c r="A1024" s="2" t="s">
        <v>8</v>
      </c>
      <c r="B1024" s="2">
        <v>5500</v>
      </c>
      <c r="C1024" s="2">
        <v>4</v>
      </c>
      <c r="D1024" s="2" t="s">
        <v>36</v>
      </c>
      <c r="E1024" s="3">
        <v>44913</v>
      </c>
      <c r="F1024" s="2" t="s">
        <v>233</v>
      </c>
      <c r="G1024" s="2" t="s">
        <v>63</v>
      </c>
      <c r="H1024" s="2" t="s">
        <v>49</v>
      </c>
      <c r="I1024" s="4">
        <v>31797</v>
      </c>
    </row>
    <row r="1025" spans="1:9" x14ac:dyDescent="0.25">
      <c r="A1025" s="2" t="s">
        <v>16</v>
      </c>
      <c r="B1025" s="2">
        <v>1400</v>
      </c>
      <c r="C1025" s="2">
        <v>4</v>
      </c>
      <c r="D1025" s="2" t="s">
        <v>31</v>
      </c>
      <c r="E1025" s="3">
        <v>44706</v>
      </c>
      <c r="F1025" s="2" t="s">
        <v>137</v>
      </c>
      <c r="G1025" s="2" t="s">
        <v>400</v>
      </c>
      <c r="H1025" s="2" t="s">
        <v>49</v>
      </c>
      <c r="I1025" s="4">
        <v>35174</v>
      </c>
    </row>
    <row r="1026" spans="1:9" x14ac:dyDescent="0.25">
      <c r="A1026" s="2" t="s">
        <v>19</v>
      </c>
      <c r="B1026" s="2">
        <v>700</v>
      </c>
      <c r="C1026" s="2">
        <v>2</v>
      </c>
      <c r="D1026" s="2" t="s">
        <v>38</v>
      </c>
      <c r="E1026" s="3">
        <v>44607</v>
      </c>
      <c r="F1026" s="2" t="s">
        <v>568</v>
      </c>
      <c r="G1026" s="2" t="s">
        <v>529</v>
      </c>
      <c r="H1026" s="2" t="s">
        <v>44</v>
      </c>
      <c r="I1026" s="4">
        <v>22705</v>
      </c>
    </row>
    <row r="1027" spans="1:9" x14ac:dyDescent="0.25">
      <c r="A1027" s="2" t="s">
        <v>10</v>
      </c>
      <c r="B1027" s="2">
        <v>1450</v>
      </c>
      <c r="C1027" s="2">
        <v>1</v>
      </c>
      <c r="D1027" s="2" t="s">
        <v>29</v>
      </c>
      <c r="E1027" s="3">
        <v>44656</v>
      </c>
      <c r="F1027" s="2" t="s">
        <v>52</v>
      </c>
      <c r="G1027" s="2" t="s">
        <v>53</v>
      </c>
      <c r="H1027" s="2" t="s">
        <v>44</v>
      </c>
      <c r="I1027" s="4">
        <v>33858</v>
      </c>
    </row>
    <row r="1028" spans="1:9" x14ac:dyDescent="0.25">
      <c r="A1028" s="2" t="s">
        <v>20</v>
      </c>
      <c r="B1028" s="2">
        <v>2600</v>
      </c>
      <c r="C1028" s="2">
        <v>3</v>
      </c>
      <c r="D1028" s="2" t="s">
        <v>37</v>
      </c>
      <c r="E1028" s="3">
        <v>44820</v>
      </c>
      <c r="F1028" s="2" t="s">
        <v>347</v>
      </c>
      <c r="G1028" s="2" t="s">
        <v>348</v>
      </c>
      <c r="H1028" s="2" t="s">
        <v>49</v>
      </c>
      <c r="I1028" s="4">
        <v>28339</v>
      </c>
    </row>
    <row r="1029" spans="1:9" x14ac:dyDescent="0.25">
      <c r="A1029" s="2" t="s">
        <v>14</v>
      </c>
      <c r="B1029" s="2">
        <v>2000</v>
      </c>
      <c r="C1029" s="2">
        <v>4</v>
      </c>
      <c r="D1029" s="2" t="s">
        <v>40</v>
      </c>
      <c r="E1029" s="3">
        <v>44905</v>
      </c>
      <c r="F1029" s="2" t="s">
        <v>51</v>
      </c>
      <c r="G1029" s="2" t="s">
        <v>515</v>
      </c>
      <c r="H1029" s="2" t="s">
        <v>44</v>
      </c>
      <c r="I1029" s="4">
        <v>27099</v>
      </c>
    </row>
    <row r="1030" spans="1:9" x14ac:dyDescent="0.25">
      <c r="A1030" s="2" t="s">
        <v>6</v>
      </c>
      <c r="B1030" s="2">
        <v>1200</v>
      </c>
      <c r="C1030" s="2">
        <v>5</v>
      </c>
      <c r="D1030" s="2" t="s">
        <v>35</v>
      </c>
      <c r="E1030" s="3">
        <v>44794</v>
      </c>
      <c r="F1030" s="2" t="s">
        <v>208</v>
      </c>
      <c r="G1030" s="2" t="s">
        <v>132</v>
      </c>
      <c r="H1030" s="2" t="s">
        <v>44</v>
      </c>
      <c r="I1030" s="4">
        <v>33587</v>
      </c>
    </row>
    <row r="1031" spans="1:9" x14ac:dyDescent="0.25">
      <c r="A1031" s="2" t="s">
        <v>15</v>
      </c>
      <c r="B1031" s="2">
        <v>1900</v>
      </c>
      <c r="C1031" s="2">
        <v>4</v>
      </c>
      <c r="D1031" s="2" t="s">
        <v>38</v>
      </c>
      <c r="E1031" s="3">
        <v>44895</v>
      </c>
      <c r="F1031" s="2" t="s">
        <v>427</v>
      </c>
      <c r="G1031" s="2" t="s">
        <v>428</v>
      </c>
      <c r="H1031" s="2" t="s">
        <v>44</v>
      </c>
      <c r="I1031" s="4">
        <v>27814</v>
      </c>
    </row>
    <row r="1032" spans="1:9" x14ac:dyDescent="0.25">
      <c r="A1032" s="2" t="s">
        <v>7</v>
      </c>
      <c r="B1032" s="2">
        <v>750</v>
      </c>
      <c r="C1032" s="2">
        <v>4</v>
      </c>
      <c r="D1032" s="2" t="s">
        <v>41</v>
      </c>
      <c r="E1032" s="3">
        <v>44766</v>
      </c>
      <c r="F1032" s="2" t="s">
        <v>112</v>
      </c>
      <c r="G1032" s="2" t="s">
        <v>591</v>
      </c>
      <c r="H1032" s="2" t="s">
        <v>44</v>
      </c>
      <c r="I1032" s="4">
        <v>26766</v>
      </c>
    </row>
    <row r="1033" spans="1:9" x14ac:dyDescent="0.25">
      <c r="A1033" s="2" t="s">
        <v>22</v>
      </c>
      <c r="B1033" s="2">
        <v>5200</v>
      </c>
      <c r="C1033" s="2">
        <v>2</v>
      </c>
      <c r="D1033" s="2" t="s">
        <v>32</v>
      </c>
      <c r="E1033" s="3">
        <v>44672</v>
      </c>
      <c r="F1033" s="2" t="s">
        <v>190</v>
      </c>
      <c r="G1033" s="2" t="s">
        <v>246</v>
      </c>
      <c r="H1033" s="2" t="s">
        <v>44</v>
      </c>
      <c r="I1033" s="4">
        <v>30077</v>
      </c>
    </row>
    <row r="1034" spans="1:9" x14ac:dyDescent="0.25">
      <c r="A1034" s="2" t="s">
        <v>7</v>
      </c>
      <c r="B1034" s="2">
        <v>750</v>
      </c>
      <c r="C1034" s="2">
        <v>1</v>
      </c>
      <c r="D1034" s="2" t="s">
        <v>39</v>
      </c>
      <c r="E1034" s="3">
        <v>44673</v>
      </c>
      <c r="F1034" s="2" t="s">
        <v>477</v>
      </c>
      <c r="G1034" s="2" t="s">
        <v>207</v>
      </c>
      <c r="H1034" s="2" t="s">
        <v>49</v>
      </c>
      <c r="I1034" s="4">
        <v>33592</v>
      </c>
    </row>
    <row r="1035" spans="1:9" x14ac:dyDescent="0.25">
      <c r="A1035" s="2" t="s">
        <v>27</v>
      </c>
      <c r="B1035" s="2">
        <v>1500</v>
      </c>
      <c r="C1035" s="2">
        <v>4</v>
      </c>
      <c r="D1035" s="2" t="s">
        <v>39</v>
      </c>
      <c r="E1035" s="3">
        <v>44646</v>
      </c>
      <c r="F1035" s="2" t="s">
        <v>533</v>
      </c>
      <c r="G1035" s="2" t="s">
        <v>534</v>
      </c>
      <c r="H1035" s="2" t="s">
        <v>49</v>
      </c>
      <c r="I1035" s="4">
        <v>29459</v>
      </c>
    </row>
    <row r="1036" spans="1:9" x14ac:dyDescent="0.25">
      <c r="A1036" s="2" t="s">
        <v>10</v>
      </c>
      <c r="B1036" s="2">
        <v>1450</v>
      </c>
      <c r="C1036" s="2">
        <v>1</v>
      </c>
      <c r="D1036" s="2" t="s">
        <v>37</v>
      </c>
      <c r="E1036" s="3">
        <v>44607</v>
      </c>
      <c r="F1036" s="2" t="s">
        <v>298</v>
      </c>
      <c r="G1036" s="2" t="s">
        <v>434</v>
      </c>
      <c r="H1036" s="2" t="s">
        <v>44</v>
      </c>
      <c r="I1036" s="4">
        <v>25626</v>
      </c>
    </row>
    <row r="1037" spans="1:9" x14ac:dyDescent="0.25">
      <c r="A1037" s="2" t="s">
        <v>19</v>
      </c>
      <c r="B1037" s="2">
        <v>700</v>
      </c>
      <c r="C1037" s="2">
        <v>2</v>
      </c>
      <c r="D1037" s="2" t="s">
        <v>29</v>
      </c>
      <c r="E1037" s="3">
        <v>44719</v>
      </c>
      <c r="F1037" s="2" t="s">
        <v>339</v>
      </c>
      <c r="G1037" s="2" t="s">
        <v>63</v>
      </c>
      <c r="H1037" s="2" t="s">
        <v>44</v>
      </c>
      <c r="I1037" s="4">
        <v>25183</v>
      </c>
    </row>
    <row r="1038" spans="1:9" x14ac:dyDescent="0.25">
      <c r="A1038" s="2" t="s">
        <v>8</v>
      </c>
      <c r="B1038" s="2">
        <v>5500</v>
      </c>
      <c r="C1038" s="2">
        <v>5</v>
      </c>
      <c r="D1038" s="2" t="s">
        <v>34</v>
      </c>
      <c r="E1038" s="3">
        <v>44876</v>
      </c>
      <c r="F1038" s="2" t="s">
        <v>50</v>
      </c>
      <c r="G1038" s="2" t="s">
        <v>346</v>
      </c>
      <c r="H1038" s="2" t="s">
        <v>49</v>
      </c>
      <c r="I1038" s="4">
        <v>31799</v>
      </c>
    </row>
    <row r="1039" spans="1:9" x14ac:dyDescent="0.25">
      <c r="A1039" s="2" t="s">
        <v>21</v>
      </c>
      <c r="B1039" s="2">
        <v>2400</v>
      </c>
      <c r="C1039" s="2">
        <v>4</v>
      </c>
      <c r="D1039" s="2" t="s">
        <v>41</v>
      </c>
      <c r="E1039" s="3">
        <v>44776</v>
      </c>
      <c r="F1039" s="2" t="s">
        <v>438</v>
      </c>
      <c r="G1039" s="2" t="s">
        <v>554</v>
      </c>
      <c r="H1039" s="2" t="s">
        <v>49</v>
      </c>
      <c r="I1039" s="4">
        <v>23805</v>
      </c>
    </row>
    <row r="1040" spans="1:9" x14ac:dyDescent="0.25">
      <c r="A1040" s="2" t="s">
        <v>22</v>
      </c>
      <c r="B1040" s="2">
        <v>5200</v>
      </c>
      <c r="C1040" s="2">
        <v>3</v>
      </c>
      <c r="D1040" s="2" t="s">
        <v>37</v>
      </c>
      <c r="E1040" s="3">
        <v>44903</v>
      </c>
      <c r="F1040" s="2" t="s">
        <v>52</v>
      </c>
      <c r="G1040" s="2" t="s">
        <v>63</v>
      </c>
      <c r="H1040" s="2" t="s">
        <v>44</v>
      </c>
      <c r="I1040" s="4">
        <v>20411</v>
      </c>
    </row>
    <row r="1041" spans="1:9" x14ac:dyDescent="0.25">
      <c r="A1041" s="2" t="s">
        <v>17</v>
      </c>
      <c r="B1041" s="2">
        <v>1550</v>
      </c>
      <c r="C1041" s="2">
        <v>3</v>
      </c>
      <c r="D1041" s="2" t="s">
        <v>30</v>
      </c>
      <c r="E1041" s="3">
        <v>44655</v>
      </c>
      <c r="F1041" s="2" t="s">
        <v>102</v>
      </c>
      <c r="G1041" s="2" t="s">
        <v>103</v>
      </c>
      <c r="H1041" s="2" t="s">
        <v>44</v>
      </c>
      <c r="I1041" s="4">
        <v>26153</v>
      </c>
    </row>
    <row r="1042" spans="1:9" x14ac:dyDescent="0.25">
      <c r="A1042" s="2" t="s">
        <v>15</v>
      </c>
      <c r="B1042" s="2">
        <v>1900</v>
      </c>
      <c r="C1042" s="2">
        <v>2</v>
      </c>
      <c r="D1042" s="2" t="s">
        <v>36</v>
      </c>
      <c r="E1042" s="3">
        <v>44832</v>
      </c>
      <c r="F1042" s="2" t="s">
        <v>111</v>
      </c>
      <c r="G1042" s="2" t="s">
        <v>614</v>
      </c>
      <c r="H1042" s="2" t="s">
        <v>44</v>
      </c>
      <c r="I1042" s="4">
        <v>25590</v>
      </c>
    </row>
    <row r="1043" spans="1:9" x14ac:dyDescent="0.25">
      <c r="A1043" s="2" t="s">
        <v>11</v>
      </c>
      <c r="B1043" s="2">
        <v>4500</v>
      </c>
      <c r="C1043" s="2">
        <v>3</v>
      </c>
      <c r="D1043" s="2" t="s">
        <v>35</v>
      </c>
      <c r="E1043" s="3">
        <v>44582</v>
      </c>
      <c r="F1043" s="2" t="s">
        <v>522</v>
      </c>
      <c r="G1043" s="2" t="s">
        <v>152</v>
      </c>
      <c r="H1043" s="2" t="s">
        <v>44</v>
      </c>
      <c r="I1043" s="4">
        <v>31136</v>
      </c>
    </row>
    <row r="1044" spans="1:9" x14ac:dyDescent="0.25">
      <c r="A1044" s="2" t="s">
        <v>10</v>
      </c>
      <c r="B1044" s="2">
        <v>1450</v>
      </c>
      <c r="C1044" s="2">
        <v>4</v>
      </c>
      <c r="D1044" s="2" t="s">
        <v>30</v>
      </c>
      <c r="E1044" s="3">
        <v>44663</v>
      </c>
      <c r="F1044" s="2" t="s">
        <v>318</v>
      </c>
      <c r="G1044" s="2" t="s">
        <v>345</v>
      </c>
      <c r="H1044" s="2" t="s">
        <v>44</v>
      </c>
      <c r="I1044" s="4">
        <v>18782</v>
      </c>
    </row>
    <row r="1045" spans="1:9" x14ac:dyDescent="0.25">
      <c r="A1045" s="2" t="s">
        <v>24</v>
      </c>
      <c r="B1045" s="2">
        <v>2000</v>
      </c>
      <c r="C1045" s="2">
        <v>2</v>
      </c>
      <c r="D1045" s="2" t="s">
        <v>34</v>
      </c>
      <c r="E1045" s="3">
        <v>44873</v>
      </c>
      <c r="F1045" s="2" t="s">
        <v>275</v>
      </c>
      <c r="G1045" s="2" t="s">
        <v>276</v>
      </c>
      <c r="H1045" s="2" t="s">
        <v>49</v>
      </c>
      <c r="I1045" s="4">
        <v>21396</v>
      </c>
    </row>
    <row r="1046" spans="1:9" x14ac:dyDescent="0.25">
      <c r="A1046" s="2" t="s">
        <v>25</v>
      </c>
      <c r="B1046" s="2">
        <v>2500</v>
      </c>
      <c r="C1046" s="2">
        <v>3</v>
      </c>
      <c r="D1046" s="2" t="s">
        <v>29</v>
      </c>
      <c r="E1046" s="3">
        <v>44846</v>
      </c>
      <c r="F1046" s="2" t="s">
        <v>98</v>
      </c>
      <c r="G1046" s="2" t="s">
        <v>257</v>
      </c>
      <c r="H1046" s="2" t="s">
        <v>44</v>
      </c>
      <c r="I1046" s="4">
        <v>34611</v>
      </c>
    </row>
    <row r="1047" spans="1:9" x14ac:dyDescent="0.25">
      <c r="A1047" s="2" t="s">
        <v>27</v>
      </c>
      <c r="B1047" s="2">
        <v>1500</v>
      </c>
      <c r="C1047" s="2">
        <v>1</v>
      </c>
      <c r="D1047" s="2" t="s">
        <v>30</v>
      </c>
      <c r="E1047" s="3">
        <v>44746</v>
      </c>
      <c r="F1047" s="2" t="s">
        <v>94</v>
      </c>
      <c r="G1047" s="2" t="s">
        <v>536</v>
      </c>
      <c r="H1047" s="2" t="s">
        <v>49</v>
      </c>
      <c r="I1047" s="4">
        <v>33821</v>
      </c>
    </row>
    <row r="1048" spans="1:9" x14ac:dyDescent="0.25">
      <c r="A1048" s="2" t="s">
        <v>19</v>
      </c>
      <c r="B1048" s="2">
        <v>700</v>
      </c>
      <c r="C1048" s="2">
        <v>3</v>
      </c>
      <c r="D1048" s="2" t="s">
        <v>40</v>
      </c>
      <c r="E1048" s="3">
        <v>44684</v>
      </c>
      <c r="F1048" s="2" t="s">
        <v>104</v>
      </c>
      <c r="G1048" s="2" t="s">
        <v>105</v>
      </c>
      <c r="H1048" s="2" t="s">
        <v>44</v>
      </c>
      <c r="I1048" s="4">
        <v>33789</v>
      </c>
    </row>
    <row r="1049" spans="1:9" x14ac:dyDescent="0.25">
      <c r="A1049" s="2" t="s">
        <v>17</v>
      </c>
      <c r="B1049" s="2">
        <v>1550</v>
      </c>
      <c r="C1049" s="2">
        <v>5</v>
      </c>
      <c r="D1049" s="2" t="s">
        <v>38</v>
      </c>
      <c r="E1049" s="3">
        <v>44733</v>
      </c>
      <c r="F1049" s="2" t="s">
        <v>51</v>
      </c>
      <c r="G1049" s="2" t="s">
        <v>412</v>
      </c>
      <c r="H1049" s="2" t="s">
        <v>44</v>
      </c>
      <c r="I1049" s="4">
        <v>32482</v>
      </c>
    </row>
    <row r="1050" spans="1:9" x14ac:dyDescent="0.25">
      <c r="A1050" s="2" t="s">
        <v>19</v>
      </c>
      <c r="B1050" s="2">
        <v>700</v>
      </c>
      <c r="C1050" s="2">
        <v>5</v>
      </c>
      <c r="D1050" s="2" t="s">
        <v>34</v>
      </c>
      <c r="E1050" s="3">
        <v>44659</v>
      </c>
      <c r="F1050" s="2" t="s">
        <v>452</v>
      </c>
      <c r="G1050" s="2" t="s">
        <v>453</v>
      </c>
      <c r="H1050" s="2" t="s">
        <v>44</v>
      </c>
      <c r="I1050" s="4">
        <v>29510</v>
      </c>
    </row>
    <row r="1051" spans="1:9" x14ac:dyDescent="0.25">
      <c r="A1051" s="2" t="s">
        <v>18</v>
      </c>
      <c r="B1051" s="2">
        <v>3000</v>
      </c>
      <c r="C1051" s="2">
        <v>2</v>
      </c>
      <c r="D1051" s="2" t="s">
        <v>39</v>
      </c>
      <c r="E1051" s="3">
        <v>44753</v>
      </c>
      <c r="F1051" s="2" t="s">
        <v>247</v>
      </c>
      <c r="G1051" s="2" t="s">
        <v>248</v>
      </c>
      <c r="H1051" s="2" t="s">
        <v>44</v>
      </c>
      <c r="I1051" s="4">
        <v>35911</v>
      </c>
    </row>
    <row r="1052" spans="1:9" x14ac:dyDescent="0.25">
      <c r="A1052" s="2" t="s">
        <v>26</v>
      </c>
      <c r="B1052" s="2">
        <v>1100</v>
      </c>
      <c r="C1052" s="2">
        <v>4</v>
      </c>
      <c r="D1052" s="2" t="s">
        <v>41</v>
      </c>
      <c r="E1052" s="3">
        <v>44909</v>
      </c>
      <c r="F1052" s="2" t="s">
        <v>167</v>
      </c>
      <c r="G1052" s="2" t="s">
        <v>474</v>
      </c>
      <c r="H1052" s="2" t="s">
        <v>44</v>
      </c>
      <c r="I1052" s="4">
        <v>24330</v>
      </c>
    </row>
    <row r="1053" spans="1:9" x14ac:dyDescent="0.25">
      <c r="A1053" s="2" t="s">
        <v>28</v>
      </c>
      <c r="B1053" s="2">
        <v>1400</v>
      </c>
      <c r="C1053" s="2">
        <v>3</v>
      </c>
      <c r="D1053" s="2" t="s">
        <v>30</v>
      </c>
      <c r="E1053" s="3">
        <v>44691</v>
      </c>
      <c r="F1053" s="2" t="s">
        <v>98</v>
      </c>
      <c r="G1053" s="2" t="s">
        <v>530</v>
      </c>
      <c r="H1053" s="2" t="s">
        <v>44</v>
      </c>
      <c r="I1053" s="4">
        <v>27687</v>
      </c>
    </row>
    <row r="1054" spans="1:9" x14ac:dyDescent="0.25">
      <c r="A1054" s="2" t="s">
        <v>28</v>
      </c>
      <c r="B1054" s="2">
        <v>1400</v>
      </c>
      <c r="C1054" s="2">
        <v>3</v>
      </c>
      <c r="D1054" s="2" t="s">
        <v>30</v>
      </c>
      <c r="E1054" s="3">
        <v>44917</v>
      </c>
      <c r="F1054" s="2" t="s">
        <v>76</v>
      </c>
      <c r="G1054" s="2" t="s">
        <v>77</v>
      </c>
      <c r="H1054" s="2" t="s">
        <v>49</v>
      </c>
      <c r="I1054" s="4">
        <v>28816</v>
      </c>
    </row>
    <row r="1055" spans="1:9" x14ac:dyDescent="0.25">
      <c r="A1055" s="2" t="s">
        <v>6</v>
      </c>
      <c r="B1055" s="2">
        <v>1200</v>
      </c>
      <c r="C1055" s="2">
        <v>2</v>
      </c>
      <c r="D1055" s="2" t="s">
        <v>40</v>
      </c>
      <c r="E1055" s="3">
        <v>44839</v>
      </c>
      <c r="F1055" s="2" t="s">
        <v>87</v>
      </c>
      <c r="G1055" s="2" t="s">
        <v>468</v>
      </c>
      <c r="H1055" s="2" t="s">
        <v>44</v>
      </c>
      <c r="I1055" s="4">
        <v>32676</v>
      </c>
    </row>
    <row r="1056" spans="1:9" x14ac:dyDescent="0.25">
      <c r="A1056" s="2" t="s">
        <v>14</v>
      </c>
      <c r="B1056" s="2">
        <v>2000</v>
      </c>
      <c r="C1056" s="2">
        <v>3</v>
      </c>
      <c r="D1056" s="2" t="s">
        <v>38</v>
      </c>
      <c r="E1056" s="3">
        <v>44921</v>
      </c>
      <c r="F1056" s="2" t="s">
        <v>124</v>
      </c>
      <c r="G1056" s="2" t="s">
        <v>509</v>
      </c>
      <c r="H1056" s="2" t="s">
        <v>44</v>
      </c>
      <c r="I1056" s="4">
        <v>26062</v>
      </c>
    </row>
    <row r="1057" spans="1:9" x14ac:dyDescent="0.25">
      <c r="A1057" s="2" t="s">
        <v>27</v>
      </c>
      <c r="B1057" s="2">
        <v>1500</v>
      </c>
      <c r="C1057" s="2">
        <v>1</v>
      </c>
      <c r="D1057" s="2" t="s">
        <v>40</v>
      </c>
      <c r="E1057" s="3">
        <v>44697</v>
      </c>
      <c r="F1057" s="2" t="s">
        <v>328</v>
      </c>
      <c r="G1057" s="2" t="s">
        <v>473</v>
      </c>
      <c r="H1057" s="2" t="s">
        <v>49</v>
      </c>
      <c r="I1057" s="4">
        <v>18418</v>
      </c>
    </row>
    <row r="1058" spans="1:9" x14ac:dyDescent="0.25">
      <c r="A1058" s="2" t="s">
        <v>13</v>
      </c>
      <c r="B1058" s="2">
        <v>2300</v>
      </c>
      <c r="C1058" s="2">
        <v>2</v>
      </c>
      <c r="D1058" s="2" t="s">
        <v>36</v>
      </c>
      <c r="E1058" s="3">
        <v>44781</v>
      </c>
      <c r="F1058" s="2" t="s">
        <v>111</v>
      </c>
      <c r="G1058" s="2" t="s">
        <v>614</v>
      </c>
      <c r="H1058" s="2" t="s">
        <v>44</v>
      </c>
      <c r="I1058" s="4">
        <v>25590</v>
      </c>
    </row>
    <row r="1059" spans="1:9" x14ac:dyDescent="0.25">
      <c r="A1059" s="2" t="s">
        <v>26</v>
      </c>
      <c r="B1059" s="2">
        <v>1100</v>
      </c>
      <c r="C1059" s="2">
        <v>2</v>
      </c>
      <c r="D1059" s="2" t="s">
        <v>37</v>
      </c>
      <c r="E1059" s="3">
        <v>44743</v>
      </c>
      <c r="F1059" s="2" t="s">
        <v>224</v>
      </c>
      <c r="G1059" s="2" t="s">
        <v>171</v>
      </c>
      <c r="H1059" s="2" t="s">
        <v>44</v>
      </c>
      <c r="I1059" s="4">
        <v>22490</v>
      </c>
    </row>
    <row r="1060" spans="1:9" x14ac:dyDescent="0.25">
      <c r="A1060" s="2" t="s">
        <v>18</v>
      </c>
      <c r="B1060" s="2">
        <v>3000</v>
      </c>
      <c r="C1060" s="2">
        <v>1</v>
      </c>
      <c r="D1060" s="2" t="s">
        <v>30</v>
      </c>
      <c r="E1060" s="3">
        <v>44702</v>
      </c>
      <c r="F1060" s="2" t="s">
        <v>252</v>
      </c>
      <c r="G1060" s="2" t="s">
        <v>253</v>
      </c>
      <c r="H1060" s="2" t="s">
        <v>49</v>
      </c>
      <c r="I1060" s="4">
        <v>30654</v>
      </c>
    </row>
    <row r="1061" spans="1:9" x14ac:dyDescent="0.25">
      <c r="A1061" s="2" t="s">
        <v>24</v>
      </c>
      <c r="B1061" s="2">
        <v>2000</v>
      </c>
      <c r="C1061" s="2">
        <v>1</v>
      </c>
      <c r="D1061" s="2" t="s">
        <v>40</v>
      </c>
      <c r="E1061" s="3">
        <v>44670</v>
      </c>
      <c r="F1061" s="2" t="s">
        <v>461</v>
      </c>
      <c r="G1061" s="2" t="s">
        <v>83</v>
      </c>
      <c r="H1061" s="2" t="s">
        <v>49</v>
      </c>
      <c r="I1061" s="4">
        <v>35735</v>
      </c>
    </row>
    <row r="1062" spans="1:9" x14ac:dyDescent="0.25">
      <c r="A1062" s="2" t="s">
        <v>5</v>
      </c>
      <c r="B1062" s="2">
        <v>1750</v>
      </c>
      <c r="C1062" s="2">
        <v>2</v>
      </c>
      <c r="D1062" s="2" t="s">
        <v>31</v>
      </c>
      <c r="E1062" s="3">
        <v>44815</v>
      </c>
      <c r="F1062" s="2" t="s">
        <v>270</v>
      </c>
      <c r="G1062" s="2" t="s">
        <v>63</v>
      </c>
      <c r="H1062" s="2" t="s">
        <v>44</v>
      </c>
      <c r="I1062" s="4">
        <v>32206</v>
      </c>
    </row>
    <row r="1063" spans="1:9" x14ac:dyDescent="0.25">
      <c r="A1063" s="2" t="s">
        <v>12</v>
      </c>
      <c r="B1063" s="2">
        <v>6500</v>
      </c>
      <c r="C1063" s="2">
        <v>3</v>
      </c>
      <c r="D1063" s="2" t="s">
        <v>39</v>
      </c>
      <c r="E1063" s="3">
        <v>44564</v>
      </c>
      <c r="F1063" s="2" t="s">
        <v>98</v>
      </c>
      <c r="G1063" s="2" t="s">
        <v>608</v>
      </c>
      <c r="H1063" s="2" t="s">
        <v>44</v>
      </c>
      <c r="I1063" s="4">
        <v>31158</v>
      </c>
    </row>
    <row r="1064" spans="1:9" x14ac:dyDescent="0.25">
      <c r="A1064" s="2" t="s">
        <v>9</v>
      </c>
      <c r="B1064" s="2">
        <v>1500</v>
      </c>
      <c r="C1064" s="2">
        <v>3</v>
      </c>
      <c r="D1064" s="2" t="s">
        <v>41</v>
      </c>
      <c r="E1064" s="3">
        <v>44819</v>
      </c>
      <c r="F1064" s="2" t="s">
        <v>66</v>
      </c>
      <c r="G1064" s="2" t="s">
        <v>69</v>
      </c>
      <c r="H1064" s="2" t="s">
        <v>44</v>
      </c>
      <c r="I1064" s="4">
        <v>35823</v>
      </c>
    </row>
    <row r="1065" spans="1:9" x14ac:dyDescent="0.25">
      <c r="A1065" s="2" t="s">
        <v>23</v>
      </c>
      <c r="B1065" s="2">
        <v>1500</v>
      </c>
      <c r="C1065" s="2">
        <v>2</v>
      </c>
      <c r="D1065" s="2" t="s">
        <v>29</v>
      </c>
      <c r="E1065" s="3">
        <v>44885</v>
      </c>
      <c r="F1065" s="2" t="s">
        <v>293</v>
      </c>
      <c r="G1065" s="2" t="s">
        <v>495</v>
      </c>
      <c r="H1065" s="2" t="s">
        <v>49</v>
      </c>
      <c r="I1065" s="4">
        <v>35510</v>
      </c>
    </row>
    <row r="1066" spans="1:9" x14ac:dyDescent="0.25">
      <c r="A1066" s="2" t="s">
        <v>22</v>
      </c>
      <c r="B1066" s="2">
        <v>5200</v>
      </c>
      <c r="C1066" s="2">
        <v>1</v>
      </c>
      <c r="D1066" s="2" t="s">
        <v>39</v>
      </c>
      <c r="E1066" s="3">
        <v>44630</v>
      </c>
      <c r="F1066" s="2" t="s">
        <v>98</v>
      </c>
      <c r="G1066" s="2" t="s">
        <v>152</v>
      </c>
      <c r="H1066" s="2" t="s">
        <v>44</v>
      </c>
      <c r="I1066" s="4">
        <v>29032</v>
      </c>
    </row>
    <row r="1067" spans="1:9" x14ac:dyDescent="0.25">
      <c r="A1067" s="2" t="s">
        <v>27</v>
      </c>
      <c r="B1067" s="2">
        <v>1500</v>
      </c>
      <c r="C1067" s="2">
        <v>5</v>
      </c>
      <c r="D1067" s="2" t="s">
        <v>29</v>
      </c>
      <c r="E1067" s="3">
        <v>44750</v>
      </c>
      <c r="F1067" s="2" t="s">
        <v>111</v>
      </c>
      <c r="G1067" s="2" t="s">
        <v>238</v>
      </c>
      <c r="H1067" s="2" t="s">
        <v>44</v>
      </c>
      <c r="I1067" s="4">
        <v>22611</v>
      </c>
    </row>
    <row r="1068" spans="1:9" x14ac:dyDescent="0.25">
      <c r="A1068" s="2" t="s">
        <v>22</v>
      </c>
      <c r="B1068" s="2">
        <v>5200</v>
      </c>
      <c r="C1068" s="2">
        <v>3</v>
      </c>
      <c r="D1068" s="2" t="s">
        <v>33</v>
      </c>
      <c r="E1068" s="3">
        <v>44691</v>
      </c>
      <c r="F1068" s="2" t="s">
        <v>74</v>
      </c>
      <c r="G1068" s="2" t="s">
        <v>75</v>
      </c>
      <c r="H1068" s="2" t="s">
        <v>44</v>
      </c>
      <c r="I1068" s="4">
        <v>31046</v>
      </c>
    </row>
    <row r="1069" spans="1:9" x14ac:dyDescent="0.25">
      <c r="A1069" s="2" t="s">
        <v>27</v>
      </c>
      <c r="B1069" s="2">
        <v>1500</v>
      </c>
      <c r="C1069" s="2">
        <v>3</v>
      </c>
      <c r="D1069" s="2" t="s">
        <v>34</v>
      </c>
      <c r="E1069" s="3">
        <v>44728</v>
      </c>
      <c r="F1069" s="2" t="s">
        <v>452</v>
      </c>
      <c r="G1069" s="2" t="s">
        <v>453</v>
      </c>
      <c r="H1069" s="2" t="s">
        <v>44</v>
      </c>
      <c r="I1069" s="4">
        <v>29510</v>
      </c>
    </row>
    <row r="1070" spans="1:9" x14ac:dyDescent="0.25">
      <c r="A1070" s="2" t="s">
        <v>21</v>
      </c>
      <c r="B1070" s="2">
        <v>2400</v>
      </c>
      <c r="C1070" s="2">
        <v>4</v>
      </c>
      <c r="D1070" s="2" t="s">
        <v>41</v>
      </c>
      <c r="E1070" s="3">
        <v>44851</v>
      </c>
      <c r="F1070" s="2" t="s">
        <v>627</v>
      </c>
      <c r="G1070" s="2" t="s">
        <v>308</v>
      </c>
      <c r="H1070" s="2" t="s">
        <v>44</v>
      </c>
      <c r="I1070" s="4">
        <v>31189</v>
      </c>
    </row>
    <row r="1071" spans="1:9" x14ac:dyDescent="0.25">
      <c r="A1071" s="2" t="s">
        <v>24</v>
      </c>
      <c r="B1071" s="2">
        <v>2000</v>
      </c>
      <c r="C1071" s="2">
        <v>1</v>
      </c>
      <c r="D1071" s="2" t="s">
        <v>33</v>
      </c>
      <c r="E1071" s="3">
        <v>44650</v>
      </c>
      <c r="F1071" s="2" t="s">
        <v>87</v>
      </c>
      <c r="G1071" s="2" t="s">
        <v>501</v>
      </c>
      <c r="H1071" s="2" t="s">
        <v>44</v>
      </c>
      <c r="I1071" s="4">
        <v>30843</v>
      </c>
    </row>
    <row r="1072" spans="1:9" x14ac:dyDescent="0.25">
      <c r="A1072" s="2" t="s">
        <v>27</v>
      </c>
      <c r="B1072" s="2">
        <v>1500</v>
      </c>
      <c r="C1072" s="2">
        <v>3</v>
      </c>
      <c r="D1072" s="2" t="s">
        <v>39</v>
      </c>
      <c r="E1072" s="3">
        <v>44866</v>
      </c>
      <c r="F1072" s="2" t="s">
        <v>155</v>
      </c>
      <c r="G1072" s="2" t="s">
        <v>459</v>
      </c>
      <c r="H1072" s="2" t="s">
        <v>44</v>
      </c>
      <c r="I1072" s="4">
        <v>21339</v>
      </c>
    </row>
    <row r="1073" spans="1:9" x14ac:dyDescent="0.25">
      <c r="A1073" s="2" t="s">
        <v>19</v>
      </c>
      <c r="B1073" s="2">
        <v>700</v>
      </c>
      <c r="C1073" s="2">
        <v>1</v>
      </c>
      <c r="D1073" s="2" t="s">
        <v>31</v>
      </c>
      <c r="E1073" s="3">
        <v>44594</v>
      </c>
      <c r="F1073" s="2" t="s">
        <v>87</v>
      </c>
      <c r="G1073" s="2" t="s">
        <v>286</v>
      </c>
      <c r="H1073" s="2" t="s">
        <v>44</v>
      </c>
      <c r="I1073" s="4">
        <v>29174</v>
      </c>
    </row>
    <row r="1074" spans="1:9" x14ac:dyDescent="0.25">
      <c r="A1074" s="2" t="s">
        <v>21</v>
      </c>
      <c r="B1074" s="2">
        <v>2400</v>
      </c>
      <c r="C1074" s="2">
        <v>1</v>
      </c>
      <c r="D1074" s="2" t="s">
        <v>34</v>
      </c>
      <c r="E1074" s="3">
        <v>44657</v>
      </c>
      <c r="F1074" s="2" t="s">
        <v>45</v>
      </c>
      <c r="G1074" s="2" t="s">
        <v>156</v>
      </c>
      <c r="H1074" s="2" t="s">
        <v>44</v>
      </c>
      <c r="I1074" s="4">
        <v>32720</v>
      </c>
    </row>
    <row r="1075" spans="1:9" x14ac:dyDescent="0.25">
      <c r="A1075" s="2" t="s">
        <v>14</v>
      </c>
      <c r="B1075" s="2">
        <v>2000</v>
      </c>
      <c r="C1075" s="2">
        <v>3</v>
      </c>
      <c r="D1075" s="2" t="s">
        <v>35</v>
      </c>
      <c r="E1075" s="3">
        <v>44654</v>
      </c>
      <c r="F1075" s="2" t="s">
        <v>137</v>
      </c>
      <c r="G1075" s="2" t="s">
        <v>63</v>
      </c>
      <c r="H1075" s="2" t="s">
        <v>49</v>
      </c>
      <c r="I1075" s="4">
        <v>24741</v>
      </c>
    </row>
    <row r="1076" spans="1:9" x14ac:dyDescent="0.25">
      <c r="A1076" s="2" t="s">
        <v>25</v>
      </c>
      <c r="B1076" s="2">
        <v>2500</v>
      </c>
      <c r="C1076" s="2">
        <v>1</v>
      </c>
      <c r="D1076" s="2" t="s">
        <v>38</v>
      </c>
      <c r="E1076" s="3">
        <v>44820</v>
      </c>
      <c r="F1076" s="2" t="s">
        <v>552</v>
      </c>
      <c r="G1076" s="2" t="s">
        <v>553</v>
      </c>
      <c r="H1076" s="2" t="s">
        <v>49</v>
      </c>
      <c r="I1076" s="4">
        <v>23179</v>
      </c>
    </row>
    <row r="1077" spans="1:9" x14ac:dyDescent="0.25">
      <c r="A1077" s="2" t="s">
        <v>13</v>
      </c>
      <c r="B1077" s="2">
        <v>2300</v>
      </c>
      <c r="C1077" s="2">
        <v>4</v>
      </c>
      <c r="D1077" s="2" t="s">
        <v>30</v>
      </c>
      <c r="E1077" s="3">
        <v>44702</v>
      </c>
      <c r="F1077" s="2" t="s">
        <v>42</v>
      </c>
      <c r="G1077" s="2" t="s">
        <v>300</v>
      </c>
      <c r="H1077" s="2" t="s">
        <v>44</v>
      </c>
      <c r="I1077" s="4">
        <v>18694</v>
      </c>
    </row>
    <row r="1078" spans="1:9" x14ac:dyDescent="0.25">
      <c r="A1078" s="2" t="s">
        <v>20</v>
      </c>
      <c r="B1078" s="2">
        <v>2600</v>
      </c>
      <c r="C1078" s="2">
        <v>1</v>
      </c>
      <c r="D1078" s="2" t="s">
        <v>29</v>
      </c>
      <c r="E1078" s="3">
        <v>44794</v>
      </c>
      <c r="F1078" s="2" t="s">
        <v>256</v>
      </c>
      <c r="G1078" s="2" t="s">
        <v>292</v>
      </c>
      <c r="H1078" s="2" t="s">
        <v>44</v>
      </c>
      <c r="I1078" s="4">
        <v>25098</v>
      </c>
    </row>
    <row r="1079" spans="1:9" x14ac:dyDescent="0.25">
      <c r="A1079" s="2" t="s">
        <v>23</v>
      </c>
      <c r="B1079" s="2">
        <v>1500</v>
      </c>
      <c r="C1079" s="2">
        <v>4</v>
      </c>
      <c r="D1079" s="2" t="s">
        <v>33</v>
      </c>
      <c r="E1079" s="3">
        <v>44690</v>
      </c>
      <c r="F1079" s="2" t="s">
        <v>265</v>
      </c>
      <c r="G1079" s="2" t="s">
        <v>266</v>
      </c>
      <c r="H1079" s="2" t="s">
        <v>49</v>
      </c>
      <c r="I1079" s="4">
        <v>31076</v>
      </c>
    </row>
    <row r="1080" spans="1:9" x14ac:dyDescent="0.25">
      <c r="A1080" s="2" t="s">
        <v>16</v>
      </c>
      <c r="B1080" s="2">
        <v>1400</v>
      </c>
      <c r="C1080" s="2">
        <v>3</v>
      </c>
      <c r="D1080" s="2" t="s">
        <v>41</v>
      </c>
      <c r="E1080" s="3">
        <v>44710</v>
      </c>
      <c r="F1080" s="2" t="s">
        <v>190</v>
      </c>
      <c r="G1080" s="2" t="s">
        <v>545</v>
      </c>
      <c r="H1080" s="2" t="s">
        <v>44</v>
      </c>
      <c r="I1080" s="4">
        <v>20285</v>
      </c>
    </row>
    <row r="1081" spans="1:9" x14ac:dyDescent="0.25">
      <c r="A1081" s="2" t="s">
        <v>8</v>
      </c>
      <c r="B1081" s="2">
        <v>5500</v>
      </c>
      <c r="C1081" s="2">
        <v>5</v>
      </c>
      <c r="D1081" s="2" t="s">
        <v>40</v>
      </c>
      <c r="E1081" s="3">
        <v>44597</v>
      </c>
      <c r="F1081" s="2" t="s">
        <v>80</v>
      </c>
      <c r="G1081" s="2" t="s">
        <v>75</v>
      </c>
      <c r="H1081" s="2" t="s">
        <v>44</v>
      </c>
      <c r="I1081" s="4">
        <v>32180</v>
      </c>
    </row>
    <row r="1082" spans="1:9" x14ac:dyDescent="0.25">
      <c r="A1082" s="2" t="s">
        <v>13</v>
      </c>
      <c r="B1082" s="2">
        <v>2300</v>
      </c>
      <c r="C1082" s="2">
        <v>3</v>
      </c>
      <c r="D1082" s="2" t="s">
        <v>29</v>
      </c>
      <c r="E1082" s="3">
        <v>44721</v>
      </c>
      <c r="F1082" s="2" t="s">
        <v>42</v>
      </c>
      <c r="G1082" s="2" t="s">
        <v>43</v>
      </c>
      <c r="H1082" s="2" t="s">
        <v>44</v>
      </c>
      <c r="I1082" s="4">
        <v>33469</v>
      </c>
    </row>
    <row r="1083" spans="1:9" x14ac:dyDescent="0.25">
      <c r="A1083" s="2" t="s">
        <v>8</v>
      </c>
      <c r="B1083" s="2">
        <v>5500</v>
      </c>
      <c r="C1083" s="2">
        <v>3</v>
      </c>
      <c r="D1083" s="2" t="s">
        <v>31</v>
      </c>
      <c r="E1083" s="3">
        <v>44718</v>
      </c>
      <c r="F1083" s="2" t="s">
        <v>371</v>
      </c>
      <c r="G1083" s="2" t="s">
        <v>372</v>
      </c>
      <c r="H1083" s="2" t="s">
        <v>44</v>
      </c>
      <c r="I1083" s="4">
        <v>21789</v>
      </c>
    </row>
    <row r="1084" spans="1:9" x14ac:dyDescent="0.25">
      <c r="A1084" s="2" t="s">
        <v>21</v>
      </c>
      <c r="B1084" s="2">
        <v>2400</v>
      </c>
      <c r="C1084" s="2">
        <v>2</v>
      </c>
      <c r="D1084" s="2" t="s">
        <v>30</v>
      </c>
      <c r="E1084" s="3">
        <v>44612</v>
      </c>
      <c r="F1084" s="2" t="s">
        <v>401</v>
      </c>
      <c r="G1084" s="2" t="s">
        <v>558</v>
      </c>
      <c r="H1084" s="2" t="s">
        <v>49</v>
      </c>
      <c r="I1084" s="4">
        <v>21217</v>
      </c>
    </row>
    <row r="1085" spans="1:9" x14ac:dyDescent="0.25">
      <c r="A1085" s="2" t="s">
        <v>20</v>
      </c>
      <c r="B1085" s="2">
        <v>2600</v>
      </c>
      <c r="C1085" s="2">
        <v>2</v>
      </c>
      <c r="D1085" s="2" t="s">
        <v>33</v>
      </c>
      <c r="E1085" s="3">
        <v>44653</v>
      </c>
      <c r="F1085" s="2" t="s">
        <v>338</v>
      </c>
      <c r="G1085" s="2" t="s">
        <v>171</v>
      </c>
      <c r="H1085" s="2" t="s">
        <v>49</v>
      </c>
      <c r="I1085" s="4">
        <v>34868</v>
      </c>
    </row>
    <row r="1086" spans="1:9" x14ac:dyDescent="0.25">
      <c r="A1086" s="2" t="s">
        <v>10</v>
      </c>
      <c r="B1086" s="2">
        <v>1450</v>
      </c>
      <c r="C1086" s="2">
        <v>3</v>
      </c>
      <c r="D1086" s="2" t="s">
        <v>29</v>
      </c>
      <c r="E1086" s="3">
        <v>44882</v>
      </c>
      <c r="F1086" s="2" t="s">
        <v>118</v>
      </c>
      <c r="G1086" s="2" t="s">
        <v>391</v>
      </c>
      <c r="H1086" s="2" t="s">
        <v>49</v>
      </c>
      <c r="I1086" s="4">
        <v>35366</v>
      </c>
    </row>
    <row r="1087" spans="1:9" x14ac:dyDescent="0.25">
      <c r="A1087" s="2" t="s">
        <v>18</v>
      </c>
      <c r="B1087" s="2">
        <v>3000</v>
      </c>
      <c r="C1087" s="2">
        <v>4</v>
      </c>
      <c r="D1087" s="2" t="s">
        <v>34</v>
      </c>
      <c r="E1087" s="3">
        <v>44821</v>
      </c>
      <c r="F1087" s="2" t="s">
        <v>173</v>
      </c>
      <c r="G1087" s="2" t="s">
        <v>174</v>
      </c>
      <c r="H1087" s="2" t="s">
        <v>44</v>
      </c>
      <c r="I1087" s="4">
        <v>20273</v>
      </c>
    </row>
    <row r="1088" spans="1:9" x14ac:dyDescent="0.25">
      <c r="A1088" s="2" t="s">
        <v>15</v>
      </c>
      <c r="B1088" s="2">
        <v>1900</v>
      </c>
      <c r="C1088" s="2">
        <v>4</v>
      </c>
      <c r="D1088" s="2" t="s">
        <v>34</v>
      </c>
      <c r="E1088" s="3">
        <v>44734</v>
      </c>
      <c r="F1088" s="2" t="s">
        <v>241</v>
      </c>
      <c r="G1088" s="2" t="s">
        <v>242</v>
      </c>
      <c r="H1088" s="2" t="s">
        <v>49</v>
      </c>
      <c r="I1088" s="4">
        <v>30191</v>
      </c>
    </row>
    <row r="1089" spans="1:9" x14ac:dyDescent="0.25">
      <c r="A1089" s="2" t="s">
        <v>8</v>
      </c>
      <c r="B1089" s="2">
        <v>5500</v>
      </c>
      <c r="C1089" s="2">
        <v>2</v>
      </c>
      <c r="D1089" s="2" t="s">
        <v>37</v>
      </c>
      <c r="E1089" s="3">
        <v>44570</v>
      </c>
      <c r="F1089" s="2" t="s">
        <v>237</v>
      </c>
      <c r="G1089" s="2" t="s">
        <v>238</v>
      </c>
      <c r="H1089" s="2" t="s">
        <v>49</v>
      </c>
      <c r="I1089" s="4">
        <v>23012</v>
      </c>
    </row>
    <row r="1090" spans="1:9" x14ac:dyDescent="0.25">
      <c r="A1090" s="2" t="s">
        <v>8</v>
      </c>
      <c r="B1090" s="2">
        <v>5500</v>
      </c>
      <c r="C1090" s="2">
        <v>5</v>
      </c>
      <c r="D1090" s="2" t="s">
        <v>29</v>
      </c>
      <c r="E1090" s="3">
        <v>44805</v>
      </c>
      <c r="F1090" s="2" t="s">
        <v>249</v>
      </c>
      <c r="G1090" s="2" t="s">
        <v>81</v>
      </c>
      <c r="H1090" s="2" t="s">
        <v>49</v>
      </c>
      <c r="I1090" s="4">
        <v>24932</v>
      </c>
    </row>
    <row r="1091" spans="1:9" x14ac:dyDescent="0.25">
      <c r="A1091" s="2" t="s">
        <v>7</v>
      </c>
      <c r="B1091" s="2">
        <v>750</v>
      </c>
      <c r="C1091" s="2">
        <v>5</v>
      </c>
      <c r="D1091" s="2" t="s">
        <v>34</v>
      </c>
      <c r="E1091" s="3">
        <v>44820</v>
      </c>
      <c r="F1091" s="2" t="s">
        <v>87</v>
      </c>
      <c r="G1091" s="2" t="s">
        <v>458</v>
      </c>
      <c r="H1091" s="2" t="s">
        <v>44</v>
      </c>
      <c r="I1091" s="4">
        <v>21480</v>
      </c>
    </row>
    <row r="1092" spans="1:9" x14ac:dyDescent="0.25">
      <c r="A1092" s="2" t="s">
        <v>19</v>
      </c>
      <c r="B1092" s="2">
        <v>700</v>
      </c>
      <c r="C1092" s="2">
        <v>2</v>
      </c>
      <c r="D1092" s="2" t="s">
        <v>33</v>
      </c>
      <c r="E1092" s="3">
        <v>44916</v>
      </c>
      <c r="F1092" s="2" t="s">
        <v>601</v>
      </c>
      <c r="G1092" s="2" t="s">
        <v>123</v>
      </c>
      <c r="H1092" s="2" t="s">
        <v>44</v>
      </c>
      <c r="I1092" s="4">
        <v>29735</v>
      </c>
    </row>
    <row r="1093" spans="1:9" x14ac:dyDescent="0.25">
      <c r="A1093" s="2" t="s">
        <v>25</v>
      </c>
      <c r="B1093" s="2">
        <v>2500</v>
      </c>
      <c r="C1093" s="2">
        <v>1</v>
      </c>
      <c r="D1093" s="2" t="s">
        <v>40</v>
      </c>
      <c r="E1093" s="3">
        <v>44818</v>
      </c>
      <c r="F1093" s="2" t="s">
        <v>267</v>
      </c>
      <c r="G1093" s="2" t="s">
        <v>55</v>
      </c>
      <c r="H1093" s="2" t="s">
        <v>44</v>
      </c>
      <c r="I1093" s="4">
        <v>29760</v>
      </c>
    </row>
    <row r="1094" spans="1:9" x14ac:dyDescent="0.25">
      <c r="A1094" s="2" t="s">
        <v>18</v>
      </c>
      <c r="B1094" s="2">
        <v>3000</v>
      </c>
      <c r="C1094" s="2">
        <v>3</v>
      </c>
      <c r="D1094" s="2" t="s">
        <v>35</v>
      </c>
      <c r="E1094" s="3">
        <v>44650</v>
      </c>
      <c r="F1094" s="2" t="s">
        <v>364</v>
      </c>
      <c r="G1094" s="2" t="s">
        <v>625</v>
      </c>
      <c r="H1094" s="2" t="s">
        <v>44</v>
      </c>
      <c r="I1094" s="4">
        <v>24444</v>
      </c>
    </row>
    <row r="1095" spans="1:9" x14ac:dyDescent="0.25">
      <c r="A1095" s="2" t="s">
        <v>12</v>
      </c>
      <c r="B1095" s="2">
        <v>6500</v>
      </c>
      <c r="C1095" s="2">
        <v>1</v>
      </c>
      <c r="D1095" s="2" t="s">
        <v>34</v>
      </c>
      <c r="E1095" s="3">
        <v>44896</v>
      </c>
      <c r="F1095" s="2" t="s">
        <v>439</v>
      </c>
      <c r="G1095" s="2" t="s">
        <v>89</v>
      </c>
      <c r="H1095" s="2" t="s">
        <v>44</v>
      </c>
      <c r="I1095" s="4">
        <v>20248</v>
      </c>
    </row>
    <row r="1096" spans="1:9" x14ac:dyDescent="0.25">
      <c r="A1096" s="2" t="s">
        <v>20</v>
      </c>
      <c r="B1096" s="2">
        <v>2600</v>
      </c>
      <c r="C1096" s="2">
        <v>4</v>
      </c>
      <c r="D1096" s="2" t="s">
        <v>32</v>
      </c>
      <c r="E1096" s="3">
        <v>44880</v>
      </c>
      <c r="F1096" s="2" t="s">
        <v>70</v>
      </c>
      <c r="G1096" s="2" t="s">
        <v>319</v>
      </c>
      <c r="H1096" s="2" t="s">
        <v>44</v>
      </c>
      <c r="I1096" s="4">
        <v>32945</v>
      </c>
    </row>
    <row r="1097" spans="1:9" x14ac:dyDescent="0.25">
      <c r="A1097" s="2" t="s">
        <v>26</v>
      </c>
      <c r="B1097" s="2">
        <v>1100</v>
      </c>
      <c r="C1097" s="2">
        <v>1</v>
      </c>
      <c r="D1097" s="2" t="s">
        <v>40</v>
      </c>
      <c r="E1097" s="3">
        <v>44742</v>
      </c>
      <c r="F1097" s="2" t="s">
        <v>129</v>
      </c>
      <c r="G1097" s="2" t="s">
        <v>273</v>
      </c>
      <c r="H1097" s="2" t="s">
        <v>49</v>
      </c>
      <c r="I1097" s="4">
        <v>25858</v>
      </c>
    </row>
    <row r="1098" spans="1:9" x14ac:dyDescent="0.25">
      <c r="A1098" s="2" t="s">
        <v>18</v>
      </c>
      <c r="B1098" s="2">
        <v>3000</v>
      </c>
      <c r="C1098" s="2">
        <v>5</v>
      </c>
      <c r="D1098" s="2" t="s">
        <v>30</v>
      </c>
      <c r="E1098" s="3">
        <v>44750</v>
      </c>
      <c r="F1098" s="2" t="s">
        <v>173</v>
      </c>
      <c r="G1098" s="2" t="s">
        <v>174</v>
      </c>
      <c r="H1098" s="2" t="s">
        <v>44</v>
      </c>
      <c r="I1098" s="4">
        <v>28789</v>
      </c>
    </row>
    <row r="1099" spans="1:9" x14ac:dyDescent="0.25">
      <c r="A1099" s="2" t="s">
        <v>23</v>
      </c>
      <c r="B1099" s="2">
        <v>1500</v>
      </c>
      <c r="C1099" s="2">
        <v>5</v>
      </c>
      <c r="D1099" s="2" t="s">
        <v>33</v>
      </c>
      <c r="E1099" s="3">
        <v>44815</v>
      </c>
      <c r="F1099" s="2" t="s">
        <v>571</v>
      </c>
      <c r="G1099" s="2" t="s">
        <v>474</v>
      </c>
      <c r="H1099" s="2" t="s">
        <v>49</v>
      </c>
      <c r="I1099" s="4">
        <v>21750</v>
      </c>
    </row>
    <row r="1100" spans="1:9" x14ac:dyDescent="0.25">
      <c r="A1100" s="2" t="s">
        <v>28</v>
      </c>
      <c r="B1100" s="2">
        <v>1400</v>
      </c>
      <c r="C1100" s="2">
        <v>2</v>
      </c>
      <c r="D1100" s="2" t="s">
        <v>38</v>
      </c>
      <c r="E1100" s="3">
        <v>44848</v>
      </c>
      <c r="F1100" s="2" t="s">
        <v>140</v>
      </c>
      <c r="G1100" s="2" t="s">
        <v>244</v>
      </c>
      <c r="H1100" s="2" t="s">
        <v>49</v>
      </c>
      <c r="I1100" s="4">
        <v>18491</v>
      </c>
    </row>
    <row r="1101" spans="1:9" x14ac:dyDescent="0.25">
      <c r="A1101" s="2" t="s">
        <v>16</v>
      </c>
      <c r="B1101" s="2">
        <v>1400</v>
      </c>
      <c r="C1101" s="2">
        <v>2</v>
      </c>
      <c r="D1101" s="2" t="s">
        <v>37</v>
      </c>
      <c r="E1101" s="3">
        <v>44857</v>
      </c>
      <c r="F1101" s="2" t="s">
        <v>233</v>
      </c>
      <c r="G1101" s="2" t="s">
        <v>483</v>
      </c>
      <c r="H1101" s="2" t="s">
        <v>49</v>
      </c>
      <c r="I1101" s="4">
        <v>23101</v>
      </c>
    </row>
    <row r="1102" spans="1:9" x14ac:dyDescent="0.25">
      <c r="A1102" s="2" t="s">
        <v>12</v>
      </c>
      <c r="B1102" s="2">
        <v>6500</v>
      </c>
      <c r="C1102" s="2">
        <v>4</v>
      </c>
      <c r="D1102" s="2" t="s">
        <v>38</v>
      </c>
      <c r="E1102" s="3">
        <v>44808</v>
      </c>
      <c r="F1102" s="2" t="s">
        <v>379</v>
      </c>
      <c r="G1102" s="2" t="s">
        <v>380</v>
      </c>
      <c r="H1102" s="2" t="s">
        <v>44</v>
      </c>
      <c r="I1102" s="4">
        <v>20654</v>
      </c>
    </row>
    <row r="1103" spans="1:9" x14ac:dyDescent="0.25">
      <c r="A1103" s="2" t="s">
        <v>23</v>
      </c>
      <c r="B1103" s="2">
        <v>1500</v>
      </c>
      <c r="C1103" s="2">
        <v>2</v>
      </c>
      <c r="D1103" s="2" t="s">
        <v>34</v>
      </c>
      <c r="E1103" s="3">
        <v>44879</v>
      </c>
      <c r="F1103" s="2" t="s">
        <v>88</v>
      </c>
      <c r="G1103" s="2" t="s">
        <v>89</v>
      </c>
      <c r="H1103" s="2" t="s">
        <v>44</v>
      </c>
      <c r="I1103" s="4">
        <v>20008</v>
      </c>
    </row>
    <row r="1104" spans="1:9" x14ac:dyDescent="0.25">
      <c r="A1104" s="2" t="s">
        <v>8</v>
      </c>
      <c r="B1104" s="2">
        <v>5500</v>
      </c>
      <c r="C1104" s="2">
        <v>4</v>
      </c>
      <c r="D1104" s="2" t="s">
        <v>29</v>
      </c>
      <c r="E1104" s="3">
        <v>44662</v>
      </c>
      <c r="F1104" s="2" t="s">
        <v>52</v>
      </c>
      <c r="G1104" s="2" t="s">
        <v>53</v>
      </c>
      <c r="H1104" s="2" t="s">
        <v>44</v>
      </c>
      <c r="I1104" s="4">
        <v>33858</v>
      </c>
    </row>
    <row r="1105" spans="1:9" x14ac:dyDescent="0.25">
      <c r="A1105" s="2" t="s">
        <v>8</v>
      </c>
      <c r="B1105" s="2">
        <v>5500</v>
      </c>
      <c r="C1105" s="2">
        <v>3</v>
      </c>
      <c r="D1105" s="2" t="s">
        <v>37</v>
      </c>
      <c r="E1105" s="3">
        <v>44911</v>
      </c>
      <c r="F1105" s="2" t="s">
        <v>318</v>
      </c>
      <c r="G1105" s="2" t="s">
        <v>145</v>
      </c>
      <c r="H1105" s="2" t="s">
        <v>44</v>
      </c>
      <c r="I1105" s="4">
        <v>24522</v>
      </c>
    </row>
    <row r="1106" spans="1:9" x14ac:dyDescent="0.25">
      <c r="A1106" s="2" t="s">
        <v>20</v>
      </c>
      <c r="B1106" s="2">
        <v>2600</v>
      </c>
      <c r="C1106" s="2">
        <v>2</v>
      </c>
      <c r="D1106" s="2" t="s">
        <v>31</v>
      </c>
      <c r="E1106" s="3">
        <v>44733</v>
      </c>
      <c r="F1106" s="2" t="s">
        <v>87</v>
      </c>
      <c r="G1106" s="2" t="s">
        <v>286</v>
      </c>
      <c r="H1106" s="2" t="s">
        <v>44</v>
      </c>
      <c r="I1106" s="4">
        <v>29174</v>
      </c>
    </row>
    <row r="1107" spans="1:9" x14ac:dyDescent="0.25">
      <c r="A1107" s="2" t="s">
        <v>20</v>
      </c>
      <c r="B1107" s="2">
        <v>2600</v>
      </c>
      <c r="C1107" s="2">
        <v>3</v>
      </c>
      <c r="D1107" s="2" t="s">
        <v>29</v>
      </c>
      <c r="E1107" s="3">
        <v>44707</v>
      </c>
      <c r="F1107" s="2" t="s">
        <v>155</v>
      </c>
      <c r="G1107" s="2" t="s">
        <v>230</v>
      </c>
      <c r="H1107" s="2" t="s">
        <v>44</v>
      </c>
      <c r="I1107" s="4">
        <v>22868</v>
      </c>
    </row>
    <row r="1108" spans="1:9" x14ac:dyDescent="0.25">
      <c r="A1108" s="2" t="s">
        <v>26</v>
      </c>
      <c r="B1108" s="2">
        <v>1100</v>
      </c>
      <c r="C1108" s="2">
        <v>1</v>
      </c>
      <c r="D1108" s="2" t="s">
        <v>37</v>
      </c>
      <c r="E1108" s="3">
        <v>44775</v>
      </c>
      <c r="F1108" s="2" t="s">
        <v>401</v>
      </c>
      <c r="G1108" s="2" t="s">
        <v>310</v>
      </c>
      <c r="H1108" s="2" t="s">
        <v>49</v>
      </c>
      <c r="I1108" s="4">
        <v>33535</v>
      </c>
    </row>
    <row r="1109" spans="1:9" x14ac:dyDescent="0.25">
      <c r="A1109" s="2" t="s">
        <v>17</v>
      </c>
      <c r="B1109" s="2">
        <v>1550</v>
      </c>
      <c r="C1109" s="2">
        <v>5</v>
      </c>
      <c r="D1109" s="2" t="s">
        <v>34</v>
      </c>
      <c r="E1109" s="3">
        <v>44796</v>
      </c>
      <c r="F1109" s="2" t="s">
        <v>445</v>
      </c>
      <c r="G1109" s="2" t="s">
        <v>171</v>
      </c>
      <c r="H1109" s="2" t="s">
        <v>49</v>
      </c>
      <c r="I1109" s="4">
        <v>31940</v>
      </c>
    </row>
    <row r="1110" spans="1:9" x14ac:dyDescent="0.25">
      <c r="A1110" s="2" t="s">
        <v>11</v>
      </c>
      <c r="B1110" s="2">
        <v>4500</v>
      </c>
      <c r="C1110" s="2">
        <v>1</v>
      </c>
      <c r="D1110" s="2" t="s">
        <v>39</v>
      </c>
      <c r="E1110" s="3">
        <v>44839</v>
      </c>
      <c r="F1110" s="2" t="s">
        <v>42</v>
      </c>
      <c r="G1110" s="2" t="s">
        <v>143</v>
      </c>
      <c r="H1110" s="2" t="s">
        <v>44</v>
      </c>
      <c r="I1110" s="4">
        <v>22359</v>
      </c>
    </row>
    <row r="1111" spans="1:9" x14ac:dyDescent="0.25">
      <c r="A1111" s="2" t="s">
        <v>9</v>
      </c>
      <c r="B1111" s="2">
        <v>1500</v>
      </c>
      <c r="C1111" s="2">
        <v>2</v>
      </c>
      <c r="D1111" s="2" t="s">
        <v>36</v>
      </c>
      <c r="E1111" s="3">
        <v>44586</v>
      </c>
      <c r="F1111" s="2" t="s">
        <v>233</v>
      </c>
      <c r="G1111" s="2" t="s">
        <v>63</v>
      </c>
      <c r="H1111" s="2" t="s">
        <v>49</v>
      </c>
      <c r="I1111" s="4">
        <v>31797</v>
      </c>
    </row>
    <row r="1112" spans="1:9" x14ac:dyDescent="0.25">
      <c r="A1112" s="2" t="s">
        <v>20</v>
      </c>
      <c r="B1112" s="2">
        <v>2600</v>
      </c>
      <c r="C1112" s="2">
        <v>5</v>
      </c>
      <c r="D1112" s="2" t="s">
        <v>29</v>
      </c>
      <c r="E1112" s="3">
        <v>44879</v>
      </c>
      <c r="F1112" s="2" t="s">
        <v>165</v>
      </c>
      <c r="G1112" s="2" t="s">
        <v>205</v>
      </c>
      <c r="H1112" s="2" t="s">
        <v>49</v>
      </c>
      <c r="I1112" s="4">
        <v>32463</v>
      </c>
    </row>
    <row r="1113" spans="1:9" x14ac:dyDescent="0.25">
      <c r="A1113" s="2" t="s">
        <v>14</v>
      </c>
      <c r="B1113" s="2">
        <v>2000</v>
      </c>
      <c r="C1113" s="2">
        <v>2</v>
      </c>
      <c r="D1113" s="2" t="s">
        <v>33</v>
      </c>
      <c r="E1113" s="3">
        <v>44842</v>
      </c>
      <c r="F1113" s="2" t="s">
        <v>87</v>
      </c>
      <c r="G1113" s="2" t="s">
        <v>501</v>
      </c>
      <c r="H1113" s="2" t="s">
        <v>44</v>
      </c>
      <c r="I1113" s="4">
        <v>30843</v>
      </c>
    </row>
    <row r="1114" spans="1:9" x14ac:dyDescent="0.25">
      <c r="A1114" s="2" t="s">
        <v>17</v>
      </c>
      <c r="B1114" s="2">
        <v>1550</v>
      </c>
      <c r="C1114" s="2">
        <v>4</v>
      </c>
      <c r="D1114" s="2" t="s">
        <v>39</v>
      </c>
      <c r="E1114" s="3">
        <v>44859</v>
      </c>
      <c r="F1114" s="2" t="s">
        <v>422</v>
      </c>
      <c r="G1114" s="2" t="s">
        <v>423</v>
      </c>
      <c r="H1114" s="2" t="s">
        <v>44</v>
      </c>
      <c r="I1114" s="4">
        <v>29512</v>
      </c>
    </row>
    <row r="1115" spans="1:9" x14ac:dyDescent="0.25">
      <c r="A1115" s="2" t="s">
        <v>23</v>
      </c>
      <c r="B1115" s="2">
        <v>1500</v>
      </c>
      <c r="C1115" s="2">
        <v>1</v>
      </c>
      <c r="D1115" s="2" t="s">
        <v>29</v>
      </c>
      <c r="E1115" s="3">
        <v>44846</v>
      </c>
      <c r="F1115" s="2" t="s">
        <v>233</v>
      </c>
      <c r="G1115" s="2" t="s">
        <v>172</v>
      </c>
      <c r="H1115" s="2" t="s">
        <v>49</v>
      </c>
      <c r="I1115" s="4">
        <v>27495</v>
      </c>
    </row>
    <row r="1116" spans="1:9" x14ac:dyDescent="0.25">
      <c r="A1116" s="2" t="s">
        <v>18</v>
      </c>
      <c r="B1116" s="2">
        <v>3000</v>
      </c>
      <c r="C1116" s="2">
        <v>1</v>
      </c>
      <c r="D1116" s="2" t="s">
        <v>37</v>
      </c>
      <c r="E1116" s="3">
        <v>44836</v>
      </c>
      <c r="F1116" s="2" t="s">
        <v>316</v>
      </c>
      <c r="G1116" s="2" t="s">
        <v>317</v>
      </c>
      <c r="H1116" s="2" t="s">
        <v>44</v>
      </c>
      <c r="I1116" s="4">
        <v>18732</v>
      </c>
    </row>
    <row r="1117" spans="1:9" x14ac:dyDescent="0.25">
      <c r="A1117" s="2" t="s">
        <v>28</v>
      </c>
      <c r="B1117" s="2">
        <v>1400</v>
      </c>
      <c r="C1117" s="2">
        <v>3</v>
      </c>
      <c r="D1117" s="2" t="s">
        <v>29</v>
      </c>
      <c r="E1117" s="3">
        <v>44738</v>
      </c>
      <c r="F1117" s="2" t="s">
        <v>131</v>
      </c>
      <c r="G1117" s="2" t="s">
        <v>436</v>
      </c>
      <c r="H1117" s="2" t="s">
        <v>44</v>
      </c>
      <c r="I1117" s="4">
        <v>28563</v>
      </c>
    </row>
    <row r="1118" spans="1:9" x14ac:dyDescent="0.25">
      <c r="A1118" s="2" t="s">
        <v>5</v>
      </c>
      <c r="B1118" s="2">
        <v>1750</v>
      </c>
      <c r="C1118" s="2">
        <v>1</v>
      </c>
      <c r="D1118" s="2" t="s">
        <v>34</v>
      </c>
      <c r="E1118" s="3">
        <v>44584</v>
      </c>
      <c r="F1118" s="2" t="s">
        <v>98</v>
      </c>
      <c r="G1118" s="2" t="s">
        <v>213</v>
      </c>
      <c r="H1118" s="2" t="s">
        <v>44</v>
      </c>
      <c r="I1118" s="4">
        <v>23276</v>
      </c>
    </row>
    <row r="1119" spans="1:9" x14ac:dyDescent="0.25">
      <c r="A1119" s="2" t="s">
        <v>14</v>
      </c>
      <c r="B1119" s="2">
        <v>2000</v>
      </c>
      <c r="C1119" s="2">
        <v>2</v>
      </c>
      <c r="D1119" s="2" t="s">
        <v>38</v>
      </c>
      <c r="E1119" s="3">
        <v>44875</v>
      </c>
      <c r="F1119" s="2" t="s">
        <v>84</v>
      </c>
      <c r="G1119" s="2" t="s">
        <v>63</v>
      </c>
      <c r="H1119" s="2" t="s">
        <v>44</v>
      </c>
      <c r="I1119" s="4">
        <v>23490</v>
      </c>
    </row>
    <row r="1120" spans="1:9" x14ac:dyDescent="0.25">
      <c r="A1120" s="2" t="s">
        <v>7</v>
      </c>
      <c r="B1120" s="2">
        <v>750</v>
      </c>
      <c r="C1120" s="2">
        <v>3</v>
      </c>
      <c r="D1120" s="2" t="s">
        <v>40</v>
      </c>
      <c r="E1120" s="3">
        <v>44688</v>
      </c>
      <c r="F1120" s="2" t="s">
        <v>239</v>
      </c>
      <c r="G1120" s="2" t="s">
        <v>294</v>
      </c>
      <c r="H1120" s="2" t="s">
        <v>49</v>
      </c>
      <c r="I1120" s="4">
        <v>30135</v>
      </c>
    </row>
    <row r="1121" spans="1:9" x14ac:dyDescent="0.25">
      <c r="A1121" s="2" t="s">
        <v>15</v>
      </c>
      <c r="B1121" s="2">
        <v>1900</v>
      </c>
      <c r="C1121" s="2">
        <v>2</v>
      </c>
      <c r="D1121" s="2" t="s">
        <v>33</v>
      </c>
      <c r="E1121" s="3">
        <v>44626</v>
      </c>
      <c r="F1121" s="2" t="s">
        <v>76</v>
      </c>
      <c r="G1121" s="2" t="s">
        <v>201</v>
      </c>
      <c r="H1121" s="2" t="s">
        <v>49</v>
      </c>
      <c r="I1121" s="4">
        <v>24594</v>
      </c>
    </row>
    <row r="1122" spans="1:9" x14ac:dyDescent="0.25">
      <c r="A1122" s="2" t="s">
        <v>8</v>
      </c>
      <c r="B1122" s="2">
        <v>5500</v>
      </c>
      <c r="C1122" s="2">
        <v>1</v>
      </c>
      <c r="D1122" s="2" t="s">
        <v>29</v>
      </c>
      <c r="E1122" s="3">
        <v>44603</v>
      </c>
      <c r="F1122" s="2" t="s">
        <v>107</v>
      </c>
      <c r="G1122" s="2" t="s">
        <v>81</v>
      </c>
      <c r="H1122" s="2" t="s">
        <v>49</v>
      </c>
      <c r="I1122" s="4">
        <v>29856</v>
      </c>
    </row>
    <row r="1123" spans="1:9" x14ac:dyDescent="0.25">
      <c r="A1123" s="2" t="s">
        <v>19</v>
      </c>
      <c r="B1123" s="2">
        <v>700</v>
      </c>
      <c r="C1123" s="2">
        <v>1</v>
      </c>
      <c r="D1123" s="2" t="s">
        <v>29</v>
      </c>
      <c r="E1123" s="3">
        <v>44856</v>
      </c>
      <c r="F1123" s="2" t="s">
        <v>333</v>
      </c>
      <c r="G1123" s="2" t="s">
        <v>334</v>
      </c>
      <c r="H1123" s="2" t="s">
        <v>44</v>
      </c>
      <c r="I1123" s="4">
        <v>26869</v>
      </c>
    </row>
    <row r="1124" spans="1:9" x14ac:dyDescent="0.25">
      <c r="A1124" s="2" t="s">
        <v>10</v>
      </c>
      <c r="B1124" s="2">
        <v>1450</v>
      </c>
      <c r="C1124" s="2">
        <v>5</v>
      </c>
      <c r="D1124" s="2" t="s">
        <v>35</v>
      </c>
      <c r="E1124" s="3">
        <v>44861</v>
      </c>
      <c r="F1124" s="2" t="s">
        <v>137</v>
      </c>
      <c r="G1124" s="2" t="s">
        <v>89</v>
      </c>
      <c r="H1124" s="2" t="s">
        <v>49</v>
      </c>
      <c r="I1124" s="4">
        <v>26554</v>
      </c>
    </row>
    <row r="1125" spans="1:9" x14ac:dyDescent="0.25">
      <c r="A1125" s="2" t="s">
        <v>26</v>
      </c>
      <c r="B1125" s="2">
        <v>1100</v>
      </c>
      <c r="C1125" s="2">
        <v>2</v>
      </c>
      <c r="D1125" s="2" t="s">
        <v>40</v>
      </c>
      <c r="E1125" s="3">
        <v>44691</v>
      </c>
      <c r="F1125" s="2" t="s">
        <v>104</v>
      </c>
      <c r="G1125" s="2" t="s">
        <v>105</v>
      </c>
      <c r="H1125" s="2" t="s">
        <v>44</v>
      </c>
      <c r="I1125" s="4">
        <v>33789</v>
      </c>
    </row>
    <row r="1126" spans="1:9" x14ac:dyDescent="0.25">
      <c r="A1126" s="2" t="s">
        <v>20</v>
      </c>
      <c r="B1126" s="2">
        <v>2600</v>
      </c>
      <c r="C1126" s="2">
        <v>3</v>
      </c>
      <c r="D1126" s="2" t="s">
        <v>36</v>
      </c>
      <c r="E1126" s="3">
        <v>44847</v>
      </c>
      <c r="F1126" s="2" t="s">
        <v>104</v>
      </c>
      <c r="G1126" s="2" t="s">
        <v>410</v>
      </c>
      <c r="H1126" s="2" t="s">
        <v>44</v>
      </c>
      <c r="I1126" s="4">
        <v>18295</v>
      </c>
    </row>
    <row r="1127" spans="1:9" x14ac:dyDescent="0.25">
      <c r="A1127" s="2" t="s">
        <v>28</v>
      </c>
      <c r="B1127" s="2">
        <v>1400</v>
      </c>
      <c r="C1127" s="2">
        <v>4</v>
      </c>
      <c r="D1127" s="2" t="s">
        <v>36</v>
      </c>
      <c r="E1127" s="3">
        <v>44592</v>
      </c>
      <c r="F1127" s="2" t="s">
        <v>64</v>
      </c>
      <c r="G1127" s="2" t="s">
        <v>65</v>
      </c>
      <c r="H1127" s="2" t="s">
        <v>44</v>
      </c>
      <c r="I1127" s="4">
        <v>33748</v>
      </c>
    </row>
    <row r="1128" spans="1:9" x14ac:dyDescent="0.25">
      <c r="A1128" s="2" t="s">
        <v>19</v>
      </c>
      <c r="B1128" s="2">
        <v>700</v>
      </c>
      <c r="C1128" s="2">
        <v>1</v>
      </c>
      <c r="D1128" s="2" t="s">
        <v>32</v>
      </c>
      <c r="E1128" s="3">
        <v>44825</v>
      </c>
      <c r="F1128" s="2" t="s">
        <v>51</v>
      </c>
      <c r="G1128" s="2" t="s">
        <v>99</v>
      </c>
      <c r="H1128" s="2" t="s">
        <v>44</v>
      </c>
      <c r="I1128" s="4">
        <v>18276</v>
      </c>
    </row>
    <row r="1129" spans="1:9" x14ac:dyDescent="0.25">
      <c r="A1129" s="2" t="s">
        <v>17</v>
      </c>
      <c r="B1129" s="2">
        <v>1550</v>
      </c>
      <c r="C1129" s="2">
        <v>5</v>
      </c>
      <c r="D1129" s="2" t="s">
        <v>34</v>
      </c>
      <c r="E1129" s="3">
        <v>44895</v>
      </c>
      <c r="F1129" s="2" t="s">
        <v>492</v>
      </c>
      <c r="G1129" s="2" t="s">
        <v>198</v>
      </c>
      <c r="H1129" s="2" t="s">
        <v>44</v>
      </c>
      <c r="I1129" s="4">
        <v>28333</v>
      </c>
    </row>
    <row r="1130" spans="1:9" x14ac:dyDescent="0.25">
      <c r="A1130" s="2" t="s">
        <v>11</v>
      </c>
      <c r="B1130" s="2">
        <v>4500</v>
      </c>
      <c r="C1130" s="2">
        <v>3</v>
      </c>
      <c r="D1130" s="2" t="s">
        <v>33</v>
      </c>
      <c r="E1130" s="3">
        <v>44570</v>
      </c>
      <c r="F1130" s="2" t="s">
        <v>107</v>
      </c>
      <c r="G1130" s="2" t="s">
        <v>231</v>
      </c>
      <c r="H1130" s="2" t="s">
        <v>49</v>
      </c>
      <c r="I1130" s="4">
        <v>30856</v>
      </c>
    </row>
    <row r="1131" spans="1:9" x14ac:dyDescent="0.25">
      <c r="A1131" s="2" t="s">
        <v>13</v>
      </c>
      <c r="B1131" s="2">
        <v>2300</v>
      </c>
      <c r="C1131" s="2">
        <v>2</v>
      </c>
      <c r="D1131" s="2" t="s">
        <v>29</v>
      </c>
      <c r="E1131" s="3">
        <v>44572</v>
      </c>
      <c r="F1131" s="2" t="s">
        <v>479</v>
      </c>
      <c r="G1131" s="2" t="s">
        <v>75</v>
      </c>
      <c r="H1131" s="2" t="s">
        <v>49</v>
      </c>
      <c r="I1131" s="4">
        <v>26199</v>
      </c>
    </row>
    <row r="1132" spans="1:9" x14ac:dyDescent="0.25">
      <c r="A1132" s="2" t="s">
        <v>27</v>
      </c>
      <c r="B1132" s="2">
        <v>1500</v>
      </c>
      <c r="C1132" s="2">
        <v>4</v>
      </c>
      <c r="D1132" s="2" t="s">
        <v>36</v>
      </c>
      <c r="E1132" s="3">
        <v>44797</v>
      </c>
      <c r="F1132" s="2" t="s">
        <v>66</v>
      </c>
      <c r="G1132" s="2" t="s">
        <v>123</v>
      </c>
      <c r="H1132" s="2" t="s">
        <v>44</v>
      </c>
      <c r="I1132" s="4">
        <v>18687</v>
      </c>
    </row>
    <row r="1133" spans="1:9" x14ac:dyDescent="0.25">
      <c r="A1133" s="2" t="s">
        <v>20</v>
      </c>
      <c r="B1133" s="2">
        <v>2600</v>
      </c>
      <c r="C1133" s="2">
        <v>5</v>
      </c>
      <c r="D1133" s="2" t="s">
        <v>37</v>
      </c>
      <c r="E1133" s="3">
        <v>44726</v>
      </c>
      <c r="F1133" s="2" t="s">
        <v>547</v>
      </c>
      <c r="G1133" s="2" t="s">
        <v>83</v>
      </c>
      <c r="H1133" s="2" t="s">
        <v>49</v>
      </c>
      <c r="I1133" s="4">
        <v>32644</v>
      </c>
    </row>
    <row r="1134" spans="1:9" x14ac:dyDescent="0.25">
      <c r="A1134" s="2" t="s">
        <v>16</v>
      </c>
      <c r="B1134" s="2">
        <v>1400</v>
      </c>
      <c r="C1134" s="2">
        <v>3</v>
      </c>
      <c r="D1134" s="2" t="s">
        <v>35</v>
      </c>
      <c r="E1134" s="3">
        <v>44573</v>
      </c>
      <c r="F1134" s="2" t="s">
        <v>52</v>
      </c>
      <c r="G1134" s="2" t="s">
        <v>580</v>
      </c>
      <c r="H1134" s="2" t="s">
        <v>44</v>
      </c>
      <c r="I1134" s="4">
        <v>34051</v>
      </c>
    </row>
    <row r="1135" spans="1:9" x14ac:dyDescent="0.25">
      <c r="A1135" s="2" t="s">
        <v>15</v>
      </c>
      <c r="B1135" s="2">
        <v>1900</v>
      </c>
      <c r="C1135" s="2">
        <v>2</v>
      </c>
      <c r="D1135" s="2" t="s">
        <v>29</v>
      </c>
      <c r="E1135" s="3">
        <v>44665</v>
      </c>
      <c r="F1135" s="2" t="s">
        <v>52</v>
      </c>
      <c r="G1135" s="2" t="s">
        <v>232</v>
      </c>
      <c r="H1135" s="2" t="s">
        <v>44</v>
      </c>
      <c r="I1135" s="4">
        <v>34971</v>
      </c>
    </row>
    <row r="1136" spans="1:9" x14ac:dyDescent="0.25">
      <c r="A1136" s="2" t="s">
        <v>25</v>
      </c>
      <c r="B1136" s="2">
        <v>2500</v>
      </c>
      <c r="C1136" s="2">
        <v>2</v>
      </c>
      <c r="D1136" s="2" t="s">
        <v>30</v>
      </c>
      <c r="E1136" s="3">
        <v>44898</v>
      </c>
      <c r="F1136" s="2" t="s">
        <v>94</v>
      </c>
      <c r="G1136" s="2" t="s">
        <v>407</v>
      </c>
      <c r="H1136" s="2" t="s">
        <v>49</v>
      </c>
      <c r="I1136" s="4">
        <v>30610</v>
      </c>
    </row>
    <row r="1137" spans="1:9" x14ac:dyDescent="0.25">
      <c r="A1137" s="2" t="s">
        <v>16</v>
      </c>
      <c r="B1137" s="2">
        <v>1400</v>
      </c>
      <c r="C1137" s="2">
        <v>4</v>
      </c>
      <c r="D1137" s="2" t="s">
        <v>34</v>
      </c>
      <c r="E1137" s="3">
        <v>44827</v>
      </c>
      <c r="F1137" s="2" t="s">
        <v>165</v>
      </c>
      <c r="G1137" s="2" t="s">
        <v>246</v>
      </c>
      <c r="H1137" s="2" t="s">
        <v>49</v>
      </c>
      <c r="I1137" s="4">
        <v>31238</v>
      </c>
    </row>
    <row r="1138" spans="1:9" x14ac:dyDescent="0.25">
      <c r="A1138" s="2" t="s">
        <v>18</v>
      </c>
      <c r="B1138" s="2">
        <v>3000</v>
      </c>
      <c r="C1138" s="2">
        <v>1</v>
      </c>
      <c r="D1138" s="2" t="s">
        <v>33</v>
      </c>
      <c r="E1138" s="3">
        <v>44800</v>
      </c>
      <c r="F1138" s="2" t="s">
        <v>265</v>
      </c>
      <c r="G1138" s="2" t="s">
        <v>266</v>
      </c>
      <c r="H1138" s="2" t="s">
        <v>49</v>
      </c>
      <c r="I1138" s="4">
        <v>31076</v>
      </c>
    </row>
    <row r="1139" spans="1:9" x14ac:dyDescent="0.25">
      <c r="A1139" s="2" t="s">
        <v>17</v>
      </c>
      <c r="B1139" s="2">
        <v>1550</v>
      </c>
      <c r="C1139" s="2">
        <v>1</v>
      </c>
      <c r="D1139" s="2" t="s">
        <v>30</v>
      </c>
      <c r="E1139" s="3">
        <v>44825</v>
      </c>
      <c r="F1139" s="2" t="s">
        <v>109</v>
      </c>
      <c r="G1139" s="2" t="s">
        <v>593</v>
      </c>
      <c r="H1139" s="2" t="s">
        <v>44</v>
      </c>
      <c r="I1139" s="4">
        <v>20652</v>
      </c>
    </row>
    <row r="1140" spans="1:9" x14ac:dyDescent="0.25">
      <c r="A1140" s="2" t="s">
        <v>12</v>
      </c>
      <c r="B1140" s="2">
        <v>6500</v>
      </c>
      <c r="C1140" s="2">
        <v>5</v>
      </c>
      <c r="D1140" s="2" t="s">
        <v>29</v>
      </c>
      <c r="E1140" s="3">
        <v>44849</v>
      </c>
      <c r="F1140" s="2" t="s">
        <v>211</v>
      </c>
      <c r="G1140" s="2" t="s">
        <v>212</v>
      </c>
      <c r="H1140" s="2" t="s">
        <v>49</v>
      </c>
      <c r="I1140" s="4">
        <v>25413</v>
      </c>
    </row>
    <row r="1141" spans="1:9" x14ac:dyDescent="0.25">
      <c r="A1141" s="2" t="s">
        <v>13</v>
      </c>
      <c r="B1141" s="2">
        <v>2300</v>
      </c>
      <c r="C1141" s="2">
        <v>3</v>
      </c>
      <c r="D1141" s="2" t="s">
        <v>35</v>
      </c>
      <c r="E1141" s="3">
        <v>44730</v>
      </c>
      <c r="F1141" s="2" t="s">
        <v>74</v>
      </c>
      <c r="G1141" s="2" t="s">
        <v>621</v>
      </c>
      <c r="H1141" s="2" t="s">
        <v>44</v>
      </c>
      <c r="I1141" s="4">
        <v>34072</v>
      </c>
    </row>
    <row r="1142" spans="1:9" x14ac:dyDescent="0.25">
      <c r="A1142" s="2" t="s">
        <v>16</v>
      </c>
      <c r="B1142" s="2">
        <v>1400</v>
      </c>
      <c r="C1142" s="2">
        <v>4</v>
      </c>
      <c r="D1142" s="2" t="s">
        <v>36</v>
      </c>
      <c r="E1142" s="3">
        <v>44575</v>
      </c>
      <c r="F1142" s="2" t="s">
        <v>514</v>
      </c>
      <c r="G1142" s="2" t="s">
        <v>100</v>
      </c>
      <c r="H1142" s="2" t="s">
        <v>44</v>
      </c>
      <c r="I1142" s="4">
        <v>20777</v>
      </c>
    </row>
    <row r="1143" spans="1:9" x14ac:dyDescent="0.25">
      <c r="A1143" s="2" t="s">
        <v>12</v>
      </c>
      <c r="B1143" s="2">
        <v>6500</v>
      </c>
      <c r="C1143" s="2">
        <v>3</v>
      </c>
      <c r="D1143" s="2" t="s">
        <v>29</v>
      </c>
      <c r="E1143" s="3">
        <v>44897</v>
      </c>
      <c r="F1143" s="2" t="s">
        <v>233</v>
      </c>
      <c r="G1143" s="2" t="s">
        <v>172</v>
      </c>
      <c r="H1143" s="2" t="s">
        <v>49</v>
      </c>
      <c r="I1143" s="4">
        <v>27495</v>
      </c>
    </row>
    <row r="1144" spans="1:9" x14ac:dyDescent="0.25">
      <c r="A1144" s="2" t="s">
        <v>15</v>
      </c>
      <c r="B1144" s="2">
        <v>1900</v>
      </c>
      <c r="C1144" s="2">
        <v>5</v>
      </c>
      <c r="D1144" s="2" t="s">
        <v>41</v>
      </c>
      <c r="E1144" s="3">
        <v>44563</v>
      </c>
      <c r="F1144" s="2" t="s">
        <v>624</v>
      </c>
      <c r="G1144" s="2" t="s">
        <v>83</v>
      </c>
      <c r="H1144" s="2" t="s">
        <v>44</v>
      </c>
      <c r="I1144" s="4">
        <v>30045</v>
      </c>
    </row>
    <row r="1145" spans="1:9" x14ac:dyDescent="0.25">
      <c r="A1145" s="2" t="s">
        <v>15</v>
      </c>
      <c r="B1145" s="2">
        <v>1900</v>
      </c>
      <c r="C1145" s="2">
        <v>2</v>
      </c>
      <c r="D1145" s="2" t="s">
        <v>39</v>
      </c>
      <c r="E1145" s="3">
        <v>44628</v>
      </c>
      <c r="F1145" s="2" t="s">
        <v>533</v>
      </c>
      <c r="G1145" s="2" t="s">
        <v>534</v>
      </c>
      <c r="H1145" s="2" t="s">
        <v>49</v>
      </c>
      <c r="I1145" s="4">
        <v>29459</v>
      </c>
    </row>
    <row r="1146" spans="1:9" x14ac:dyDescent="0.25">
      <c r="A1146" s="2" t="s">
        <v>7</v>
      </c>
      <c r="B1146" s="2">
        <v>750</v>
      </c>
      <c r="C1146" s="2">
        <v>3</v>
      </c>
      <c r="D1146" s="2" t="s">
        <v>32</v>
      </c>
      <c r="E1146" s="3">
        <v>44623</v>
      </c>
      <c r="F1146" s="2" t="s">
        <v>51</v>
      </c>
      <c r="G1146" s="2" t="s">
        <v>99</v>
      </c>
      <c r="H1146" s="2" t="s">
        <v>44</v>
      </c>
      <c r="I1146" s="4">
        <v>18276</v>
      </c>
    </row>
    <row r="1147" spans="1:9" x14ac:dyDescent="0.25">
      <c r="A1147" s="2" t="s">
        <v>18</v>
      </c>
      <c r="B1147" s="2">
        <v>3000</v>
      </c>
      <c r="C1147" s="2">
        <v>1</v>
      </c>
      <c r="D1147" s="2" t="s">
        <v>31</v>
      </c>
      <c r="E1147" s="3">
        <v>44686</v>
      </c>
      <c r="F1147" s="2" t="s">
        <v>179</v>
      </c>
      <c r="G1147" s="2" t="s">
        <v>599</v>
      </c>
      <c r="H1147" s="2" t="s">
        <v>44</v>
      </c>
      <c r="I1147" s="4">
        <v>30863</v>
      </c>
    </row>
    <row r="1148" spans="1:9" x14ac:dyDescent="0.25">
      <c r="A1148" s="2" t="s">
        <v>9</v>
      </c>
      <c r="B1148" s="2">
        <v>1500</v>
      </c>
      <c r="C1148" s="2">
        <v>5</v>
      </c>
      <c r="D1148" s="2" t="s">
        <v>38</v>
      </c>
      <c r="E1148" s="3">
        <v>44597</v>
      </c>
      <c r="F1148" s="2" t="s">
        <v>312</v>
      </c>
      <c r="G1148" s="2" t="s">
        <v>411</v>
      </c>
      <c r="H1148" s="2" t="s">
        <v>49</v>
      </c>
      <c r="I1148" s="4">
        <v>26225</v>
      </c>
    </row>
    <row r="1149" spans="1:9" x14ac:dyDescent="0.25">
      <c r="A1149" s="2" t="s">
        <v>25</v>
      </c>
      <c r="B1149" s="2">
        <v>2500</v>
      </c>
      <c r="C1149" s="2">
        <v>2</v>
      </c>
      <c r="D1149" s="2" t="s">
        <v>37</v>
      </c>
      <c r="E1149" s="3">
        <v>44785</v>
      </c>
      <c r="F1149" s="2" t="s">
        <v>237</v>
      </c>
      <c r="G1149" s="2" t="s">
        <v>238</v>
      </c>
      <c r="H1149" s="2" t="s">
        <v>49</v>
      </c>
      <c r="I1149" s="4">
        <v>23012</v>
      </c>
    </row>
    <row r="1150" spans="1:9" x14ac:dyDescent="0.25">
      <c r="A1150" s="2" t="s">
        <v>19</v>
      </c>
      <c r="B1150" s="2">
        <v>700</v>
      </c>
      <c r="C1150" s="2">
        <v>1</v>
      </c>
      <c r="D1150" s="2" t="s">
        <v>33</v>
      </c>
      <c r="E1150" s="3">
        <v>44739</v>
      </c>
      <c r="F1150" s="2" t="s">
        <v>66</v>
      </c>
      <c r="G1150" s="2" t="s">
        <v>67</v>
      </c>
      <c r="H1150" s="2" t="s">
        <v>44</v>
      </c>
      <c r="I1150" s="4">
        <v>36762</v>
      </c>
    </row>
    <row r="1151" spans="1:9" x14ac:dyDescent="0.25">
      <c r="A1151" s="2" t="s">
        <v>18</v>
      </c>
      <c r="B1151" s="2">
        <v>3000</v>
      </c>
      <c r="C1151" s="2">
        <v>3</v>
      </c>
      <c r="D1151" s="2" t="s">
        <v>41</v>
      </c>
      <c r="E1151" s="3">
        <v>44640</v>
      </c>
      <c r="F1151" s="2" t="s">
        <v>479</v>
      </c>
      <c r="G1151" s="2" t="s">
        <v>592</v>
      </c>
      <c r="H1151" s="2" t="s">
        <v>49</v>
      </c>
      <c r="I1151" s="4">
        <v>30837</v>
      </c>
    </row>
    <row r="1152" spans="1:9" x14ac:dyDescent="0.25">
      <c r="A1152" s="2" t="s">
        <v>7</v>
      </c>
      <c r="B1152" s="2">
        <v>750</v>
      </c>
      <c r="C1152" s="2">
        <v>4</v>
      </c>
      <c r="D1152" s="2" t="s">
        <v>39</v>
      </c>
      <c r="E1152" s="3">
        <v>44921</v>
      </c>
      <c r="F1152" s="2" t="s">
        <v>289</v>
      </c>
      <c r="G1152" s="2" t="s">
        <v>83</v>
      </c>
      <c r="H1152" s="2" t="s">
        <v>44</v>
      </c>
      <c r="I1152" s="4">
        <v>20233</v>
      </c>
    </row>
    <row r="1153" spans="1:9" x14ac:dyDescent="0.25">
      <c r="A1153" s="2" t="s">
        <v>23</v>
      </c>
      <c r="B1153" s="2">
        <v>1500</v>
      </c>
      <c r="C1153" s="2">
        <v>4</v>
      </c>
      <c r="D1153" s="2" t="s">
        <v>31</v>
      </c>
      <c r="E1153" s="3">
        <v>44842</v>
      </c>
      <c r="F1153" s="2" t="s">
        <v>109</v>
      </c>
      <c r="G1153" s="2" t="s">
        <v>81</v>
      </c>
      <c r="H1153" s="2" t="s">
        <v>44</v>
      </c>
      <c r="I1153" s="4">
        <v>24618</v>
      </c>
    </row>
    <row r="1154" spans="1:9" x14ac:dyDescent="0.25">
      <c r="A1154" s="2" t="s">
        <v>8</v>
      </c>
      <c r="B1154" s="2">
        <v>5500</v>
      </c>
      <c r="C1154" s="2">
        <v>4</v>
      </c>
      <c r="D1154" s="2" t="s">
        <v>39</v>
      </c>
      <c r="E1154" s="3">
        <v>44691</v>
      </c>
      <c r="F1154" s="2" t="s">
        <v>109</v>
      </c>
      <c r="G1154" s="2" t="s">
        <v>172</v>
      </c>
      <c r="H1154" s="2" t="s">
        <v>44</v>
      </c>
      <c r="I1154" s="4">
        <v>30436</v>
      </c>
    </row>
    <row r="1155" spans="1:9" x14ac:dyDescent="0.25">
      <c r="A1155" s="2" t="s">
        <v>19</v>
      </c>
      <c r="B1155" s="2">
        <v>700</v>
      </c>
      <c r="C1155" s="2">
        <v>2</v>
      </c>
      <c r="D1155" s="2" t="s">
        <v>39</v>
      </c>
      <c r="E1155" s="3">
        <v>44857</v>
      </c>
      <c r="F1155" s="2" t="s">
        <v>587</v>
      </c>
      <c r="G1155" s="2" t="s">
        <v>141</v>
      </c>
      <c r="H1155" s="2" t="s">
        <v>49</v>
      </c>
      <c r="I1155" s="4">
        <v>21878</v>
      </c>
    </row>
    <row r="1156" spans="1:9" x14ac:dyDescent="0.25">
      <c r="A1156" s="2" t="s">
        <v>24</v>
      </c>
      <c r="B1156" s="2">
        <v>2000</v>
      </c>
      <c r="C1156" s="2">
        <v>5</v>
      </c>
      <c r="D1156" s="2" t="s">
        <v>29</v>
      </c>
      <c r="E1156" s="3">
        <v>44848</v>
      </c>
      <c r="F1156" s="2" t="s">
        <v>94</v>
      </c>
      <c r="G1156" s="2" t="s">
        <v>95</v>
      </c>
      <c r="H1156" s="2" t="s">
        <v>49</v>
      </c>
      <c r="I1156" s="4">
        <v>31255</v>
      </c>
    </row>
    <row r="1157" spans="1:9" x14ac:dyDescent="0.25">
      <c r="A1157" s="2" t="s">
        <v>27</v>
      </c>
      <c r="B1157" s="2">
        <v>1500</v>
      </c>
      <c r="C1157" s="2">
        <v>5</v>
      </c>
      <c r="D1157" s="2" t="s">
        <v>36</v>
      </c>
      <c r="E1157" s="3">
        <v>44794</v>
      </c>
      <c r="F1157" s="2" t="s">
        <v>514</v>
      </c>
      <c r="G1157" s="2" t="s">
        <v>100</v>
      </c>
      <c r="H1157" s="2" t="s">
        <v>44</v>
      </c>
      <c r="I1157" s="4">
        <v>20777</v>
      </c>
    </row>
    <row r="1158" spans="1:9" x14ac:dyDescent="0.25">
      <c r="A1158" s="2" t="s">
        <v>19</v>
      </c>
      <c r="B1158" s="2">
        <v>700</v>
      </c>
      <c r="C1158" s="2">
        <v>4</v>
      </c>
      <c r="D1158" s="2" t="s">
        <v>34</v>
      </c>
      <c r="E1158" s="3">
        <v>44715</v>
      </c>
      <c r="F1158" s="2" t="s">
        <v>120</v>
      </c>
      <c r="G1158" s="2" t="s">
        <v>169</v>
      </c>
      <c r="H1158" s="2" t="s">
        <v>44</v>
      </c>
      <c r="I1158" s="4">
        <v>33230</v>
      </c>
    </row>
    <row r="1159" spans="1:9" x14ac:dyDescent="0.25">
      <c r="A1159" s="2" t="s">
        <v>15</v>
      </c>
      <c r="B1159" s="2">
        <v>1900</v>
      </c>
      <c r="C1159" s="2">
        <v>1</v>
      </c>
      <c r="D1159" s="2" t="s">
        <v>40</v>
      </c>
      <c r="E1159" s="3">
        <v>44834</v>
      </c>
      <c r="F1159" s="2" t="s">
        <v>328</v>
      </c>
      <c r="G1159" s="2" t="s">
        <v>200</v>
      </c>
      <c r="H1159" s="2" t="s">
        <v>49</v>
      </c>
      <c r="I1159" s="4">
        <v>33025</v>
      </c>
    </row>
    <row r="1160" spans="1:9" x14ac:dyDescent="0.25">
      <c r="A1160" s="2" t="s">
        <v>27</v>
      </c>
      <c r="B1160" s="2">
        <v>1500</v>
      </c>
      <c r="C1160" s="2">
        <v>1</v>
      </c>
      <c r="D1160" s="2" t="s">
        <v>37</v>
      </c>
      <c r="E1160" s="3">
        <v>44665</v>
      </c>
      <c r="F1160" s="2" t="s">
        <v>462</v>
      </c>
      <c r="G1160" s="2" t="s">
        <v>569</v>
      </c>
      <c r="H1160" s="2" t="s">
        <v>49</v>
      </c>
      <c r="I1160" s="4">
        <v>36704</v>
      </c>
    </row>
    <row r="1161" spans="1:9" x14ac:dyDescent="0.25">
      <c r="A1161" s="2" t="s">
        <v>17</v>
      </c>
      <c r="B1161" s="2">
        <v>1550</v>
      </c>
      <c r="C1161" s="2">
        <v>4</v>
      </c>
      <c r="D1161" s="2" t="s">
        <v>32</v>
      </c>
      <c r="E1161" s="3">
        <v>44622</v>
      </c>
      <c r="F1161" s="2" t="s">
        <v>192</v>
      </c>
      <c r="G1161" s="2" t="s">
        <v>245</v>
      </c>
      <c r="H1161" s="2" t="s">
        <v>49</v>
      </c>
      <c r="I1161" s="4">
        <v>29464</v>
      </c>
    </row>
    <row r="1162" spans="1:9" x14ac:dyDescent="0.25">
      <c r="A1162" s="2" t="s">
        <v>8</v>
      </c>
      <c r="B1162" s="2">
        <v>5500</v>
      </c>
      <c r="C1162" s="2">
        <v>1</v>
      </c>
      <c r="D1162" s="2" t="s">
        <v>36</v>
      </c>
      <c r="E1162" s="3">
        <v>44923</v>
      </c>
      <c r="F1162" s="2" t="s">
        <v>66</v>
      </c>
      <c r="G1162" s="2" t="s">
        <v>123</v>
      </c>
      <c r="H1162" s="2" t="s">
        <v>44</v>
      </c>
      <c r="I1162" s="4">
        <v>18687</v>
      </c>
    </row>
    <row r="1163" spans="1:9" x14ac:dyDescent="0.25">
      <c r="A1163" s="2" t="s">
        <v>12</v>
      </c>
      <c r="B1163" s="2">
        <v>6500</v>
      </c>
      <c r="C1163" s="2">
        <v>3</v>
      </c>
      <c r="D1163" s="2" t="s">
        <v>40</v>
      </c>
      <c r="E1163" s="3">
        <v>44672</v>
      </c>
      <c r="F1163" s="2" t="s">
        <v>489</v>
      </c>
      <c r="G1163" s="2" t="s">
        <v>490</v>
      </c>
      <c r="H1163" s="2" t="s">
        <v>49</v>
      </c>
      <c r="I1163" s="4">
        <v>31476</v>
      </c>
    </row>
    <row r="1164" spans="1:9" x14ac:dyDescent="0.25">
      <c r="A1164" s="2" t="s">
        <v>18</v>
      </c>
      <c r="B1164" s="2">
        <v>3000</v>
      </c>
      <c r="C1164" s="2">
        <v>1</v>
      </c>
      <c r="D1164" s="2" t="s">
        <v>34</v>
      </c>
      <c r="E1164" s="3">
        <v>44670</v>
      </c>
      <c r="F1164" s="2" t="s">
        <v>492</v>
      </c>
      <c r="G1164" s="2" t="s">
        <v>198</v>
      </c>
      <c r="H1164" s="2" t="s">
        <v>44</v>
      </c>
      <c r="I1164" s="4">
        <v>28333</v>
      </c>
    </row>
    <row r="1165" spans="1:9" x14ac:dyDescent="0.25">
      <c r="A1165" s="2" t="s">
        <v>13</v>
      </c>
      <c r="B1165" s="2">
        <v>2300</v>
      </c>
      <c r="C1165" s="2">
        <v>2</v>
      </c>
      <c r="D1165" s="2" t="s">
        <v>31</v>
      </c>
      <c r="E1165" s="3">
        <v>44810</v>
      </c>
      <c r="F1165" s="2" t="s">
        <v>140</v>
      </c>
      <c r="G1165" s="2" t="s">
        <v>590</v>
      </c>
      <c r="H1165" s="2" t="s">
        <v>49</v>
      </c>
      <c r="I1165" s="4">
        <v>27822</v>
      </c>
    </row>
    <row r="1166" spans="1:9" x14ac:dyDescent="0.25">
      <c r="A1166" s="2" t="s">
        <v>16</v>
      </c>
      <c r="B1166" s="2">
        <v>1400</v>
      </c>
      <c r="C1166" s="2">
        <v>4</v>
      </c>
      <c r="D1166" s="2" t="s">
        <v>29</v>
      </c>
      <c r="E1166" s="3">
        <v>44778</v>
      </c>
      <c r="F1166" s="2" t="s">
        <v>173</v>
      </c>
      <c r="G1166" s="2" t="s">
        <v>181</v>
      </c>
      <c r="H1166" s="2" t="s">
        <v>44</v>
      </c>
      <c r="I1166" s="4">
        <v>32179</v>
      </c>
    </row>
    <row r="1167" spans="1:9" x14ac:dyDescent="0.25">
      <c r="A1167" s="2" t="s">
        <v>12</v>
      </c>
      <c r="B1167" s="2">
        <v>6500</v>
      </c>
      <c r="C1167" s="2">
        <v>2</v>
      </c>
      <c r="D1167" s="2" t="s">
        <v>33</v>
      </c>
      <c r="E1167" s="3">
        <v>44892</v>
      </c>
      <c r="F1167" s="2" t="s">
        <v>74</v>
      </c>
      <c r="G1167" s="2" t="s">
        <v>75</v>
      </c>
      <c r="H1167" s="2" t="s">
        <v>44</v>
      </c>
      <c r="I1167" s="4">
        <v>31046</v>
      </c>
    </row>
    <row r="1168" spans="1:9" x14ac:dyDescent="0.25">
      <c r="A1168" s="2" t="s">
        <v>11</v>
      </c>
      <c r="B1168" s="2">
        <v>4500</v>
      </c>
      <c r="C1168" s="2">
        <v>1</v>
      </c>
      <c r="D1168" s="2" t="s">
        <v>29</v>
      </c>
      <c r="E1168" s="3">
        <v>44607</v>
      </c>
      <c r="F1168" s="2" t="s">
        <v>136</v>
      </c>
      <c r="G1168" s="2" t="s">
        <v>75</v>
      </c>
      <c r="H1168" s="2" t="s">
        <v>49</v>
      </c>
      <c r="I1168" s="4">
        <v>19190</v>
      </c>
    </row>
    <row r="1169" spans="1:9" x14ac:dyDescent="0.25">
      <c r="A1169" s="2" t="s">
        <v>12</v>
      </c>
      <c r="B1169" s="2">
        <v>6500</v>
      </c>
      <c r="C1169" s="2">
        <v>3</v>
      </c>
      <c r="D1169" s="2" t="s">
        <v>33</v>
      </c>
      <c r="E1169" s="3">
        <v>44791</v>
      </c>
      <c r="F1169" s="2" t="s">
        <v>74</v>
      </c>
      <c r="G1169" s="2" t="s">
        <v>313</v>
      </c>
      <c r="H1169" s="2" t="s">
        <v>44</v>
      </c>
      <c r="I1169" s="4">
        <v>20805</v>
      </c>
    </row>
    <row r="1170" spans="1:9" x14ac:dyDescent="0.25">
      <c r="A1170" s="2" t="s">
        <v>7</v>
      </c>
      <c r="B1170" s="2">
        <v>750</v>
      </c>
      <c r="C1170" s="2">
        <v>1</v>
      </c>
      <c r="D1170" s="2" t="s">
        <v>31</v>
      </c>
      <c r="E1170" s="3">
        <v>44740</v>
      </c>
      <c r="F1170" s="2" t="s">
        <v>371</v>
      </c>
      <c r="G1170" s="2" t="s">
        <v>372</v>
      </c>
      <c r="H1170" s="2" t="s">
        <v>44</v>
      </c>
      <c r="I1170" s="4">
        <v>21789</v>
      </c>
    </row>
    <row r="1171" spans="1:9" x14ac:dyDescent="0.25">
      <c r="A1171" s="7" t="s">
        <v>23</v>
      </c>
      <c r="B1171" s="7">
        <v>1500</v>
      </c>
      <c r="C1171" s="7">
        <v>1</v>
      </c>
      <c r="D1171" s="7" t="s">
        <v>39</v>
      </c>
      <c r="E1171" s="3">
        <v>44674</v>
      </c>
      <c r="F1171" s="7" t="s">
        <v>314</v>
      </c>
      <c r="G1171" s="7" t="s">
        <v>315</v>
      </c>
      <c r="H1171" s="7" t="s">
        <v>44</v>
      </c>
      <c r="I1171" s="4">
        <v>31424</v>
      </c>
    </row>
  </sheetData>
  <autoFilter ref="A1:I1171" xr:uid="{F0CA9A29-18A6-4CF5-9C75-CE1293849819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18C7F6-D083-4A63-87B8-38990DA061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Dashboard</vt:lpstr>
      <vt:lpstr>2020-2022</vt:lpstr>
      <vt:lpstr>Valores</vt:lpstr>
      <vt:lpstr>Tabela 1</vt:lpstr>
      <vt:lpstr>Tabela 2</vt:lpstr>
      <vt:lpstr>Tabela 3</vt:lpstr>
      <vt:lpstr>Tabela 4</vt:lpstr>
      <vt:lpstr>Tabela 5</vt:lpstr>
      <vt:lpstr>2020</vt:lpstr>
      <vt:lpstr>2021</vt:lpstr>
      <vt:lpstr>2022</vt:lpstr>
      <vt:lpstr>Imagem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2026-06-16T15:35:24Z</dcterms:modified>
</cp:coreProperties>
</file>